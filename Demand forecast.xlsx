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ore\Desktop\Consum project py\"/>
    </mc:Choice>
  </mc:AlternateContent>
  <xr:revisionPtr revIDLastSave="0" documentId="8_{68D30E05-25A7-444E-B1C7-F7F6DBDF718A}" xr6:coauthVersionLast="47" xr6:coauthVersionMax="47" xr10:uidLastSave="{00000000-0000-0000-0000-000000000000}"/>
  <bookViews>
    <workbookView xWindow="-120" yWindow="-120" windowWidth="29040" windowHeight="15720" xr2:uid="{7BCFF5C2-5580-4AD6-9BBF-F9079BEDD5C1}"/>
  </bookViews>
  <sheets>
    <sheet name="DATA" sheetId="7" r:id="rId1"/>
    <sheet name="Fore" sheetId="8" r:id="rId2"/>
    <sheet name="Cast" sheetId="9" r:id="rId3"/>
  </sheets>
  <definedNames>
    <definedName name="_xlnm._FilterDatabase" localSheetId="1" hidden="1">Fore!$A$1:$X$410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2" i="8" l="1"/>
  <c r="AB2" i="8" s="1"/>
  <c r="AA2" i="8"/>
  <c r="X2" i="8"/>
  <c r="AO4" i="9"/>
  <c r="AO5" i="9"/>
  <c r="AO6" i="9"/>
  <c r="AO7" i="9"/>
  <c r="AO8" i="9"/>
  <c r="AO9" i="9"/>
  <c r="AO10" i="9"/>
  <c r="AO11" i="9"/>
  <c r="AO12" i="9"/>
  <c r="AO13" i="9"/>
  <c r="AO14" i="9"/>
  <c r="AO15" i="9"/>
  <c r="AO16" i="9"/>
  <c r="AO17" i="9"/>
  <c r="AO18" i="9"/>
  <c r="AO19" i="9"/>
  <c r="AO20" i="9"/>
  <c r="AO21" i="9"/>
  <c r="AO22" i="9"/>
  <c r="AO23" i="9"/>
  <c r="AO24" i="9"/>
  <c r="AO25" i="9"/>
  <c r="AO26" i="9"/>
  <c r="AO27" i="9"/>
  <c r="AO28" i="9"/>
  <c r="AO29" i="9"/>
  <c r="AO30" i="9"/>
  <c r="AO31" i="9"/>
  <c r="AO32" i="9"/>
  <c r="AO33" i="9"/>
  <c r="AO34" i="9"/>
  <c r="AO35" i="9"/>
  <c r="AO36" i="9"/>
  <c r="AO37" i="9"/>
  <c r="AO38" i="9"/>
  <c r="AO39" i="9"/>
  <c r="AO40" i="9"/>
  <c r="AO41" i="9"/>
  <c r="AO42" i="9"/>
  <c r="AO43" i="9"/>
  <c r="AO44" i="9"/>
  <c r="AO45" i="9"/>
  <c r="AO46" i="9"/>
  <c r="AO47" i="9"/>
  <c r="AO48" i="9"/>
  <c r="AO49" i="9"/>
  <c r="AO50" i="9"/>
  <c r="AO51" i="9"/>
  <c r="AO52" i="9"/>
  <c r="AO53" i="9"/>
  <c r="AO54" i="9"/>
  <c r="AO55" i="9"/>
  <c r="AO56" i="9"/>
  <c r="AO57" i="9"/>
  <c r="AO58" i="9"/>
  <c r="AO59" i="9"/>
  <c r="AO60" i="9"/>
  <c r="AO61" i="9"/>
  <c r="AO62" i="9"/>
  <c r="AO63" i="9"/>
  <c r="AO64" i="9"/>
  <c r="AO65" i="9"/>
  <c r="AO66" i="9"/>
  <c r="AO67" i="9"/>
  <c r="AO68" i="9"/>
  <c r="AO69" i="9"/>
  <c r="AO70" i="9"/>
  <c r="AO71" i="9"/>
  <c r="AO72" i="9"/>
  <c r="AO73" i="9"/>
  <c r="AO74" i="9"/>
  <c r="AO75" i="9"/>
  <c r="AO76" i="9"/>
  <c r="AO77" i="9"/>
  <c r="AO78" i="9"/>
  <c r="AO79" i="9"/>
  <c r="AO80" i="9"/>
  <c r="AO81" i="9"/>
  <c r="AO82" i="9"/>
  <c r="AO83" i="9"/>
  <c r="AO84" i="9"/>
  <c r="AO85" i="9"/>
  <c r="AO86" i="9"/>
  <c r="AO87" i="9"/>
  <c r="AO88" i="9"/>
  <c r="AO89" i="9"/>
  <c r="AO90" i="9"/>
  <c r="AO91" i="9"/>
  <c r="AO92" i="9"/>
  <c r="AO93" i="9"/>
  <c r="AO94" i="9"/>
  <c r="AO95" i="9"/>
  <c r="AO96" i="9"/>
  <c r="AO97" i="9"/>
  <c r="AO98" i="9"/>
  <c r="AO99" i="9"/>
  <c r="AO100" i="9"/>
  <c r="AO101" i="9"/>
  <c r="AO102" i="9"/>
  <c r="AO103" i="9"/>
  <c r="AO104" i="9"/>
  <c r="AO105" i="9"/>
  <c r="AO106" i="9"/>
  <c r="AO107" i="9"/>
  <c r="AO108" i="9"/>
  <c r="AO109" i="9"/>
  <c r="AO110" i="9"/>
  <c r="AO111" i="9"/>
  <c r="AO112" i="9"/>
  <c r="AO113" i="9"/>
  <c r="AO114" i="9"/>
  <c r="AO115" i="9"/>
  <c r="AO116" i="9"/>
  <c r="AO117" i="9"/>
  <c r="AO118" i="9"/>
  <c r="AO119" i="9"/>
  <c r="AO120" i="9"/>
  <c r="AO121" i="9"/>
  <c r="AO122" i="9"/>
  <c r="AO123" i="9"/>
  <c r="AO124" i="9"/>
  <c r="AO125" i="9"/>
  <c r="AO126" i="9"/>
  <c r="AO127" i="9"/>
  <c r="AO128" i="9"/>
  <c r="AO129" i="9"/>
  <c r="AO130" i="9"/>
  <c r="AO131" i="9"/>
  <c r="AO132" i="9"/>
  <c r="AO133" i="9"/>
  <c r="AO134" i="9"/>
  <c r="AO135" i="9"/>
  <c r="AO136" i="9"/>
  <c r="AO137" i="9"/>
  <c r="AO138" i="9"/>
  <c r="AO139" i="9"/>
  <c r="AO140" i="9"/>
  <c r="AO141" i="9"/>
  <c r="AO142" i="9"/>
  <c r="AO143" i="9"/>
  <c r="AO144" i="9"/>
  <c r="AO145" i="9"/>
  <c r="AO146" i="9"/>
  <c r="AO147" i="9"/>
  <c r="AO148" i="9"/>
  <c r="AO149" i="9"/>
  <c r="AO150" i="9"/>
  <c r="AO151" i="9"/>
  <c r="AO152" i="9"/>
  <c r="AO153" i="9"/>
  <c r="AO154" i="9"/>
  <c r="AO155" i="9"/>
  <c r="AO156" i="9"/>
  <c r="AO157" i="9"/>
  <c r="AO158" i="9"/>
  <c r="AO159" i="9"/>
  <c r="AO160" i="9"/>
  <c r="AO161" i="9"/>
  <c r="AO162" i="9"/>
  <c r="AO163" i="9"/>
  <c r="AO164" i="9"/>
  <c r="AO165" i="9"/>
  <c r="AO166" i="9"/>
  <c r="AO167" i="9"/>
  <c r="AO168" i="9"/>
  <c r="AO169" i="9"/>
  <c r="AO170" i="9"/>
  <c r="AO171" i="9"/>
  <c r="AO172" i="9"/>
  <c r="AO173" i="9"/>
  <c r="AO174" i="9"/>
  <c r="AO175" i="9"/>
  <c r="AO176" i="9"/>
  <c r="AO177" i="9"/>
  <c r="AO178" i="9"/>
  <c r="AO179" i="9"/>
  <c r="AO180" i="9"/>
  <c r="AO181" i="9"/>
  <c r="AO182" i="9"/>
  <c r="AO183" i="9"/>
  <c r="AO184" i="9"/>
  <c r="AO185" i="9"/>
  <c r="AO186" i="9"/>
  <c r="AO187" i="9"/>
  <c r="AO188" i="9"/>
  <c r="AO189" i="9"/>
  <c r="AO190" i="9"/>
  <c r="AO191" i="9"/>
  <c r="AO192" i="9"/>
  <c r="AO193" i="9"/>
  <c r="AO194" i="9"/>
  <c r="AO195" i="9"/>
  <c r="AO196" i="9"/>
  <c r="AO197" i="9"/>
  <c r="AO198" i="9"/>
  <c r="AO199" i="9"/>
  <c r="AO200" i="9"/>
  <c r="AO201" i="9"/>
  <c r="AO202" i="9"/>
  <c r="AO203" i="9"/>
  <c r="AO204" i="9"/>
  <c r="AO205" i="9"/>
  <c r="AO206" i="9"/>
  <c r="AO207" i="9"/>
  <c r="AO208" i="9"/>
  <c r="AO209" i="9"/>
  <c r="AO210" i="9"/>
  <c r="AO211" i="9"/>
  <c r="AO212" i="9"/>
  <c r="AO213" i="9"/>
  <c r="AO214" i="9"/>
  <c r="AO215" i="9"/>
  <c r="AO216" i="9"/>
  <c r="AO217" i="9"/>
  <c r="AO218" i="9"/>
  <c r="AO219" i="9"/>
  <c r="AO220" i="9"/>
  <c r="AO221" i="9"/>
  <c r="AO222" i="9"/>
  <c r="AO223" i="9"/>
  <c r="AO224" i="9"/>
  <c r="AO225" i="9"/>
  <c r="AO226" i="9"/>
  <c r="AO227" i="9"/>
  <c r="AO228" i="9"/>
  <c r="AO229" i="9"/>
  <c r="AO230" i="9"/>
  <c r="AO231" i="9"/>
  <c r="AO232" i="9"/>
  <c r="AO233" i="9"/>
  <c r="AO234" i="9"/>
  <c r="AO235" i="9"/>
  <c r="AO236" i="9"/>
  <c r="AO237" i="9"/>
  <c r="AO238" i="9"/>
  <c r="AO239" i="9"/>
  <c r="AO240" i="9"/>
  <c r="AO241" i="9"/>
  <c r="AO242" i="9"/>
  <c r="AO243" i="9"/>
  <c r="AO244" i="9"/>
  <c r="AO245" i="9"/>
  <c r="AO246" i="9"/>
  <c r="AO247" i="9"/>
  <c r="AO248" i="9"/>
  <c r="AO249" i="9"/>
  <c r="AO250" i="9"/>
  <c r="AO251" i="9"/>
  <c r="AO252" i="9"/>
  <c r="AO253" i="9"/>
  <c r="AO254" i="9"/>
  <c r="AO255" i="9"/>
  <c r="AO256" i="9"/>
  <c r="AO257" i="9"/>
  <c r="AO258" i="9"/>
  <c r="AO259" i="9"/>
  <c r="AO260" i="9"/>
  <c r="AO261" i="9"/>
  <c r="AO262" i="9"/>
  <c r="AO263" i="9"/>
  <c r="AO264" i="9"/>
  <c r="AO265" i="9"/>
  <c r="AO266" i="9"/>
  <c r="AO267" i="9"/>
  <c r="AO268" i="9"/>
  <c r="AO269" i="9"/>
  <c r="AO270" i="9"/>
  <c r="AO271" i="9"/>
  <c r="AO272" i="9"/>
  <c r="AO273" i="9"/>
  <c r="AO274" i="9"/>
  <c r="AO275" i="9"/>
  <c r="AO276" i="9"/>
  <c r="AO277" i="9"/>
  <c r="AO278" i="9"/>
  <c r="AO279" i="9"/>
  <c r="AO280" i="9"/>
  <c r="AO281" i="9"/>
  <c r="AO282" i="9"/>
  <c r="AO283" i="9"/>
  <c r="AO284" i="9"/>
  <c r="AO285" i="9"/>
  <c r="AO286" i="9"/>
  <c r="AO287" i="9"/>
  <c r="AO288" i="9"/>
  <c r="AO289" i="9"/>
  <c r="AO290" i="9"/>
  <c r="AO291" i="9"/>
  <c r="AO292" i="9"/>
  <c r="AO293" i="9"/>
  <c r="AO294" i="9"/>
  <c r="AO295" i="9"/>
  <c r="AO296" i="9"/>
  <c r="AO297" i="9"/>
  <c r="AO298" i="9"/>
  <c r="AO299" i="9"/>
  <c r="AO300" i="9"/>
  <c r="AO301" i="9"/>
  <c r="AO302" i="9"/>
  <c r="AO303" i="9"/>
  <c r="AO304" i="9"/>
  <c r="AO305" i="9"/>
  <c r="AO306" i="9"/>
  <c r="AO307" i="9"/>
  <c r="AO308" i="9"/>
  <c r="AO309" i="9"/>
  <c r="AO310" i="9"/>
  <c r="AO311" i="9"/>
  <c r="AO312" i="9"/>
  <c r="AO313" i="9"/>
  <c r="AO314" i="9"/>
  <c r="AO315" i="9"/>
  <c r="AO316" i="9"/>
  <c r="AO317" i="9"/>
  <c r="AO318" i="9"/>
  <c r="AO319" i="9"/>
  <c r="AO320" i="9"/>
  <c r="AO321" i="9"/>
  <c r="AO322" i="9"/>
  <c r="AO323" i="9"/>
  <c r="AO324" i="9"/>
  <c r="AO325" i="9"/>
  <c r="AO326" i="9"/>
  <c r="AO327" i="9"/>
  <c r="AO328" i="9"/>
  <c r="AO329" i="9"/>
  <c r="AO330" i="9"/>
  <c r="AO331" i="9"/>
  <c r="AO332" i="9"/>
  <c r="AO333" i="9"/>
  <c r="AO334" i="9"/>
  <c r="AO335" i="9"/>
  <c r="AO336" i="9"/>
  <c r="AO337" i="9"/>
  <c r="AO338" i="9"/>
  <c r="AO339" i="9"/>
  <c r="AO340" i="9"/>
  <c r="AO341" i="9"/>
  <c r="AO342" i="9"/>
  <c r="AO343" i="9"/>
  <c r="AO344" i="9"/>
  <c r="AO345" i="9"/>
  <c r="AO346" i="9"/>
  <c r="AO347" i="9"/>
  <c r="AO348" i="9"/>
  <c r="AO349" i="9"/>
  <c r="AO350" i="9"/>
  <c r="AO351" i="9"/>
  <c r="AO352" i="9"/>
  <c r="AO353" i="9"/>
  <c r="AO354" i="9"/>
  <c r="AO355" i="9"/>
  <c r="AO356" i="9"/>
  <c r="AO357" i="9"/>
  <c r="AO358" i="9"/>
  <c r="AO359" i="9"/>
  <c r="AO360" i="9"/>
  <c r="AO361" i="9"/>
  <c r="AO362" i="9"/>
  <c r="AO363" i="9"/>
  <c r="AO364" i="9"/>
  <c r="AO365" i="9"/>
  <c r="AO366" i="9"/>
  <c r="AO367" i="9"/>
  <c r="AO368" i="9"/>
  <c r="AO369" i="9"/>
  <c r="AO370" i="9"/>
  <c r="AO371" i="9"/>
  <c r="AO372" i="9"/>
  <c r="AO373" i="9"/>
  <c r="AO374" i="9"/>
  <c r="AO375" i="9"/>
  <c r="AO376" i="9"/>
  <c r="AO377" i="9"/>
  <c r="AO378" i="9"/>
  <c r="AO379" i="9"/>
  <c r="AO380" i="9"/>
  <c r="AO381" i="9"/>
  <c r="AO382" i="9"/>
  <c r="AO383" i="9"/>
  <c r="AO384" i="9"/>
  <c r="AO385" i="9"/>
  <c r="AO386" i="9"/>
  <c r="AO387" i="9"/>
  <c r="AO388" i="9"/>
  <c r="AO389" i="9"/>
  <c r="AO390" i="9"/>
  <c r="AO391" i="9"/>
  <c r="AO392" i="9"/>
  <c r="AO393" i="9"/>
  <c r="AO394" i="9"/>
  <c r="AO395" i="9"/>
  <c r="AO396" i="9"/>
  <c r="AO397" i="9"/>
  <c r="AO398" i="9"/>
  <c r="AO399" i="9"/>
  <c r="AO400" i="9"/>
  <c r="AO401" i="9"/>
  <c r="AO402" i="9"/>
  <c r="AO403" i="9"/>
  <c r="AO404" i="9"/>
  <c r="AO405" i="9"/>
  <c r="AO406" i="9"/>
  <c r="AO407" i="9"/>
  <c r="AO408" i="9"/>
  <c r="AO409" i="9"/>
  <c r="AO410" i="9"/>
  <c r="AO411" i="9"/>
  <c r="AN24" i="9"/>
  <c r="AN25" i="9"/>
  <c r="AN26" i="9"/>
  <c r="AN36" i="9"/>
  <c r="AN37" i="9"/>
  <c r="AN38" i="9"/>
  <c r="AN39" i="9"/>
  <c r="AN47" i="9"/>
  <c r="AN69" i="9"/>
  <c r="AN71" i="9"/>
  <c r="AN84" i="9"/>
  <c r="AN85" i="9"/>
  <c r="AN86" i="9"/>
  <c r="AN87" i="9"/>
  <c r="AN108" i="9"/>
  <c r="AN110" i="9"/>
  <c r="AN122" i="9"/>
  <c r="AN132" i="9"/>
  <c r="AN133" i="9"/>
  <c r="AN157" i="9"/>
  <c r="AN158" i="9"/>
  <c r="AN159" i="9"/>
  <c r="AN167" i="9"/>
  <c r="AN169" i="9"/>
  <c r="AN170" i="9"/>
  <c r="AN183" i="9"/>
  <c r="AN192" i="9"/>
  <c r="AN204" i="9"/>
  <c r="AN205" i="9"/>
  <c r="AN215" i="9"/>
  <c r="AN216" i="9"/>
  <c r="AN217" i="9"/>
  <c r="AN218" i="9"/>
  <c r="AN228" i="9"/>
  <c r="AN230" i="9"/>
  <c r="AN239" i="9"/>
  <c r="AN240" i="9"/>
  <c r="AN241" i="9"/>
  <c r="AN242" i="9"/>
  <c r="AN252" i="9"/>
  <c r="AN254" i="9"/>
  <c r="AN255" i="9"/>
  <c r="AN260" i="9"/>
  <c r="AN261" i="9"/>
  <c r="AN262" i="9"/>
  <c r="AN264" i="9"/>
  <c r="AN266" i="9"/>
  <c r="AN276" i="9"/>
  <c r="AN277" i="9"/>
  <c r="AN285" i="9"/>
  <c r="AN286" i="9"/>
  <c r="AN287" i="9"/>
  <c r="AN300" i="9"/>
  <c r="AN301" i="9"/>
  <c r="AN302" i="9"/>
  <c r="AN312" i="9"/>
  <c r="AN324" i="9"/>
  <c r="AN325" i="9"/>
  <c r="AN326" i="9"/>
  <c r="AN327" i="9"/>
  <c r="AN336" i="9"/>
  <c r="AN337" i="9"/>
  <c r="AN338" i="9"/>
  <c r="AN345" i="9"/>
  <c r="AN346" i="9"/>
  <c r="AN348" i="9"/>
  <c r="AN350" i="9"/>
  <c r="AN359" i="9"/>
  <c r="AN361" i="9"/>
  <c r="AN374" i="9"/>
  <c r="AN381" i="9"/>
  <c r="AN382" i="9"/>
  <c r="AN383" i="9"/>
  <c r="AN384" i="9"/>
  <c r="AN386" i="9"/>
  <c r="AN396" i="9"/>
  <c r="AN398" i="9"/>
  <c r="AN407" i="9"/>
  <c r="AN408" i="9"/>
  <c r="AN409" i="9"/>
  <c r="AM12" i="9"/>
  <c r="AN12" i="9" s="1"/>
  <c r="AM13" i="9"/>
  <c r="AN13" i="9" s="1"/>
  <c r="AM14" i="9"/>
  <c r="AN14" i="9" s="1"/>
  <c r="AM19" i="9"/>
  <c r="AN19" i="9" s="1"/>
  <c r="AM21" i="9"/>
  <c r="AN21" i="9" s="1"/>
  <c r="AM23" i="9"/>
  <c r="AN23" i="9" s="1"/>
  <c r="AM24" i="9"/>
  <c r="AM25" i="9"/>
  <c r="AM36" i="9"/>
  <c r="AM37" i="9"/>
  <c r="AM38" i="9"/>
  <c r="AM43" i="9"/>
  <c r="AN43" i="9" s="1"/>
  <c r="AM47" i="9"/>
  <c r="AM48" i="9"/>
  <c r="AN48" i="9" s="1"/>
  <c r="AM49" i="9"/>
  <c r="AN49" i="9" s="1"/>
  <c r="AM56" i="9"/>
  <c r="AN56" i="9" s="1"/>
  <c r="AM57" i="9"/>
  <c r="AN57" i="9" s="1"/>
  <c r="AM58" i="9"/>
  <c r="AN58" i="9" s="1"/>
  <c r="AM59" i="9"/>
  <c r="AN59" i="9" s="1"/>
  <c r="AM60" i="9"/>
  <c r="AN60" i="9" s="1"/>
  <c r="AM61" i="9"/>
  <c r="AN61" i="9" s="1"/>
  <c r="AM62" i="9"/>
  <c r="AN62" i="9" s="1"/>
  <c r="AM67" i="9"/>
  <c r="AN67" i="9" s="1"/>
  <c r="AM69" i="9"/>
  <c r="AM71" i="9"/>
  <c r="AM72" i="9"/>
  <c r="AN72" i="9" s="1"/>
  <c r="AM73" i="9"/>
  <c r="AN73" i="9" s="1"/>
  <c r="AM84" i="9"/>
  <c r="AM85" i="9"/>
  <c r="AM86" i="9"/>
  <c r="AM91" i="9"/>
  <c r="AN91" i="9" s="1"/>
  <c r="AM93" i="9"/>
  <c r="AN93" i="9" s="1"/>
  <c r="AM94" i="9"/>
  <c r="AN94" i="9" s="1"/>
  <c r="AM95" i="9"/>
  <c r="AN95" i="9" s="1"/>
  <c r="AM96" i="9"/>
  <c r="AN96" i="9" s="1"/>
  <c r="AM97" i="9"/>
  <c r="AN97" i="9" s="1"/>
  <c r="AM108" i="9"/>
  <c r="AM109" i="9"/>
  <c r="AN109" i="9" s="1"/>
  <c r="AM110" i="9"/>
  <c r="AM119" i="9"/>
  <c r="AN119" i="9" s="1"/>
  <c r="AM120" i="9"/>
  <c r="AN120" i="9" s="1"/>
  <c r="AM121" i="9"/>
  <c r="AN121" i="9" s="1"/>
  <c r="AM128" i="9"/>
  <c r="AN128" i="9" s="1"/>
  <c r="AM132" i="9"/>
  <c r="AM133" i="9"/>
  <c r="AM134" i="9"/>
  <c r="AN134" i="9" s="1"/>
  <c r="AM139" i="9"/>
  <c r="AN139" i="9" s="1"/>
  <c r="AM140" i="9"/>
  <c r="AN140" i="9" s="1"/>
  <c r="AM141" i="9"/>
  <c r="AN141" i="9" s="1"/>
  <c r="AM142" i="9"/>
  <c r="AN142" i="9" s="1"/>
  <c r="AM143" i="9"/>
  <c r="AN143" i="9" s="1"/>
  <c r="AM144" i="9"/>
  <c r="AN144" i="9" s="1"/>
  <c r="AM145" i="9"/>
  <c r="AN145" i="9" s="1"/>
  <c r="AM156" i="9"/>
  <c r="AN156" i="9" s="1"/>
  <c r="AM157" i="9"/>
  <c r="AM158" i="9"/>
  <c r="AM165" i="9"/>
  <c r="AN165" i="9" s="1"/>
  <c r="AM166" i="9"/>
  <c r="AN166" i="9" s="1"/>
  <c r="AM167" i="9"/>
  <c r="AM169" i="9"/>
  <c r="AM180" i="9"/>
  <c r="AN180" i="9" s="1"/>
  <c r="AM181" i="9"/>
  <c r="AN181" i="9" s="1"/>
  <c r="AM182" i="9"/>
  <c r="AN182" i="9" s="1"/>
  <c r="AM187" i="9"/>
  <c r="AN187" i="9" s="1"/>
  <c r="AM189" i="9"/>
  <c r="AN189" i="9" s="1"/>
  <c r="AM191" i="9"/>
  <c r="AN191" i="9" s="1"/>
  <c r="AM192" i="9"/>
  <c r="AM193" i="9"/>
  <c r="AN193" i="9" s="1"/>
  <c r="AM204" i="9"/>
  <c r="AM205" i="9"/>
  <c r="AM206" i="9"/>
  <c r="AN206" i="9" s="1"/>
  <c r="AM213" i="9"/>
  <c r="AN213" i="9" s="1"/>
  <c r="AM215" i="9"/>
  <c r="AM216" i="9"/>
  <c r="AM217" i="9"/>
  <c r="AM224" i="9"/>
  <c r="AN224" i="9" s="1"/>
  <c r="AM225" i="9"/>
  <c r="AN225" i="9" s="1"/>
  <c r="AM228" i="9"/>
  <c r="AM229" i="9"/>
  <c r="AN229" i="9" s="1"/>
  <c r="AM230" i="9"/>
  <c r="AM239" i="9"/>
  <c r="AM240" i="9"/>
  <c r="AM241" i="9"/>
  <c r="AM252" i="9"/>
  <c r="AM253" i="9"/>
  <c r="AN253" i="9" s="1"/>
  <c r="AM254" i="9"/>
  <c r="AM259" i="9"/>
  <c r="AN259" i="9" s="1"/>
  <c r="AM260" i="9"/>
  <c r="AM261" i="9"/>
  <c r="AM262" i="9"/>
  <c r="AM263" i="9"/>
  <c r="AN263" i="9" s="1"/>
  <c r="AM264" i="9"/>
  <c r="AM265" i="9"/>
  <c r="AN265" i="9" s="1"/>
  <c r="AM276" i="9"/>
  <c r="AM277" i="9"/>
  <c r="AM278" i="9"/>
  <c r="AN278" i="9" s="1"/>
  <c r="AM285" i="9"/>
  <c r="AM286" i="9"/>
  <c r="AM287" i="9"/>
  <c r="AM288" i="9"/>
  <c r="AN288" i="9" s="1"/>
  <c r="AM289" i="9"/>
  <c r="AN289" i="9" s="1"/>
  <c r="AM300" i="9"/>
  <c r="AM301" i="9"/>
  <c r="AM302" i="9"/>
  <c r="AM307" i="9"/>
  <c r="AN307" i="9" s="1"/>
  <c r="AM309" i="9"/>
  <c r="AN309" i="9" s="1"/>
  <c r="AM311" i="9"/>
  <c r="AN311" i="9" s="1"/>
  <c r="AM312" i="9"/>
  <c r="AM313" i="9"/>
  <c r="AN313" i="9" s="1"/>
  <c r="AM324" i="9"/>
  <c r="AM325" i="9"/>
  <c r="AM326" i="9"/>
  <c r="AM331" i="9"/>
  <c r="AN331" i="9" s="1"/>
  <c r="AM335" i="9"/>
  <c r="AN335" i="9" s="1"/>
  <c r="AM336" i="9"/>
  <c r="AM337" i="9"/>
  <c r="AM344" i="9"/>
  <c r="AN344" i="9" s="1"/>
  <c r="AM345" i="9"/>
  <c r="AM346" i="9"/>
  <c r="AM347" i="9"/>
  <c r="AN347" i="9" s="1"/>
  <c r="AM348" i="9"/>
  <c r="AM349" i="9"/>
  <c r="AN349" i="9" s="1"/>
  <c r="AM350" i="9"/>
  <c r="AM355" i="9"/>
  <c r="AN355" i="9" s="1"/>
  <c r="AM357" i="9"/>
  <c r="AN357" i="9" s="1"/>
  <c r="AM359" i="9"/>
  <c r="AM360" i="9"/>
  <c r="AN360" i="9" s="1"/>
  <c r="AM361" i="9"/>
  <c r="AM372" i="9"/>
  <c r="AN372" i="9" s="1"/>
  <c r="AM373" i="9"/>
  <c r="AN373" i="9" s="1"/>
  <c r="AM374" i="9"/>
  <c r="AM381" i="9"/>
  <c r="AM382" i="9"/>
  <c r="AM383" i="9"/>
  <c r="AM384" i="9"/>
  <c r="AM385" i="9"/>
  <c r="AN385" i="9" s="1"/>
  <c r="AM396" i="9"/>
  <c r="AM397" i="9"/>
  <c r="AN397" i="9" s="1"/>
  <c r="AM398" i="9"/>
  <c r="AM407" i="9"/>
  <c r="AM408" i="9"/>
  <c r="AM409" i="9"/>
  <c r="E4" i="9"/>
  <c r="G4" i="9" s="1"/>
  <c r="I4" i="9" s="1"/>
  <c r="K4" i="9" s="1"/>
  <c r="M4" i="9" s="1"/>
  <c r="O4" i="9" s="1"/>
  <c r="Q4" i="9" s="1"/>
  <c r="S4" i="9" s="1"/>
  <c r="U4" i="9" s="1"/>
  <c r="W4" i="9" s="1"/>
  <c r="Y4" i="9" s="1"/>
  <c r="AA4" i="9" s="1"/>
  <c r="AC4" i="9" s="1"/>
  <c r="AE4" i="9" s="1"/>
  <c r="AG4" i="9" s="1"/>
  <c r="AI4" i="9" s="1"/>
  <c r="AK4" i="9" s="1"/>
  <c r="AM4" i="9" s="1"/>
  <c r="AN4" i="9" s="1"/>
  <c r="E5" i="9"/>
  <c r="G5" i="9" s="1"/>
  <c r="I5" i="9" s="1"/>
  <c r="K5" i="9" s="1"/>
  <c r="M5" i="9" s="1"/>
  <c r="O5" i="9" s="1"/>
  <c r="Q5" i="9" s="1"/>
  <c r="S5" i="9" s="1"/>
  <c r="U5" i="9" s="1"/>
  <c r="W5" i="9" s="1"/>
  <c r="Y5" i="9" s="1"/>
  <c r="AA5" i="9" s="1"/>
  <c r="AC5" i="9" s="1"/>
  <c r="AE5" i="9" s="1"/>
  <c r="AG5" i="9" s="1"/>
  <c r="AI5" i="9" s="1"/>
  <c r="AK5" i="9" s="1"/>
  <c r="AM5" i="9" s="1"/>
  <c r="AN5" i="9" s="1"/>
  <c r="E6" i="9"/>
  <c r="G6" i="9" s="1"/>
  <c r="I6" i="9" s="1"/>
  <c r="K6" i="9" s="1"/>
  <c r="M6" i="9" s="1"/>
  <c r="O6" i="9" s="1"/>
  <c r="Q6" i="9" s="1"/>
  <c r="S6" i="9" s="1"/>
  <c r="U6" i="9" s="1"/>
  <c r="W6" i="9" s="1"/>
  <c r="Y6" i="9" s="1"/>
  <c r="AA6" i="9" s="1"/>
  <c r="AC6" i="9" s="1"/>
  <c r="AE6" i="9" s="1"/>
  <c r="AG6" i="9" s="1"/>
  <c r="AI6" i="9" s="1"/>
  <c r="AK6" i="9" s="1"/>
  <c r="AM6" i="9" s="1"/>
  <c r="AN6" i="9" s="1"/>
  <c r="E7" i="9"/>
  <c r="G7" i="9" s="1"/>
  <c r="I7" i="9" s="1"/>
  <c r="K7" i="9" s="1"/>
  <c r="M7" i="9" s="1"/>
  <c r="O7" i="9" s="1"/>
  <c r="Q7" i="9" s="1"/>
  <c r="S7" i="9" s="1"/>
  <c r="U7" i="9" s="1"/>
  <c r="W7" i="9" s="1"/>
  <c r="Y7" i="9" s="1"/>
  <c r="AA7" i="9" s="1"/>
  <c r="AC7" i="9" s="1"/>
  <c r="AE7" i="9" s="1"/>
  <c r="AG7" i="9" s="1"/>
  <c r="AI7" i="9" s="1"/>
  <c r="AK7" i="9" s="1"/>
  <c r="AM7" i="9" s="1"/>
  <c r="AN7" i="9" s="1"/>
  <c r="E8" i="9"/>
  <c r="G8" i="9" s="1"/>
  <c r="I8" i="9" s="1"/>
  <c r="K8" i="9" s="1"/>
  <c r="M8" i="9" s="1"/>
  <c r="O8" i="9" s="1"/>
  <c r="Q8" i="9" s="1"/>
  <c r="S8" i="9" s="1"/>
  <c r="U8" i="9" s="1"/>
  <c r="W8" i="9" s="1"/>
  <c r="Y8" i="9" s="1"/>
  <c r="AA8" i="9" s="1"/>
  <c r="AC8" i="9" s="1"/>
  <c r="AE8" i="9" s="1"/>
  <c r="AG8" i="9" s="1"/>
  <c r="AI8" i="9" s="1"/>
  <c r="AK8" i="9" s="1"/>
  <c r="AM8" i="9" s="1"/>
  <c r="AN8" i="9" s="1"/>
  <c r="E9" i="9"/>
  <c r="G9" i="9" s="1"/>
  <c r="I9" i="9" s="1"/>
  <c r="K9" i="9" s="1"/>
  <c r="M9" i="9" s="1"/>
  <c r="O9" i="9" s="1"/>
  <c r="Q9" i="9" s="1"/>
  <c r="S9" i="9" s="1"/>
  <c r="U9" i="9" s="1"/>
  <c r="W9" i="9" s="1"/>
  <c r="Y9" i="9" s="1"/>
  <c r="AA9" i="9" s="1"/>
  <c r="AC9" i="9" s="1"/>
  <c r="AE9" i="9" s="1"/>
  <c r="AG9" i="9" s="1"/>
  <c r="AI9" i="9" s="1"/>
  <c r="AK9" i="9" s="1"/>
  <c r="AM9" i="9" s="1"/>
  <c r="AN9" i="9" s="1"/>
  <c r="E10" i="9"/>
  <c r="G10" i="9" s="1"/>
  <c r="I10" i="9" s="1"/>
  <c r="K10" i="9" s="1"/>
  <c r="M10" i="9" s="1"/>
  <c r="O10" i="9" s="1"/>
  <c r="Q10" i="9" s="1"/>
  <c r="S10" i="9" s="1"/>
  <c r="U10" i="9" s="1"/>
  <c r="W10" i="9" s="1"/>
  <c r="Y10" i="9" s="1"/>
  <c r="AA10" i="9" s="1"/>
  <c r="AC10" i="9" s="1"/>
  <c r="AE10" i="9" s="1"/>
  <c r="AG10" i="9" s="1"/>
  <c r="AI10" i="9" s="1"/>
  <c r="AK10" i="9" s="1"/>
  <c r="AM10" i="9" s="1"/>
  <c r="AN10" i="9" s="1"/>
  <c r="E11" i="9"/>
  <c r="G11" i="9" s="1"/>
  <c r="I11" i="9" s="1"/>
  <c r="K11" i="9" s="1"/>
  <c r="M11" i="9" s="1"/>
  <c r="O11" i="9" s="1"/>
  <c r="Q11" i="9" s="1"/>
  <c r="S11" i="9" s="1"/>
  <c r="U11" i="9" s="1"/>
  <c r="W11" i="9" s="1"/>
  <c r="Y11" i="9" s="1"/>
  <c r="AA11" i="9" s="1"/>
  <c r="AC11" i="9" s="1"/>
  <c r="AE11" i="9" s="1"/>
  <c r="AG11" i="9" s="1"/>
  <c r="AI11" i="9" s="1"/>
  <c r="AK11" i="9" s="1"/>
  <c r="AM11" i="9" s="1"/>
  <c r="AN11" i="9" s="1"/>
  <c r="E12" i="9"/>
  <c r="G12" i="9" s="1"/>
  <c r="I12" i="9" s="1"/>
  <c r="K12" i="9" s="1"/>
  <c r="M12" i="9" s="1"/>
  <c r="O12" i="9" s="1"/>
  <c r="Q12" i="9" s="1"/>
  <c r="S12" i="9" s="1"/>
  <c r="U12" i="9" s="1"/>
  <c r="W12" i="9" s="1"/>
  <c r="Y12" i="9" s="1"/>
  <c r="AA12" i="9" s="1"/>
  <c r="AC12" i="9" s="1"/>
  <c r="AE12" i="9" s="1"/>
  <c r="AG12" i="9" s="1"/>
  <c r="AI12" i="9" s="1"/>
  <c r="AK12" i="9" s="1"/>
  <c r="E13" i="9"/>
  <c r="G13" i="9" s="1"/>
  <c r="I13" i="9" s="1"/>
  <c r="K13" i="9" s="1"/>
  <c r="M13" i="9" s="1"/>
  <c r="O13" i="9" s="1"/>
  <c r="Q13" i="9" s="1"/>
  <c r="S13" i="9" s="1"/>
  <c r="U13" i="9" s="1"/>
  <c r="W13" i="9" s="1"/>
  <c r="Y13" i="9" s="1"/>
  <c r="AA13" i="9" s="1"/>
  <c r="AC13" i="9" s="1"/>
  <c r="AE13" i="9" s="1"/>
  <c r="AG13" i="9" s="1"/>
  <c r="AI13" i="9" s="1"/>
  <c r="AK13" i="9" s="1"/>
  <c r="E14" i="9"/>
  <c r="G14" i="9" s="1"/>
  <c r="I14" i="9" s="1"/>
  <c r="K14" i="9" s="1"/>
  <c r="M14" i="9" s="1"/>
  <c r="O14" i="9" s="1"/>
  <c r="Q14" i="9" s="1"/>
  <c r="S14" i="9" s="1"/>
  <c r="U14" i="9" s="1"/>
  <c r="W14" i="9" s="1"/>
  <c r="Y14" i="9" s="1"/>
  <c r="AA14" i="9" s="1"/>
  <c r="AC14" i="9" s="1"/>
  <c r="AE14" i="9" s="1"/>
  <c r="AG14" i="9" s="1"/>
  <c r="AI14" i="9" s="1"/>
  <c r="AK14" i="9" s="1"/>
  <c r="E15" i="9"/>
  <c r="G15" i="9" s="1"/>
  <c r="I15" i="9" s="1"/>
  <c r="K15" i="9" s="1"/>
  <c r="M15" i="9" s="1"/>
  <c r="O15" i="9" s="1"/>
  <c r="Q15" i="9" s="1"/>
  <c r="S15" i="9" s="1"/>
  <c r="U15" i="9" s="1"/>
  <c r="W15" i="9" s="1"/>
  <c r="Y15" i="9" s="1"/>
  <c r="AA15" i="9" s="1"/>
  <c r="AC15" i="9" s="1"/>
  <c r="AE15" i="9" s="1"/>
  <c r="AG15" i="9" s="1"/>
  <c r="AI15" i="9" s="1"/>
  <c r="AK15" i="9" s="1"/>
  <c r="AM15" i="9" s="1"/>
  <c r="AN15" i="9" s="1"/>
  <c r="E16" i="9"/>
  <c r="G16" i="9" s="1"/>
  <c r="I16" i="9" s="1"/>
  <c r="K16" i="9" s="1"/>
  <c r="M16" i="9" s="1"/>
  <c r="O16" i="9" s="1"/>
  <c r="Q16" i="9" s="1"/>
  <c r="S16" i="9" s="1"/>
  <c r="U16" i="9" s="1"/>
  <c r="W16" i="9" s="1"/>
  <c r="Y16" i="9" s="1"/>
  <c r="AA16" i="9" s="1"/>
  <c r="AC16" i="9" s="1"/>
  <c r="AE16" i="9" s="1"/>
  <c r="AG16" i="9" s="1"/>
  <c r="AI16" i="9" s="1"/>
  <c r="AK16" i="9" s="1"/>
  <c r="AM16" i="9" s="1"/>
  <c r="AN16" i="9" s="1"/>
  <c r="E17" i="9"/>
  <c r="G17" i="9" s="1"/>
  <c r="I17" i="9" s="1"/>
  <c r="K17" i="9" s="1"/>
  <c r="M17" i="9" s="1"/>
  <c r="O17" i="9" s="1"/>
  <c r="Q17" i="9" s="1"/>
  <c r="S17" i="9" s="1"/>
  <c r="U17" i="9" s="1"/>
  <c r="W17" i="9" s="1"/>
  <c r="Y17" i="9" s="1"/>
  <c r="AA17" i="9" s="1"/>
  <c r="AC17" i="9" s="1"/>
  <c r="AE17" i="9" s="1"/>
  <c r="AG17" i="9" s="1"/>
  <c r="AI17" i="9" s="1"/>
  <c r="AK17" i="9" s="1"/>
  <c r="AM17" i="9" s="1"/>
  <c r="AN17" i="9" s="1"/>
  <c r="E18" i="9"/>
  <c r="G18" i="9" s="1"/>
  <c r="I18" i="9" s="1"/>
  <c r="K18" i="9" s="1"/>
  <c r="M18" i="9" s="1"/>
  <c r="O18" i="9" s="1"/>
  <c r="Q18" i="9" s="1"/>
  <c r="S18" i="9" s="1"/>
  <c r="U18" i="9" s="1"/>
  <c r="W18" i="9" s="1"/>
  <c r="Y18" i="9" s="1"/>
  <c r="AA18" i="9" s="1"/>
  <c r="AC18" i="9" s="1"/>
  <c r="AE18" i="9" s="1"/>
  <c r="AG18" i="9" s="1"/>
  <c r="AI18" i="9" s="1"/>
  <c r="AK18" i="9" s="1"/>
  <c r="AM18" i="9" s="1"/>
  <c r="AN18" i="9" s="1"/>
  <c r="E19" i="9"/>
  <c r="G19" i="9" s="1"/>
  <c r="I19" i="9" s="1"/>
  <c r="K19" i="9" s="1"/>
  <c r="M19" i="9" s="1"/>
  <c r="O19" i="9" s="1"/>
  <c r="Q19" i="9" s="1"/>
  <c r="S19" i="9" s="1"/>
  <c r="U19" i="9" s="1"/>
  <c r="W19" i="9" s="1"/>
  <c r="Y19" i="9" s="1"/>
  <c r="AA19" i="9" s="1"/>
  <c r="AC19" i="9" s="1"/>
  <c r="AE19" i="9" s="1"/>
  <c r="AG19" i="9" s="1"/>
  <c r="AI19" i="9" s="1"/>
  <c r="AK19" i="9" s="1"/>
  <c r="E20" i="9"/>
  <c r="G20" i="9" s="1"/>
  <c r="I20" i="9" s="1"/>
  <c r="K20" i="9" s="1"/>
  <c r="M20" i="9" s="1"/>
  <c r="O20" i="9" s="1"/>
  <c r="Q20" i="9" s="1"/>
  <c r="S20" i="9" s="1"/>
  <c r="U20" i="9" s="1"/>
  <c r="W20" i="9" s="1"/>
  <c r="Y20" i="9" s="1"/>
  <c r="AA20" i="9" s="1"/>
  <c r="AC20" i="9" s="1"/>
  <c r="AE20" i="9" s="1"/>
  <c r="AG20" i="9" s="1"/>
  <c r="AI20" i="9" s="1"/>
  <c r="AK20" i="9" s="1"/>
  <c r="AM20" i="9" s="1"/>
  <c r="AN20" i="9" s="1"/>
  <c r="E21" i="9"/>
  <c r="G21" i="9" s="1"/>
  <c r="I21" i="9" s="1"/>
  <c r="K21" i="9" s="1"/>
  <c r="M21" i="9" s="1"/>
  <c r="O21" i="9" s="1"/>
  <c r="Q21" i="9" s="1"/>
  <c r="S21" i="9" s="1"/>
  <c r="U21" i="9" s="1"/>
  <c r="W21" i="9" s="1"/>
  <c r="Y21" i="9" s="1"/>
  <c r="AA21" i="9" s="1"/>
  <c r="AC21" i="9" s="1"/>
  <c r="AE21" i="9" s="1"/>
  <c r="AG21" i="9" s="1"/>
  <c r="AI21" i="9" s="1"/>
  <c r="AK21" i="9" s="1"/>
  <c r="E22" i="9"/>
  <c r="G22" i="9" s="1"/>
  <c r="I22" i="9" s="1"/>
  <c r="K22" i="9" s="1"/>
  <c r="M22" i="9" s="1"/>
  <c r="O22" i="9" s="1"/>
  <c r="Q22" i="9" s="1"/>
  <c r="S22" i="9" s="1"/>
  <c r="U22" i="9" s="1"/>
  <c r="W22" i="9" s="1"/>
  <c r="Y22" i="9" s="1"/>
  <c r="AA22" i="9" s="1"/>
  <c r="AC22" i="9" s="1"/>
  <c r="AE22" i="9" s="1"/>
  <c r="AG22" i="9" s="1"/>
  <c r="AI22" i="9" s="1"/>
  <c r="AK22" i="9" s="1"/>
  <c r="AM22" i="9" s="1"/>
  <c r="AN22" i="9" s="1"/>
  <c r="E23" i="9"/>
  <c r="G23" i="9" s="1"/>
  <c r="I23" i="9" s="1"/>
  <c r="K23" i="9" s="1"/>
  <c r="M23" i="9" s="1"/>
  <c r="O23" i="9" s="1"/>
  <c r="Q23" i="9" s="1"/>
  <c r="S23" i="9" s="1"/>
  <c r="U23" i="9" s="1"/>
  <c r="W23" i="9" s="1"/>
  <c r="Y23" i="9" s="1"/>
  <c r="AA23" i="9" s="1"/>
  <c r="AC23" i="9" s="1"/>
  <c r="AE23" i="9" s="1"/>
  <c r="AG23" i="9" s="1"/>
  <c r="AI23" i="9" s="1"/>
  <c r="AK23" i="9" s="1"/>
  <c r="E24" i="9"/>
  <c r="G24" i="9" s="1"/>
  <c r="I24" i="9" s="1"/>
  <c r="K24" i="9" s="1"/>
  <c r="M24" i="9" s="1"/>
  <c r="O24" i="9" s="1"/>
  <c r="Q24" i="9" s="1"/>
  <c r="S24" i="9" s="1"/>
  <c r="U24" i="9" s="1"/>
  <c r="W24" i="9" s="1"/>
  <c r="Y24" i="9" s="1"/>
  <c r="AA24" i="9" s="1"/>
  <c r="AC24" i="9" s="1"/>
  <c r="AE24" i="9" s="1"/>
  <c r="AG24" i="9" s="1"/>
  <c r="AI24" i="9" s="1"/>
  <c r="AK24" i="9" s="1"/>
  <c r="E25" i="9"/>
  <c r="G25" i="9" s="1"/>
  <c r="I25" i="9" s="1"/>
  <c r="K25" i="9" s="1"/>
  <c r="M25" i="9" s="1"/>
  <c r="O25" i="9" s="1"/>
  <c r="Q25" i="9" s="1"/>
  <c r="S25" i="9" s="1"/>
  <c r="U25" i="9" s="1"/>
  <c r="W25" i="9" s="1"/>
  <c r="Y25" i="9" s="1"/>
  <c r="AA25" i="9" s="1"/>
  <c r="AC25" i="9" s="1"/>
  <c r="AE25" i="9" s="1"/>
  <c r="AG25" i="9" s="1"/>
  <c r="AI25" i="9" s="1"/>
  <c r="AK25" i="9" s="1"/>
  <c r="E26" i="9"/>
  <c r="G26" i="9" s="1"/>
  <c r="I26" i="9" s="1"/>
  <c r="K26" i="9" s="1"/>
  <c r="M26" i="9" s="1"/>
  <c r="O26" i="9" s="1"/>
  <c r="Q26" i="9" s="1"/>
  <c r="S26" i="9" s="1"/>
  <c r="U26" i="9" s="1"/>
  <c r="W26" i="9" s="1"/>
  <c r="Y26" i="9" s="1"/>
  <c r="AA26" i="9" s="1"/>
  <c r="AC26" i="9" s="1"/>
  <c r="AE26" i="9" s="1"/>
  <c r="AG26" i="9" s="1"/>
  <c r="AI26" i="9" s="1"/>
  <c r="AK26" i="9" s="1"/>
  <c r="AM26" i="9" s="1"/>
  <c r="E27" i="9"/>
  <c r="G27" i="9" s="1"/>
  <c r="I27" i="9" s="1"/>
  <c r="K27" i="9" s="1"/>
  <c r="M27" i="9" s="1"/>
  <c r="O27" i="9" s="1"/>
  <c r="Q27" i="9" s="1"/>
  <c r="S27" i="9" s="1"/>
  <c r="U27" i="9" s="1"/>
  <c r="W27" i="9" s="1"/>
  <c r="Y27" i="9" s="1"/>
  <c r="AA27" i="9" s="1"/>
  <c r="AC27" i="9" s="1"/>
  <c r="AE27" i="9" s="1"/>
  <c r="AG27" i="9" s="1"/>
  <c r="AI27" i="9" s="1"/>
  <c r="AK27" i="9" s="1"/>
  <c r="AM27" i="9" s="1"/>
  <c r="AN27" i="9" s="1"/>
  <c r="E28" i="9"/>
  <c r="G28" i="9" s="1"/>
  <c r="I28" i="9" s="1"/>
  <c r="K28" i="9" s="1"/>
  <c r="M28" i="9" s="1"/>
  <c r="O28" i="9" s="1"/>
  <c r="Q28" i="9" s="1"/>
  <c r="S28" i="9" s="1"/>
  <c r="U28" i="9" s="1"/>
  <c r="W28" i="9" s="1"/>
  <c r="Y28" i="9" s="1"/>
  <c r="AA28" i="9" s="1"/>
  <c r="AC28" i="9" s="1"/>
  <c r="AE28" i="9" s="1"/>
  <c r="AG28" i="9" s="1"/>
  <c r="AI28" i="9" s="1"/>
  <c r="AK28" i="9" s="1"/>
  <c r="AM28" i="9" s="1"/>
  <c r="AN28" i="9" s="1"/>
  <c r="E29" i="9"/>
  <c r="G29" i="9" s="1"/>
  <c r="I29" i="9" s="1"/>
  <c r="K29" i="9" s="1"/>
  <c r="M29" i="9" s="1"/>
  <c r="O29" i="9" s="1"/>
  <c r="Q29" i="9" s="1"/>
  <c r="S29" i="9" s="1"/>
  <c r="U29" i="9" s="1"/>
  <c r="W29" i="9" s="1"/>
  <c r="Y29" i="9" s="1"/>
  <c r="AA29" i="9" s="1"/>
  <c r="AC29" i="9" s="1"/>
  <c r="AE29" i="9" s="1"/>
  <c r="AG29" i="9" s="1"/>
  <c r="AI29" i="9" s="1"/>
  <c r="AK29" i="9" s="1"/>
  <c r="AM29" i="9" s="1"/>
  <c r="AN29" i="9" s="1"/>
  <c r="E30" i="9"/>
  <c r="G30" i="9" s="1"/>
  <c r="I30" i="9" s="1"/>
  <c r="K30" i="9" s="1"/>
  <c r="M30" i="9" s="1"/>
  <c r="O30" i="9" s="1"/>
  <c r="Q30" i="9" s="1"/>
  <c r="S30" i="9" s="1"/>
  <c r="U30" i="9" s="1"/>
  <c r="W30" i="9" s="1"/>
  <c r="Y30" i="9" s="1"/>
  <c r="AA30" i="9" s="1"/>
  <c r="AC30" i="9" s="1"/>
  <c r="AE30" i="9" s="1"/>
  <c r="AG30" i="9" s="1"/>
  <c r="AI30" i="9" s="1"/>
  <c r="AK30" i="9" s="1"/>
  <c r="AM30" i="9" s="1"/>
  <c r="AN30" i="9" s="1"/>
  <c r="E31" i="9"/>
  <c r="G31" i="9" s="1"/>
  <c r="I31" i="9" s="1"/>
  <c r="K31" i="9" s="1"/>
  <c r="M31" i="9" s="1"/>
  <c r="O31" i="9" s="1"/>
  <c r="Q31" i="9" s="1"/>
  <c r="S31" i="9" s="1"/>
  <c r="U31" i="9" s="1"/>
  <c r="W31" i="9" s="1"/>
  <c r="Y31" i="9" s="1"/>
  <c r="AA31" i="9" s="1"/>
  <c r="AC31" i="9" s="1"/>
  <c r="AE31" i="9" s="1"/>
  <c r="AG31" i="9" s="1"/>
  <c r="AI31" i="9" s="1"/>
  <c r="AK31" i="9" s="1"/>
  <c r="AM31" i="9" s="1"/>
  <c r="AN31" i="9" s="1"/>
  <c r="E32" i="9"/>
  <c r="G32" i="9" s="1"/>
  <c r="I32" i="9" s="1"/>
  <c r="K32" i="9" s="1"/>
  <c r="M32" i="9" s="1"/>
  <c r="O32" i="9" s="1"/>
  <c r="Q32" i="9" s="1"/>
  <c r="S32" i="9" s="1"/>
  <c r="U32" i="9" s="1"/>
  <c r="W32" i="9" s="1"/>
  <c r="Y32" i="9" s="1"/>
  <c r="AA32" i="9" s="1"/>
  <c r="AC32" i="9" s="1"/>
  <c r="AE32" i="9" s="1"/>
  <c r="AG32" i="9" s="1"/>
  <c r="AI32" i="9" s="1"/>
  <c r="AK32" i="9" s="1"/>
  <c r="AM32" i="9" s="1"/>
  <c r="AN32" i="9" s="1"/>
  <c r="E33" i="9"/>
  <c r="G33" i="9" s="1"/>
  <c r="I33" i="9" s="1"/>
  <c r="K33" i="9" s="1"/>
  <c r="M33" i="9" s="1"/>
  <c r="O33" i="9" s="1"/>
  <c r="Q33" i="9" s="1"/>
  <c r="S33" i="9" s="1"/>
  <c r="U33" i="9" s="1"/>
  <c r="W33" i="9" s="1"/>
  <c r="Y33" i="9" s="1"/>
  <c r="AA33" i="9" s="1"/>
  <c r="AC33" i="9" s="1"/>
  <c r="AE33" i="9" s="1"/>
  <c r="AG33" i="9" s="1"/>
  <c r="AI33" i="9" s="1"/>
  <c r="AK33" i="9" s="1"/>
  <c r="AM33" i="9" s="1"/>
  <c r="AN33" i="9" s="1"/>
  <c r="E34" i="9"/>
  <c r="G34" i="9" s="1"/>
  <c r="I34" i="9" s="1"/>
  <c r="K34" i="9" s="1"/>
  <c r="M34" i="9" s="1"/>
  <c r="O34" i="9" s="1"/>
  <c r="Q34" i="9" s="1"/>
  <c r="S34" i="9" s="1"/>
  <c r="U34" i="9" s="1"/>
  <c r="W34" i="9" s="1"/>
  <c r="Y34" i="9" s="1"/>
  <c r="AA34" i="9" s="1"/>
  <c r="AC34" i="9" s="1"/>
  <c r="AE34" i="9" s="1"/>
  <c r="AG34" i="9" s="1"/>
  <c r="AI34" i="9" s="1"/>
  <c r="AK34" i="9" s="1"/>
  <c r="AM34" i="9" s="1"/>
  <c r="AN34" i="9" s="1"/>
  <c r="E35" i="9"/>
  <c r="G35" i="9" s="1"/>
  <c r="I35" i="9" s="1"/>
  <c r="K35" i="9" s="1"/>
  <c r="M35" i="9" s="1"/>
  <c r="O35" i="9" s="1"/>
  <c r="Q35" i="9" s="1"/>
  <c r="S35" i="9" s="1"/>
  <c r="U35" i="9" s="1"/>
  <c r="W35" i="9" s="1"/>
  <c r="Y35" i="9" s="1"/>
  <c r="AA35" i="9" s="1"/>
  <c r="AC35" i="9" s="1"/>
  <c r="AE35" i="9" s="1"/>
  <c r="AG35" i="9" s="1"/>
  <c r="AI35" i="9" s="1"/>
  <c r="AK35" i="9" s="1"/>
  <c r="AM35" i="9" s="1"/>
  <c r="AN35" i="9" s="1"/>
  <c r="E36" i="9"/>
  <c r="G36" i="9" s="1"/>
  <c r="I36" i="9" s="1"/>
  <c r="K36" i="9" s="1"/>
  <c r="M36" i="9" s="1"/>
  <c r="O36" i="9" s="1"/>
  <c r="Q36" i="9" s="1"/>
  <c r="S36" i="9" s="1"/>
  <c r="U36" i="9" s="1"/>
  <c r="W36" i="9" s="1"/>
  <c r="Y36" i="9" s="1"/>
  <c r="AA36" i="9" s="1"/>
  <c r="AC36" i="9" s="1"/>
  <c r="AE36" i="9" s="1"/>
  <c r="AG36" i="9" s="1"/>
  <c r="AI36" i="9" s="1"/>
  <c r="AK36" i="9" s="1"/>
  <c r="E37" i="9"/>
  <c r="G37" i="9" s="1"/>
  <c r="I37" i="9" s="1"/>
  <c r="K37" i="9" s="1"/>
  <c r="M37" i="9" s="1"/>
  <c r="O37" i="9" s="1"/>
  <c r="Q37" i="9" s="1"/>
  <c r="S37" i="9" s="1"/>
  <c r="U37" i="9" s="1"/>
  <c r="W37" i="9" s="1"/>
  <c r="Y37" i="9" s="1"/>
  <c r="AA37" i="9" s="1"/>
  <c r="AC37" i="9" s="1"/>
  <c r="AE37" i="9" s="1"/>
  <c r="AG37" i="9" s="1"/>
  <c r="AI37" i="9" s="1"/>
  <c r="AK37" i="9" s="1"/>
  <c r="E38" i="9"/>
  <c r="G38" i="9" s="1"/>
  <c r="I38" i="9" s="1"/>
  <c r="K38" i="9" s="1"/>
  <c r="M38" i="9" s="1"/>
  <c r="O38" i="9" s="1"/>
  <c r="Q38" i="9" s="1"/>
  <c r="S38" i="9" s="1"/>
  <c r="U38" i="9" s="1"/>
  <c r="W38" i="9" s="1"/>
  <c r="Y38" i="9" s="1"/>
  <c r="AA38" i="9" s="1"/>
  <c r="AC38" i="9" s="1"/>
  <c r="AE38" i="9" s="1"/>
  <c r="AG38" i="9" s="1"/>
  <c r="AI38" i="9" s="1"/>
  <c r="AK38" i="9" s="1"/>
  <c r="E39" i="9"/>
  <c r="G39" i="9" s="1"/>
  <c r="I39" i="9" s="1"/>
  <c r="K39" i="9" s="1"/>
  <c r="M39" i="9" s="1"/>
  <c r="O39" i="9" s="1"/>
  <c r="Q39" i="9" s="1"/>
  <c r="S39" i="9" s="1"/>
  <c r="U39" i="9" s="1"/>
  <c r="W39" i="9" s="1"/>
  <c r="Y39" i="9" s="1"/>
  <c r="AA39" i="9" s="1"/>
  <c r="AC39" i="9" s="1"/>
  <c r="AE39" i="9" s="1"/>
  <c r="AG39" i="9" s="1"/>
  <c r="AI39" i="9" s="1"/>
  <c r="AK39" i="9" s="1"/>
  <c r="AM39" i="9" s="1"/>
  <c r="E40" i="9"/>
  <c r="G40" i="9" s="1"/>
  <c r="I40" i="9" s="1"/>
  <c r="K40" i="9" s="1"/>
  <c r="M40" i="9" s="1"/>
  <c r="O40" i="9" s="1"/>
  <c r="Q40" i="9" s="1"/>
  <c r="S40" i="9" s="1"/>
  <c r="U40" i="9" s="1"/>
  <c r="W40" i="9" s="1"/>
  <c r="Y40" i="9" s="1"/>
  <c r="AA40" i="9" s="1"/>
  <c r="AC40" i="9" s="1"/>
  <c r="AE40" i="9" s="1"/>
  <c r="AG40" i="9" s="1"/>
  <c r="AI40" i="9" s="1"/>
  <c r="AK40" i="9" s="1"/>
  <c r="AM40" i="9" s="1"/>
  <c r="AN40" i="9" s="1"/>
  <c r="E41" i="9"/>
  <c r="G41" i="9" s="1"/>
  <c r="I41" i="9" s="1"/>
  <c r="K41" i="9" s="1"/>
  <c r="M41" i="9" s="1"/>
  <c r="O41" i="9" s="1"/>
  <c r="Q41" i="9" s="1"/>
  <c r="S41" i="9" s="1"/>
  <c r="U41" i="9" s="1"/>
  <c r="W41" i="9" s="1"/>
  <c r="Y41" i="9" s="1"/>
  <c r="AA41" i="9" s="1"/>
  <c r="AC41" i="9" s="1"/>
  <c r="AE41" i="9" s="1"/>
  <c r="AG41" i="9" s="1"/>
  <c r="AI41" i="9" s="1"/>
  <c r="AK41" i="9" s="1"/>
  <c r="AM41" i="9" s="1"/>
  <c r="AN41" i="9" s="1"/>
  <c r="E42" i="9"/>
  <c r="G42" i="9" s="1"/>
  <c r="I42" i="9" s="1"/>
  <c r="K42" i="9" s="1"/>
  <c r="M42" i="9" s="1"/>
  <c r="O42" i="9" s="1"/>
  <c r="Q42" i="9" s="1"/>
  <c r="S42" i="9" s="1"/>
  <c r="U42" i="9" s="1"/>
  <c r="W42" i="9" s="1"/>
  <c r="Y42" i="9" s="1"/>
  <c r="AA42" i="9" s="1"/>
  <c r="AC42" i="9" s="1"/>
  <c r="AE42" i="9" s="1"/>
  <c r="AG42" i="9" s="1"/>
  <c r="AI42" i="9" s="1"/>
  <c r="AK42" i="9" s="1"/>
  <c r="AM42" i="9" s="1"/>
  <c r="AN42" i="9" s="1"/>
  <c r="E43" i="9"/>
  <c r="G43" i="9" s="1"/>
  <c r="I43" i="9" s="1"/>
  <c r="K43" i="9" s="1"/>
  <c r="M43" i="9" s="1"/>
  <c r="O43" i="9" s="1"/>
  <c r="Q43" i="9" s="1"/>
  <c r="S43" i="9" s="1"/>
  <c r="U43" i="9" s="1"/>
  <c r="W43" i="9" s="1"/>
  <c r="Y43" i="9" s="1"/>
  <c r="AA43" i="9" s="1"/>
  <c r="AC43" i="9" s="1"/>
  <c r="AE43" i="9" s="1"/>
  <c r="AG43" i="9" s="1"/>
  <c r="AI43" i="9" s="1"/>
  <c r="AK43" i="9" s="1"/>
  <c r="E44" i="9"/>
  <c r="G44" i="9" s="1"/>
  <c r="I44" i="9" s="1"/>
  <c r="K44" i="9" s="1"/>
  <c r="M44" i="9" s="1"/>
  <c r="O44" i="9" s="1"/>
  <c r="Q44" i="9" s="1"/>
  <c r="S44" i="9" s="1"/>
  <c r="U44" i="9" s="1"/>
  <c r="W44" i="9" s="1"/>
  <c r="Y44" i="9" s="1"/>
  <c r="AA44" i="9" s="1"/>
  <c r="AC44" i="9" s="1"/>
  <c r="AE44" i="9" s="1"/>
  <c r="AG44" i="9" s="1"/>
  <c r="AI44" i="9" s="1"/>
  <c r="AK44" i="9" s="1"/>
  <c r="AM44" i="9" s="1"/>
  <c r="AN44" i="9" s="1"/>
  <c r="E45" i="9"/>
  <c r="G45" i="9" s="1"/>
  <c r="I45" i="9" s="1"/>
  <c r="K45" i="9" s="1"/>
  <c r="M45" i="9" s="1"/>
  <c r="O45" i="9" s="1"/>
  <c r="Q45" i="9" s="1"/>
  <c r="S45" i="9" s="1"/>
  <c r="U45" i="9" s="1"/>
  <c r="W45" i="9" s="1"/>
  <c r="Y45" i="9" s="1"/>
  <c r="AA45" i="9" s="1"/>
  <c r="AC45" i="9" s="1"/>
  <c r="AE45" i="9" s="1"/>
  <c r="AG45" i="9" s="1"/>
  <c r="AI45" i="9" s="1"/>
  <c r="AK45" i="9" s="1"/>
  <c r="AM45" i="9" s="1"/>
  <c r="AN45" i="9" s="1"/>
  <c r="E46" i="9"/>
  <c r="G46" i="9" s="1"/>
  <c r="I46" i="9" s="1"/>
  <c r="K46" i="9" s="1"/>
  <c r="M46" i="9" s="1"/>
  <c r="O46" i="9" s="1"/>
  <c r="Q46" i="9" s="1"/>
  <c r="S46" i="9" s="1"/>
  <c r="U46" i="9" s="1"/>
  <c r="W46" i="9" s="1"/>
  <c r="Y46" i="9" s="1"/>
  <c r="AA46" i="9" s="1"/>
  <c r="AC46" i="9" s="1"/>
  <c r="AE46" i="9" s="1"/>
  <c r="AG46" i="9" s="1"/>
  <c r="AI46" i="9" s="1"/>
  <c r="AK46" i="9" s="1"/>
  <c r="AM46" i="9" s="1"/>
  <c r="AN46" i="9" s="1"/>
  <c r="E47" i="9"/>
  <c r="G47" i="9" s="1"/>
  <c r="I47" i="9" s="1"/>
  <c r="K47" i="9" s="1"/>
  <c r="M47" i="9" s="1"/>
  <c r="O47" i="9" s="1"/>
  <c r="Q47" i="9" s="1"/>
  <c r="S47" i="9" s="1"/>
  <c r="U47" i="9" s="1"/>
  <c r="W47" i="9" s="1"/>
  <c r="Y47" i="9" s="1"/>
  <c r="AA47" i="9" s="1"/>
  <c r="AC47" i="9" s="1"/>
  <c r="AE47" i="9" s="1"/>
  <c r="AG47" i="9" s="1"/>
  <c r="AI47" i="9" s="1"/>
  <c r="AK47" i="9" s="1"/>
  <c r="E48" i="9"/>
  <c r="G48" i="9" s="1"/>
  <c r="I48" i="9" s="1"/>
  <c r="K48" i="9" s="1"/>
  <c r="M48" i="9" s="1"/>
  <c r="O48" i="9" s="1"/>
  <c r="Q48" i="9" s="1"/>
  <c r="S48" i="9" s="1"/>
  <c r="U48" i="9" s="1"/>
  <c r="W48" i="9" s="1"/>
  <c r="Y48" i="9" s="1"/>
  <c r="AA48" i="9" s="1"/>
  <c r="AC48" i="9" s="1"/>
  <c r="AE48" i="9" s="1"/>
  <c r="AG48" i="9" s="1"/>
  <c r="AI48" i="9" s="1"/>
  <c r="AK48" i="9" s="1"/>
  <c r="E49" i="9"/>
  <c r="G49" i="9" s="1"/>
  <c r="I49" i="9" s="1"/>
  <c r="K49" i="9" s="1"/>
  <c r="M49" i="9" s="1"/>
  <c r="O49" i="9" s="1"/>
  <c r="Q49" i="9" s="1"/>
  <c r="S49" i="9" s="1"/>
  <c r="U49" i="9" s="1"/>
  <c r="W49" i="9" s="1"/>
  <c r="Y49" i="9" s="1"/>
  <c r="AA49" i="9" s="1"/>
  <c r="AC49" i="9" s="1"/>
  <c r="AE49" i="9" s="1"/>
  <c r="AG49" i="9" s="1"/>
  <c r="AI49" i="9" s="1"/>
  <c r="AK49" i="9" s="1"/>
  <c r="E50" i="9"/>
  <c r="G50" i="9" s="1"/>
  <c r="I50" i="9" s="1"/>
  <c r="K50" i="9" s="1"/>
  <c r="M50" i="9" s="1"/>
  <c r="O50" i="9" s="1"/>
  <c r="Q50" i="9" s="1"/>
  <c r="S50" i="9" s="1"/>
  <c r="U50" i="9" s="1"/>
  <c r="W50" i="9" s="1"/>
  <c r="Y50" i="9" s="1"/>
  <c r="AA50" i="9" s="1"/>
  <c r="AC50" i="9" s="1"/>
  <c r="AE50" i="9" s="1"/>
  <c r="AG50" i="9" s="1"/>
  <c r="AI50" i="9" s="1"/>
  <c r="AK50" i="9" s="1"/>
  <c r="AM50" i="9" s="1"/>
  <c r="AN50" i="9" s="1"/>
  <c r="E51" i="9"/>
  <c r="G51" i="9" s="1"/>
  <c r="I51" i="9" s="1"/>
  <c r="K51" i="9" s="1"/>
  <c r="M51" i="9" s="1"/>
  <c r="O51" i="9" s="1"/>
  <c r="Q51" i="9" s="1"/>
  <c r="S51" i="9" s="1"/>
  <c r="U51" i="9" s="1"/>
  <c r="W51" i="9" s="1"/>
  <c r="Y51" i="9" s="1"/>
  <c r="AA51" i="9" s="1"/>
  <c r="AC51" i="9" s="1"/>
  <c r="AE51" i="9" s="1"/>
  <c r="AG51" i="9" s="1"/>
  <c r="AI51" i="9" s="1"/>
  <c r="AK51" i="9" s="1"/>
  <c r="AM51" i="9" s="1"/>
  <c r="AN51" i="9" s="1"/>
  <c r="E52" i="9"/>
  <c r="G52" i="9" s="1"/>
  <c r="I52" i="9" s="1"/>
  <c r="K52" i="9" s="1"/>
  <c r="M52" i="9" s="1"/>
  <c r="O52" i="9" s="1"/>
  <c r="Q52" i="9" s="1"/>
  <c r="S52" i="9" s="1"/>
  <c r="U52" i="9" s="1"/>
  <c r="W52" i="9" s="1"/>
  <c r="Y52" i="9" s="1"/>
  <c r="AA52" i="9" s="1"/>
  <c r="AC52" i="9" s="1"/>
  <c r="AE52" i="9" s="1"/>
  <c r="AG52" i="9" s="1"/>
  <c r="AI52" i="9" s="1"/>
  <c r="AK52" i="9" s="1"/>
  <c r="AM52" i="9" s="1"/>
  <c r="AN52" i="9" s="1"/>
  <c r="E53" i="9"/>
  <c r="G53" i="9" s="1"/>
  <c r="I53" i="9" s="1"/>
  <c r="K53" i="9" s="1"/>
  <c r="M53" i="9" s="1"/>
  <c r="O53" i="9" s="1"/>
  <c r="Q53" i="9" s="1"/>
  <c r="S53" i="9" s="1"/>
  <c r="U53" i="9" s="1"/>
  <c r="W53" i="9" s="1"/>
  <c r="Y53" i="9" s="1"/>
  <c r="AA53" i="9" s="1"/>
  <c r="AC53" i="9" s="1"/>
  <c r="AE53" i="9" s="1"/>
  <c r="AG53" i="9" s="1"/>
  <c r="AI53" i="9" s="1"/>
  <c r="AK53" i="9" s="1"/>
  <c r="AM53" i="9" s="1"/>
  <c r="AN53" i="9" s="1"/>
  <c r="E54" i="9"/>
  <c r="G54" i="9" s="1"/>
  <c r="I54" i="9" s="1"/>
  <c r="K54" i="9" s="1"/>
  <c r="M54" i="9" s="1"/>
  <c r="O54" i="9" s="1"/>
  <c r="Q54" i="9" s="1"/>
  <c r="S54" i="9" s="1"/>
  <c r="U54" i="9" s="1"/>
  <c r="W54" i="9" s="1"/>
  <c r="Y54" i="9" s="1"/>
  <c r="AA54" i="9" s="1"/>
  <c r="AC54" i="9" s="1"/>
  <c r="AE54" i="9" s="1"/>
  <c r="AG54" i="9" s="1"/>
  <c r="AI54" i="9" s="1"/>
  <c r="AK54" i="9" s="1"/>
  <c r="AM54" i="9" s="1"/>
  <c r="AN54" i="9" s="1"/>
  <c r="E55" i="9"/>
  <c r="G55" i="9" s="1"/>
  <c r="I55" i="9" s="1"/>
  <c r="K55" i="9" s="1"/>
  <c r="M55" i="9" s="1"/>
  <c r="O55" i="9" s="1"/>
  <c r="Q55" i="9" s="1"/>
  <c r="S55" i="9" s="1"/>
  <c r="U55" i="9" s="1"/>
  <c r="W55" i="9" s="1"/>
  <c r="Y55" i="9" s="1"/>
  <c r="AA55" i="9" s="1"/>
  <c r="AC55" i="9" s="1"/>
  <c r="AE55" i="9" s="1"/>
  <c r="AG55" i="9" s="1"/>
  <c r="AI55" i="9" s="1"/>
  <c r="AK55" i="9" s="1"/>
  <c r="AM55" i="9" s="1"/>
  <c r="AN55" i="9" s="1"/>
  <c r="E56" i="9"/>
  <c r="G56" i="9" s="1"/>
  <c r="I56" i="9" s="1"/>
  <c r="K56" i="9" s="1"/>
  <c r="M56" i="9" s="1"/>
  <c r="O56" i="9" s="1"/>
  <c r="Q56" i="9" s="1"/>
  <c r="S56" i="9" s="1"/>
  <c r="U56" i="9" s="1"/>
  <c r="W56" i="9" s="1"/>
  <c r="Y56" i="9" s="1"/>
  <c r="AA56" i="9" s="1"/>
  <c r="AC56" i="9" s="1"/>
  <c r="AE56" i="9" s="1"/>
  <c r="AG56" i="9" s="1"/>
  <c r="AI56" i="9" s="1"/>
  <c r="AK56" i="9" s="1"/>
  <c r="E57" i="9"/>
  <c r="G57" i="9" s="1"/>
  <c r="I57" i="9" s="1"/>
  <c r="K57" i="9" s="1"/>
  <c r="M57" i="9" s="1"/>
  <c r="O57" i="9" s="1"/>
  <c r="Q57" i="9" s="1"/>
  <c r="S57" i="9" s="1"/>
  <c r="U57" i="9" s="1"/>
  <c r="W57" i="9" s="1"/>
  <c r="Y57" i="9" s="1"/>
  <c r="AA57" i="9" s="1"/>
  <c r="AC57" i="9" s="1"/>
  <c r="AE57" i="9" s="1"/>
  <c r="AG57" i="9" s="1"/>
  <c r="AI57" i="9" s="1"/>
  <c r="AK57" i="9" s="1"/>
  <c r="E58" i="9"/>
  <c r="G58" i="9" s="1"/>
  <c r="I58" i="9" s="1"/>
  <c r="K58" i="9" s="1"/>
  <c r="M58" i="9" s="1"/>
  <c r="O58" i="9" s="1"/>
  <c r="Q58" i="9" s="1"/>
  <c r="S58" i="9" s="1"/>
  <c r="U58" i="9" s="1"/>
  <c r="W58" i="9" s="1"/>
  <c r="Y58" i="9" s="1"/>
  <c r="AA58" i="9" s="1"/>
  <c r="AC58" i="9" s="1"/>
  <c r="AE58" i="9" s="1"/>
  <c r="AG58" i="9" s="1"/>
  <c r="AI58" i="9" s="1"/>
  <c r="AK58" i="9" s="1"/>
  <c r="E59" i="9"/>
  <c r="G59" i="9" s="1"/>
  <c r="I59" i="9" s="1"/>
  <c r="K59" i="9" s="1"/>
  <c r="M59" i="9" s="1"/>
  <c r="O59" i="9" s="1"/>
  <c r="Q59" i="9" s="1"/>
  <c r="S59" i="9" s="1"/>
  <c r="U59" i="9" s="1"/>
  <c r="W59" i="9" s="1"/>
  <c r="Y59" i="9" s="1"/>
  <c r="AA59" i="9" s="1"/>
  <c r="AC59" i="9" s="1"/>
  <c r="AE59" i="9" s="1"/>
  <c r="AG59" i="9" s="1"/>
  <c r="AI59" i="9" s="1"/>
  <c r="AK59" i="9" s="1"/>
  <c r="E60" i="9"/>
  <c r="G60" i="9" s="1"/>
  <c r="I60" i="9" s="1"/>
  <c r="K60" i="9" s="1"/>
  <c r="M60" i="9" s="1"/>
  <c r="O60" i="9" s="1"/>
  <c r="Q60" i="9" s="1"/>
  <c r="S60" i="9" s="1"/>
  <c r="U60" i="9" s="1"/>
  <c r="W60" i="9" s="1"/>
  <c r="Y60" i="9" s="1"/>
  <c r="AA60" i="9" s="1"/>
  <c r="AC60" i="9" s="1"/>
  <c r="AE60" i="9" s="1"/>
  <c r="AG60" i="9" s="1"/>
  <c r="AI60" i="9" s="1"/>
  <c r="AK60" i="9" s="1"/>
  <c r="E61" i="9"/>
  <c r="G61" i="9" s="1"/>
  <c r="I61" i="9" s="1"/>
  <c r="K61" i="9" s="1"/>
  <c r="M61" i="9" s="1"/>
  <c r="O61" i="9" s="1"/>
  <c r="Q61" i="9" s="1"/>
  <c r="S61" i="9" s="1"/>
  <c r="U61" i="9" s="1"/>
  <c r="W61" i="9" s="1"/>
  <c r="Y61" i="9" s="1"/>
  <c r="AA61" i="9" s="1"/>
  <c r="AC61" i="9" s="1"/>
  <c r="AE61" i="9" s="1"/>
  <c r="AG61" i="9" s="1"/>
  <c r="AI61" i="9" s="1"/>
  <c r="AK61" i="9" s="1"/>
  <c r="E62" i="9"/>
  <c r="G62" i="9" s="1"/>
  <c r="I62" i="9" s="1"/>
  <c r="K62" i="9" s="1"/>
  <c r="M62" i="9" s="1"/>
  <c r="O62" i="9" s="1"/>
  <c r="Q62" i="9" s="1"/>
  <c r="S62" i="9" s="1"/>
  <c r="U62" i="9" s="1"/>
  <c r="W62" i="9" s="1"/>
  <c r="Y62" i="9" s="1"/>
  <c r="AA62" i="9" s="1"/>
  <c r="AC62" i="9" s="1"/>
  <c r="AE62" i="9" s="1"/>
  <c r="AG62" i="9" s="1"/>
  <c r="AI62" i="9" s="1"/>
  <c r="AK62" i="9" s="1"/>
  <c r="E63" i="9"/>
  <c r="G63" i="9" s="1"/>
  <c r="I63" i="9" s="1"/>
  <c r="K63" i="9" s="1"/>
  <c r="M63" i="9" s="1"/>
  <c r="O63" i="9" s="1"/>
  <c r="Q63" i="9" s="1"/>
  <c r="S63" i="9" s="1"/>
  <c r="U63" i="9" s="1"/>
  <c r="W63" i="9" s="1"/>
  <c r="Y63" i="9" s="1"/>
  <c r="AA63" i="9" s="1"/>
  <c r="AC63" i="9" s="1"/>
  <c r="AE63" i="9" s="1"/>
  <c r="AG63" i="9" s="1"/>
  <c r="AI63" i="9" s="1"/>
  <c r="AK63" i="9" s="1"/>
  <c r="AM63" i="9" s="1"/>
  <c r="AN63" i="9" s="1"/>
  <c r="E64" i="9"/>
  <c r="G64" i="9" s="1"/>
  <c r="I64" i="9" s="1"/>
  <c r="K64" i="9" s="1"/>
  <c r="M64" i="9" s="1"/>
  <c r="O64" i="9" s="1"/>
  <c r="Q64" i="9" s="1"/>
  <c r="S64" i="9" s="1"/>
  <c r="U64" i="9" s="1"/>
  <c r="W64" i="9" s="1"/>
  <c r="Y64" i="9" s="1"/>
  <c r="AA64" i="9" s="1"/>
  <c r="AC64" i="9" s="1"/>
  <c r="AE64" i="9" s="1"/>
  <c r="AG64" i="9" s="1"/>
  <c r="AI64" i="9" s="1"/>
  <c r="AK64" i="9" s="1"/>
  <c r="AM64" i="9" s="1"/>
  <c r="AN64" i="9" s="1"/>
  <c r="E65" i="9"/>
  <c r="G65" i="9" s="1"/>
  <c r="I65" i="9" s="1"/>
  <c r="K65" i="9" s="1"/>
  <c r="M65" i="9" s="1"/>
  <c r="O65" i="9" s="1"/>
  <c r="Q65" i="9" s="1"/>
  <c r="S65" i="9" s="1"/>
  <c r="U65" i="9" s="1"/>
  <c r="W65" i="9" s="1"/>
  <c r="Y65" i="9" s="1"/>
  <c r="AA65" i="9" s="1"/>
  <c r="AC65" i="9" s="1"/>
  <c r="AE65" i="9" s="1"/>
  <c r="AG65" i="9" s="1"/>
  <c r="AI65" i="9" s="1"/>
  <c r="AK65" i="9" s="1"/>
  <c r="AM65" i="9" s="1"/>
  <c r="AN65" i="9" s="1"/>
  <c r="E66" i="9"/>
  <c r="G66" i="9" s="1"/>
  <c r="I66" i="9" s="1"/>
  <c r="K66" i="9" s="1"/>
  <c r="M66" i="9" s="1"/>
  <c r="O66" i="9" s="1"/>
  <c r="Q66" i="9" s="1"/>
  <c r="S66" i="9" s="1"/>
  <c r="U66" i="9" s="1"/>
  <c r="W66" i="9" s="1"/>
  <c r="Y66" i="9" s="1"/>
  <c r="AA66" i="9" s="1"/>
  <c r="AC66" i="9" s="1"/>
  <c r="AE66" i="9" s="1"/>
  <c r="AG66" i="9" s="1"/>
  <c r="AI66" i="9" s="1"/>
  <c r="AK66" i="9" s="1"/>
  <c r="AM66" i="9" s="1"/>
  <c r="AN66" i="9" s="1"/>
  <c r="E67" i="9"/>
  <c r="G67" i="9" s="1"/>
  <c r="I67" i="9" s="1"/>
  <c r="K67" i="9" s="1"/>
  <c r="M67" i="9" s="1"/>
  <c r="O67" i="9" s="1"/>
  <c r="Q67" i="9" s="1"/>
  <c r="S67" i="9" s="1"/>
  <c r="U67" i="9" s="1"/>
  <c r="W67" i="9" s="1"/>
  <c r="Y67" i="9" s="1"/>
  <c r="AA67" i="9" s="1"/>
  <c r="AC67" i="9" s="1"/>
  <c r="AE67" i="9" s="1"/>
  <c r="AG67" i="9" s="1"/>
  <c r="AI67" i="9" s="1"/>
  <c r="AK67" i="9" s="1"/>
  <c r="E68" i="9"/>
  <c r="G68" i="9" s="1"/>
  <c r="I68" i="9" s="1"/>
  <c r="K68" i="9" s="1"/>
  <c r="M68" i="9" s="1"/>
  <c r="O68" i="9" s="1"/>
  <c r="Q68" i="9" s="1"/>
  <c r="S68" i="9" s="1"/>
  <c r="U68" i="9" s="1"/>
  <c r="W68" i="9" s="1"/>
  <c r="Y68" i="9" s="1"/>
  <c r="AA68" i="9" s="1"/>
  <c r="AC68" i="9" s="1"/>
  <c r="AE68" i="9" s="1"/>
  <c r="AG68" i="9" s="1"/>
  <c r="AI68" i="9" s="1"/>
  <c r="AK68" i="9" s="1"/>
  <c r="AM68" i="9" s="1"/>
  <c r="AN68" i="9" s="1"/>
  <c r="E69" i="9"/>
  <c r="G69" i="9" s="1"/>
  <c r="I69" i="9" s="1"/>
  <c r="K69" i="9" s="1"/>
  <c r="M69" i="9" s="1"/>
  <c r="O69" i="9" s="1"/>
  <c r="Q69" i="9" s="1"/>
  <c r="S69" i="9" s="1"/>
  <c r="U69" i="9" s="1"/>
  <c r="W69" i="9" s="1"/>
  <c r="Y69" i="9" s="1"/>
  <c r="AA69" i="9" s="1"/>
  <c r="AC69" i="9" s="1"/>
  <c r="AE69" i="9" s="1"/>
  <c r="AG69" i="9" s="1"/>
  <c r="AI69" i="9" s="1"/>
  <c r="AK69" i="9" s="1"/>
  <c r="E70" i="9"/>
  <c r="G70" i="9" s="1"/>
  <c r="I70" i="9" s="1"/>
  <c r="K70" i="9" s="1"/>
  <c r="M70" i="9" s="1"/>
  <c r="O70" i="9" s="1"/>
  <c r="Q70" i="9" s="1"/>
  <c r="S70" i="9" s="1"/>
  <c r="U70" i="9" s="1"/>
  <c r="W70" i="9" s="1"/>
  <c r="Y70" i="9" s="1"/>
  <c r="AA70" i="9" s="1"/>
  <c r="AC70" i="9" s="1"/>
  <c r="AE70" i="9" s="1"/>
  <c r="AG70" i="9" s="1"/>
  <c r="AI70" i="9" s="1"/>
  <c r="AK70" i="9" s="1"/>
  <c r="AM70" i="9" s="1"/>
  <c r="AN70" i="9" s="1"/>
  <c r="E71" i="9"/>
  <c r="G71" i="9" s="1"/>
  <c r="I71" i="9" s="1"/>
  <c r="K71" i="9" s="1"/>
  <c r="M71" i="9" s="1"/>
  <c r="O71" i="9" s="1"/>
  <c r="Q71" i="9" s="1"/>
  <c r="S71" i="9" s="1"/>
  <c r="U71" i="9" s="1"/>
  <c r="W71" i="9" s="1"/>
  <c r="Y71" i="9" s="1"/>
  <c r="AA71" i="9" s="1"/>
  <c r="AC71" i="9" s="1"/>
  <c r="AE71" i="9" s="1"/>
  <c r="AG71" i="9" s="1"/>
  <c r="AI71" i="9" s="1"/>
  <c r="AK71" i="9" s="1"/>
  <c r="E72" i="9"/>
  <c r="G72" i="9" s="1"/>
  <c r="I72" i="9" s="1"/>
  <c r="K72" i="9" s="1"/>
  <c r="M72" i="9" s="1"/>
  <c r="O72" i="9" s="1"/>
  <c r="Q72" i="9" s="1"/>
  <c r="S72" i="9" s="1"/>
  <c r="U72" i="9" s="1"/>
  <c r="W72" i="9" s="1"/>
  <c r="Y72" i="9" s="1"/>
  <c r="AA72" i="9" s="1"/>
  <c r="AC72" i="9" s="1"/>
  <c r="AE72" i="9" s="1"/>
  <c r="AG72" i="9" s="1"/>
  <c r="AI72" i="9" s="1"/>
  <c r="AK72" i="9" s="1"/>
  <c r="E73" i="9"/>
  <c r="G73" i="9" s="1"/>
  <c r="I73" i="9" s="1"/>
  <c r="K73" i="9" s="1"/>
  <c r="M73" i="9" s="1"/>
  <c r="O73" i="9" s="1"/>
  <c r="Q73" i="9" s="1"/>
  <c r="S73" i="9" s="1"/>
  <c r="U73" i="9" s="1"/>
  <c r="W73" i="9" s="1"/>
  <c r="Y73" i="9" s="1"/>
  <c r="AA73" i="9" s="1"/>
  <c r="AC73" i="9" s="1"/>
  <c r="AE73" i="9" s="1"/>
  <c r="AG73" i="9" s="1"/>
  <c r="AI73" i="9" s="1"/>
  <c r="AK73" i="9" s="1"/>
  <c r="E74" i="9"/>
  <c r="G74" i="9" s="1"/>
  <c r="I74" i="9" s="1"/>
  <c r="K74" i="9" s="1"/>
  <c r="M74" i="9" s="1"/>
  <c r="O74" i="9" s="1"/>
  <c r="Q74" i="9" s="1"/>
  <c r="S74" i="9" s="1"/>
  <c r="U74" i="9" s="1"/>
  <c r="W74" i="9" s="1"/>
  <c r="Y74" i="9" s="1"/>
  <c r="AA74" i="9" s="1"/>
  <c r="AC74" i="9" s="1"/>
  <c r="AE74" i="9" s="1"/>
  <c r="AG74" i="9" s="1"/>
  <c r="AI74" i="9" s="1"/>
  <c r="AK74" i="9" s="1"/>
  <c r="AM74" i="9" s="1"/>
  <c r="AN74" i="9" s="1"/>
  <c r="E75" i="9"/>
  <c r="G75" i="9" s="1"/>
  <c r="I75" i="9" s="1"/>
  <c r="K75" i="9" s="1"/>
  <c r="M75" i="9" s="1"/>
  <c r="O75" i="9" s="1"/>
  <c r="Q75" i="9" s="1"/>
  <c r="S75" i="9" s="1"/>
  <c r="U75" i="9" s="1"/>
  <c r="W75" i="9" s="1"/>
  <c r="Y75" i="9" s="1"/>
  <c r="AA75" i="9" s="1"/>
  <c r="AC75" i="9" s="1"/>
  <c r="AE75" i="9" s="1"/>
  <c r="AG75" i="9" s="1"/>
  <c r="AI75" i="9" s="1"/>
  <c r="AK75" i="9" s="1"/>
  <c r="AM75" i="9" s="1"/>
  <c r="AN75" i="9" s="1"/>
  <c r="E76" i="9"/>
  <c r="G76" i="9" s="1"/>
  <c r="I76" i="9" s="1"/>
  <c r="K76" i="9" s="1"/>
  <c r="M76" i="9" s="1"/>
  <c r="O76" i="9" s="1"/>
  <c r="Q76" i="9" s="1"/>
  <c r="S76" i="9" s="1"/>
  <c r="U76" i="9" s="1"/>
  <c r="W76" i="9" s="1"/>
  <c r="Y76" i="9" s="1"/>
  <c r="AA76" i="9" s="1"/>
  <c r="AC76" i="9" s="1"/>
  <c r="AE76" i="9" s="1"/>
  <c r="AG76" i="9" s="1"/>
  <c r="AI76" i="9" s="1"/>
  <c r="AK76" i="9" s="1"/>
  <c r="AM76" i="9" s="1"/>
  <c r="AN76" i="9" s="1"/>
  <c r="E77" i="9"/>
  <c r="G77" i="9" s="1"/>
  <c r="I77" i="9" s="1"/>
  <c r="K77" i="9" s="1"/>
  <c r="M77" i="9" s="1"/>
  <c r="O77" i="9" s="1"/>
  <c r="Q77" i="9" s="1"/>
  <c r="S77" i="9" s="1"/>
  <c r="U77" i="9" s="1"/>
  <c r="W77" i="9" s="1"/>
  <c r="Y77" i="9" s="1"/>
  <c r="AA77" i="9" s="1"/>
  <c r="AC77" i="9" s="1"/>
  <c r="AE77" i="9" s="1"/>
  <c r="AG77" i="9" s="1"/>
  <c r="AI77" i="9" s="1"/>
  <c r="AK77" i="9" s="1"/>
  <c r="AM77" i="9" s="1"/>
  <c r="AN77" i="9" s="1"/>
  <c r="E78" i="9"/>
  <c r="G78" i="9" s="1"/>
  <c r="I78" i="9" s="1"/>
  <c r="K78" i="9" s="1"/>
  <c r="M78" i="9" s="1"/>
  <c r="O78" i="9" s="1"/>
  <c r="Q78" i="9" s="1"/>
  <c r="S78" i="9" s="1"/>
  <c r="U78" i="9" s="1"/>
  <c r="W78" i="9" s="1"/>
  <c r="Y78" i="9" s="1"/>
  <c r="AA78" i="9" s="1"/>
  <c r="AC78" i="9" s="1"/>
  <c r="AE78" i="9" s="1"/>
  <c r="AG78" i="9" s="1"/>
  <c r="AI78" i="9" s="1"/>
  <c r="AK78" i="9" s="1"/>
  <c r="AM78" i="9" s="1"/>
  <c r="AN78" i="9" s="1"/>
  <c r="E79" i="9"/>
  <c r="G79" i="9" s="1"/>
  <c r="I79" i="9" s="1"/>
  <c r="K79" i="9" s="1"/>
  <c r="M79" i="9" s="1"/>
  <c r="O79" i="9" s="1"/>
  <c r="Q79" i="9" s="1"/>
  <c r="S79" i="9" s="1"/>
  <c r="U79" i="9" s="1"/>
  <c r="W79" i="9" s="1"/>
  <c r="Y79" i="9" s="1"/>
  <c r="AA79" i="9" s="1"/>
  <c r="AC79" i="9" s="1"/>
  <c r="AE79" i="9" s="1"/>
  <c r="AG79" i="9" s="1"/>
  <c r="AI79" i="9" s="1"/>
  <c r="AK79" i="9" s="1"/>
  <c r="AM79" i="9" s="1"/>
  <c r="AN79" i="9" s="1"/>
  <c r="E80" i="9"/>
  <c r="G80" i="9" s="1"/>
  <c r="I80" i="9" s="1"/>
  <c r="K80" i="9" s="1"/>
  <c r="M80" i="9" s="1"/>
  <c r="O80" i="9" s="1"/>
  <c r="Q80" i="9" s="1"/>
  <c r="S80" i="9" s="1"/>
  <c r="U80" i="9" s="1"/>
  <c r="W80" i="9" s="1"/>
  <c r="Y80" i="9" s="1"/>
  <c r="AA80" i="9" s="1"/>
  <c r="AC80" i="9" s="1"/>
  <c r="AE80" i="9" s="1"/>
  <c r="AG80" i="9" s="1"/>
  <c r="AI80" i="9" s="1"/>
  <c r="AK80" i="9" s="1"/>
  <c r="AM80" i="9" s="1"/>
  <c r="AN80" i="9" s="1"/>
  <c r="E81" i="9"/>
  <c r="G81" i="9" s="1"/>
  <c r="I81" i="9" s="1"/>
  <c r="K81" i="9" s="1"/>
  <c r="M81" i="9" s="1"/>
  <c r="O81" i="9" s="1"/>
  <c r="Q81" i="9" s="1"/>
  <c r="S81" i="9" s="1"/>
  <c r="U81" i="9" s="1"/>
  <c r="W81" i="9" s="1"/>
  <c r="Y81" i="9" s="1"/>
  <c r="AA81" i="9" s="1"/>
  <c r="AC81" i="9" s="1"/>
  <c r="AE81" i="9" s="1"/>
  <c r="AG81" i="9" s="1"/>
  <c r="AI81" i="9" s="1"/>
  <c r="AK81" i="9" s="1"/>
  <c r="AM81" i="9" s="1"/>
  <c r="AN81" i="9" s="1"/>
  <c r="E82" i="9"/>
  <c r="G82" i="9" s="1"/>
  <c r="I82" i="9" s="1"/>
  <c r="K82" i="9" s="1"/>
  <c r="M82" i="9" s="1"/>
  <c r="O82" i="9" s="1"/>
  <c r="Q82" i="9" s="1"/>
  <c r="S82" i="9" s="1"/>
  <c r="U82" i="9" s="1"/>
  <c r="W82" i="9" s="1"/>
  <c r="Y82" i="9" s="1"/>
  <c r="AA82" i="9" s="1"/>
  <c r="AC82" i="9" s="1"/>
  <c r="AE82" i="9" s="1"/>
  <c r="AG82" i="9" s="1"/>
  <c r="AI82" i="9" s="1"/>
  <c r="AK82" i="9" s="1"/>
  <c r="AM82" i="9" s="1"/>
  <c r="AN82" i="9" s="1"/>
  <c r="E83" i="9"/>
  <c r="G83" i="9" s="1"/>
  <c r="I83" i="9" s="1"/>
  <c r="K83" i="9" s="1"/>
  <c r="M83" i="9" s="1"/>
  <c r="O83" i="9" s="1"/>
  <c r="Q83" i="9" s="1"/>
  <c r="S83" i="9" s="1"/>
  <c r="U83" i="9" s="1"/>
  <c r="W83" i="9" s="1"/>
  <c r="Y83" i="9" s="1"/>
  <c r="AA83" i="9" s="1"/>
  <c r="AC83" i="9" s="1"/>
  <c r="AE83" i="9" s="1"/>
  <c r="AG83" i="9" s="1"/>
  <c r="AI83" i="9" s="1"/>
  <c r="AK83" i="9" s="1"/>
  <c r="AM83" i="9" s="1"/>
  <c r="AN83" i="9" s="1"/>
  <c r="E84" i="9"/>
  <c r="G84" i="9" s="1"/>
  <c r="I84" i="9" s="1"/>
  <c r="K84" i="9" s="1"/>
  <c r="M84" i="9" s="1"/>
  <c r="O84" i="9" s="1"/>
  <c r="Q84" i="9" s="1"/>
  <c r="S84" i="9" s="1"/>
  <c r="U84" i="9" s="1"/>
  <c r="W84" i="9" s="1"/>
  <c r="Y84" i="9" s="1"/>
  <c r="AA84" i="9" s="1"/>
  <c r="AC84" i="9" s="1"/>
  <c r="AE84" i="9" s="1"/>
  <c r="AG84" i="9" s="1"/>
  <c r="AI84" i="9" s="1"/>
  <c r="AK84" i="9" s="1"/>
  <c r="E85" i="9"/>
  <c r="G85" i="9" s="1"/>
  <c r="I85" i="9" s="1"/>
  <c r="K85" i="9" s="1"/>
  <c r="M85" i="9" s="1"/>
  <c r="O85" i="9" s="1"/>
  <c r="Q85" i="9" s="1"/>
  <c r="S85" i="9" s="1"/>
  <c r="U85" i="9" s="1"/>
  <c r="W85" i="9" s="1"/>
  <c r="Y85" i="9" s="1"/>
  <c r="AA85" i="9" s="1"/>
  <c r="AC85" i="9" s="1"/>
  <c r="AE85" i="9" s="1"/>
  <c r="AG85" i="9" s="1"/>
  <c r="AI85" i="9" s="1"/>
  <c r="AK85" i="9" s="1"/>
  <c r="E86" i="9"/>
  <c r="G86" i="9" s="1"/>
  <c r="I86" i="9" s="1"/>
  <c r="K86" i="9" s="1"/>
  <c r="M86" i="9" s="1"/>
  <c r="O86" i="9" s="1"/>
  <c r="Q86" i="9" s="1"/>
  <c r="S86" i="9" s="1"/>
  <c r="U86" i="9" s="1"/>
  <c r="W86" i="9" s="1"/>
  <c r="Y86" i="9" s="1"/>
  <c r="AA86" i="9" s="1"/>
  <c r="AC86" i="9" s="1"/>
  <c r="AE86" i="9" s="1"/>
  <c r="AG86" i="9" s="1"/>
  <c r="AI86" i="9" s="1"/>
  <c r="AK86" i="9" s="1"/>
  <c r="E87" i="9"/>
  <c r="G87" i="9" s="1"/>
  <c r="I87" i="9" s="1"/>
  <c r="K87" i="9" s="1"/>
  <c r="M87" i="9" s="1"/>
  <c r="O87" i="9" s="1"/>
  <c r="Q87" i="9" s="1"/>
  <c r="S87" i="9" s="1"/>
  <c r="U87" i="9" s="1"/>
  <c r="W87" i="9" s="1"/>
  <c r="Y87" i="9" s="1"/>
  <c r="AA87" i="9" s="1"/>
  <c r="AC87" i="9" s="1"/>
  <c r="AE87" i="9" s="1"/>
  <c r="AG87" i="9" s="1"/>
  <c r="AI87" i="9" s="1"/>
  <c r="AK87" i="9" s="1"/>
  <c r="AM87" i="9" s="1"/>
  <c r="E88" i="9"/>
  <c r="G88" i="9" s="1"/>
  <c r="I88" i="9" s="1"/>
  <c r="K88" i="9" s="1"/>
  <c r="M88" i="9" s="1"/>
  <c r="O88" i="9" s="1"/>
  <c r="Q88" i="9" s="1"/>
  <c r="S88" i="9" s="1"/>
  <c r="U88" i="9" s="1"/>
  <c r="W88" i="9" s="1"/>
  <c r="Y88" i="9" s="1"/>
  <c r="AA88" i="9" s="1"/>
  <c r="AC88" i="9" s="1"/>
  <c r="AE88" i="9" s="1"/>
  <c r="AG88" i="9" s="1"/>
  <c r="AI88" i="9" s="1"/>
  <c r="AK88" i="9" s="1"/>
  <c r="AM88" i="9" s="1"/>
  <c r="AN88" i="9" s="1"/>
  <c r="E89" i="9"/>
  <c r="G89" i="9" s="1"/>
  <c r="I89" i="9" s="1"/>
  <c r="K89" i="9" s="1"/>
  <c r="M89" i="9" s="1"/>
  <c r="O89" i="9" s="1"/>
  <c r="Q89" i="9" s="1"/>
  <c r="S89" i="9" s="1"/>
  <c r="U89" i="9" s="1"/>
  <c r="W89" i="9" s="1"/>
  <c r="Y89" i="9" s="1"/>
  <c r="AA89" i="9" s="1"/>
  <c r="AC89" i="9" s="1"/>
  <c r="AE89" i="9" s="1"/>
  <c r="AG89" i="9" s="1"/>
  <c r="AI89" i="9" s="1"/>
  <c r="AK89" i="9" s="1"/>
  <c r="AM89" i="9" s="1"/>
  <c r="AN89" i="9" s="1"/>
  <c r="E90" i="9"/>
  <c r="G90" i="9" s="1"/>
  <c r="I90" i="9" s="1"/>
  <c r="K90" i="9" s="1"/>
  <c r="M90" i="9" s="1"/>
  <c r="O90" i="9" s="1"/>
  <c r="Q90" i="9" s="1"/>
  <c r="S90" i="9" s="1"/>
  <c r="U90" i="9" s="1"/>
  <c r="W90" i="9" s="1"/>
  <c r="Y90" i="9" s="1"/>
  <c r="AA90" i="9" s="1"/>
  <c r="AC90" i="9" s="1"/>
  <c r="AE90" i="9" s="1"/>
  <c r="AG90" i="9" s="1"/>
  <c r="AI90" i="9" s="1"/>
  <c r="AK90" i="9" s="1"/>
  <c r="AM90" i="9" s="1"/>
  <c r="AN90" i="9" s="1"/>
  <c r="E91" i="9"/>
  <c r="G91" i="9" s="1"/>
  <c r="I91" i="9" s="1"/>
  <c r="K91" i="9" s="1"/>
  <c r="M91" i="9" s="1"/>
  <c r="O91" i="9" s="1"/>
  <c r="Q91" i="9" s="1"/>
  <c r="S91" i="9" s="1"/>
  <c r="U91" i="9" s="1"/>
  <c r="W91" i="9" s="1"/>
  <c r="Y91" i="9" s="1"/>
  <c r="AA91" i="9" s="1"/>
  <c r="AC91" i="9" s="1"/>
  <c r="AE91" i="9" s="1"/>
  <c r="AG91" i="9" s="1"/>
  <c r="AI91" i="9" s="1"/>
  <c r="AK91" i="9" s="1"/>
  <c r="E92" i="9"/>
  <c r="G92" i="9" s="1"/>
  <c r="I92" i="9" s="1"/>
  <c r="K92" i="9" s="1"/>
  <c r="M92" i="9" s="1"/>
  <c r="O92" i="9" s="1"/>
  <c r="Q92" i="9" s="1"/>
  <c r="S92" i="9" s="1"/>
  <c r="U92" i="9" s="1"/>
  <c r="W92" i="9" s="1"/>
  <c r="Y92" i="9" s="1"/>
  <c r="AA92" i="9" s="1"/>
  <c r="AC92" i="9" s="1"/>
  <c r="AE92" i="9" s="1"/>
  <c r="AG92" i="9" s="1"/>
  <c r="AI92" i="9" s="1"/>
  <c r="AK92" i="9" s="1"/>
  <c r="AM92" i="9" s="1"/>
  <c r="AN92" i="9" s="1"/>
  <c r="E93" i="9"/>
  <c r="G93" i="9" s="1"/>
  <c r="I93" i="9" s="1"/>
  <c r="K93" i="9" s="1"/>
  <c r="M93" i="9" s="1"/>
  <c r="O93" i="9" s="1"/>
  <c r="Q93" i="9" s="1"/>
  <c r="S93" i="9" s="1"/>
  <c r="U93" i="9" s="1"/>
  <c r="W93" i="9" s="1"/>
  <c r="Y93" i="9" s="1"/>
  <c r="AA93" i="9" s="1"/>
  <c r="AC93" i="9" s="1"/>
  <c r="AE93" i="9" s="1"/>
  <c r="AG93" i="9" s="1"/>
  <c r="AI93" i="9" s="1"/>
  <c r="AK93" i="9" s="1"/>
  <c r="E94" i="9"/>
  <c r="G94" i="9" s="1"/>
  <c r="I94" i="9" s="1"/>
  <c r="K94" i="9" s="1"/>
  <c r="M94" i="9" s="1"/>
  <c r="O94" i="9" s="1"/>
  <c r="Q94" i="9" s="1"/>
  <c r="S94" i="9" s="1"/>
  <c r="U94" i="9" s="1"/>
  <c r="W94" i="9" s="1"/>
  <c r="Y94" i="9" s="1"/>
  <c r="AA94" i="9" s="1"/>
  <c r="AC94" i="9" s="1"/>
  <c r="AE94" i="9" s="1"/>
  <c r="AG94" i="9" s="1"/>
  <c r="AI94" i="9" s="1"/>
  <c r="AK94" i="9" s="1"/>
  <c r="E95" i="9"/>
  <c r="G95" i="9" s="1"/>
  <c r="I95" i="9" s="1"/>
  <c r="K95" i="9" s="1"/>
  <c r="M95" i="9" s="1"/>
  <c r="O95" i="9" s="1"/>
  <c r="Q95" i="9" s="1"/>
  <c r="S95" i="9" s="1"/>
  <c r="U95" i="9" s="1"/>
  <c r="W95" i="9" s="1"/>
  <c r="Y95" i="9" s="1"/>
  <c r="AA95" i="9" s="1"/>
  <c r="AC95" i="9" s="1"/>
  <c r="AE95" i="9" s="1"/>
  <c r="AG95" i="9" s="1"/>
  <c r="AI95" i="9" s="1"/>
  <c r="AK95" i="9" s="1"/>
  <c r="E96" i="9"/>
  <c r="G96" i="9" s="1"/>
  <c r="I96" i="9" s="1"/>
  <c r="K96" i="9" s="1"/>
  <c r="M96" i="9" s="1"/>
  <c r="O96" i="9" s="1"/>
  <c r="Q96" i="9" s="1"/>
  <c r="S96" i="9" s="1"/>
  <c r="U96" i="9" s="1"/>
  <c r="W96" i="9" s="1"/>
  <c r="Y96" i="9" s="1"/>
  <c r="AA96" i="9" s="1"/>
  <c r="AC96" i="9" s="1"/>
  <c r="AE96" i="9" s="1"/>
  <c r="AG96" i="9" s="1"/>
  <c r="AI96" i="9" s="1"/>
  <c r="AK96" i="9" s="1"/>
  <c r="E97" i="9"/>
  <c r="G97" i="9" s="1"/>
  <c r="I97" i="9" s="1"/>
  <c r="K97" i="9" s="1"/>
  <c r="M97" i="9" s="1"/>
  <c r="O97" i="9" s="1"/>
  <c r="Q97" i="9" s="1"/>
  <c r="S97" i="9" s="1"/>
  <c r="U97" i="9" s="1"/>
  <c r="W97" i="9" s="1"/>
  <c r="Y97" i="9" s="1"/>
  <c r="AA97" i="9" s="1"/>
  <c r="AC97" i="9" s="1"/>
  <c r="AE97" i="9" s="1"/>
  <c r="AG97" i="9" s="1"/>
  <c r="AI97" i="9" s="1"/>
  <c r="AK97" i="9" s="1"/>
  <c r="E98" i="9"/>
  <c r="G98" i="9" s="1"/>
  <c r="I98" i="9" s="1"/>
  <c r="K98" i="9" s="1"/>
  <c r="M98" i="9" s="1"/>
  <c r="O98" i="9" s="1"/>
  <c r="Q98" i="9" s="1"/>
  <c r="S98" i="9" s="1"/>
  <c r="U98" i="9" s="1"/>
  <c r="W98" i="9" s="1"/>
  <c r="Y98" i="9" s="1"/>
  <c r="AA98" i="9" s="1"/>
  <c r="AC98" i="9" s="1"/>
  <c r="AE98" i="9" s="1"/>
  <c r="AG98" i="9" s="1"/>
  <c r="AI98" i="9" s="1"/>
  <c r="AK98" i="9" s="1"/>
  <c r="AM98" i="9" s="1"/>
  <c r="AN98" i="9" s="1"/>
  <c r="E99" i="9"/>
  <c r="G99" i="9" s="1"/>
  <c r="I99" i="9" s="1"/>
  <c r="K99" i="9" s="1"/>
  <c r="M99" i="9" s="1"/>
  <c r="O99" i="9" s="1"/>
  <c r="Q99" i="9" s="1"/>
  <c r="S99" i="9" s="1"/>
  <c r="U99" i="9" s="1"/>
  <c r="W99" i="9" s="1"/>
  <c r="Y99" i="9" s="1"/>
  <c r="AA99" i="9" s="1"/>
  <c r="AC99" i="9" s="1"/>
  <c r="AE99" i="9" s="1"/>
  <c r="AG99" i="9" s="1"/>
  <c r="AI99" i="9" s="1"/>
  <c r="AK99" i="9" s="1"/>
  <c r="AM99" i="9" s="1"/>
  <c r="AN99" i="9" s="1"/>
  <c r="E100" i="9"/>
  <c r="G100" i="9" s="1"/>
  <c r="I100" i="9" s="1"/>
  <c r="K100" i="9" s="1"/>
  <c r="M100" i="9" s="1"/>
  <c r="O100" i="9" s="1"/>
  <c r="Q100" i="9" s="1"/>
  <c r="S100" i="9" s="1"/>
  <c r="U100" i="9" s="1"/>
  <c r="W100" i="9" s="1"/>
  <c r="Y100" i="9" s="1"/>
  <c r="AA100" i="9" s="1"/>
  <c r="AC100" i="9" s="1"/>
  <c r="AE100" i="9" s="1"/>
  <c r="AG100" i="9" s="1"/>
  <c r="AI100" i="9" s="1"/>
  <c r="AK100" i="9" s="1"/>
  <c r="AM100" i="9" s="1"/>
  <c r="AN100" i="9" s="1"/>
  <c r="E101" i="9"/>
  <c r="G101" i="9" s="1"/>
  <c r="I101" i="9" s="1"/>
  <c r="K101" i="9" s="1"/>
  <c r="M101" i="9" s="1"/>
  <c r="O101" i="9" s="1"/>
  <c r="Q101" i="9" s="1"/>
  <c r="S101" i="9" s="1"/>
  <c r="U101" i="9" s="1"/>
  <c r="W101" i="9" s="1"/>
  <c r="Y101" i="9" s="1"/>
  <c r="AA101" i="9" s="1"/>
  <c r="AC101" i="9" s="1"/>
  <c r="AE101" i="9" s="1"/>
  <c r="AG101" i="9" s="1"/>
  <c r="AI101" i="9" s="1"/>
  <c r="AK101" i="9" s="1"/>
  <c r="AM101" i="9" s="1"/>
  <c r="AN101" i="9" s="1"/>
  <c r="E102" i="9"/>
  <c r="G102" i="9" s="1"/>
  <c r="I102" i="9" s="1"/>
  <c r="K102" i="9" s="1"/>
  <c r="M102" i="9" s="1"/>
  <c r="O102" i="9" s="1"/>
  <c r="Q102" i="9" s="1"/>
  <c r="S102" i="9" s="1"/>
  <c r="U102" i="9" s="1"/>
  <c r="W102" i="9" s="1"/>
  <c r="Y102" i="9" s="1"/>
  <c r="AA102" i="9" s="1"/>
  <c r="AC102" i="9" s="1"/>
  <c r="AE102" i="9" s="1"/>
  <c r="AG102" i="9" s="1"/>
  <c r="AI102" i="9" s="1"/>
  <c r="AK102" i="9" s="1"/>
  <c r="AM102" i="9" s="1"/>
  <c r="AN102" i="9" s="1"/>
  <c r="E103" i="9"/>
  <c r="G103" i="9" s="1"/>
  <c r="I103" i="9" s="1"/>
  <c r="K103" i="9" s="1"/>
  <c r="M103" i="9" s="1"/>
  <c r="O103" i="9" s="1"/>
  <c r="Q103" i="9" s="1"/>
  <c r="S103" i="9" s="1"/>
  <c r="U103" i="9" s="1"/>
  <c r="W103" i="9" s="1"/>
  <c r="Y103" i="9" s="1"/>
  <c r="AA103" i="9" s="1"/>
  <c r="AC103" i="9" s="1"/>
  <c r="AE103" i="9" s="1"/>
  <c r="AG103" i="9" s="1"/>
  <c r="AI103" i="9" s="1"/>
  <c r="AK103" i="9" s="1"/>
  <c r="AM103" i="9" s="1"/>
  <c r="AN103" i="9" s="1"/>
  <c r="E104" i="9"/>
  <c r="G104" i="9" s="1"/>
  <c r="I104" i="9" s="1"/>
  <c r="K104" i="9" s="1"/>
  <c r="M104" i="9" s="1"/>
  <c r="O104" i="9" s="1"/>
  <c r="Q104" i="9" s="1"/>
  <c r="S104" i="9" s="1"/>
  <c r="U104" i="9" s="1"/>
  <c r="W104" i="9" s="1"/>
  <c r="Y104" i="9" s="1"/>
  <c r="AA104" i="9" s="1"/>
  <c r="AC104" i="9" s="1"/>
  <c r="AE104" i="9" s="1"/>
  <c r="AG104" i="9" s="1"/>
  <c r="AI104" i="9" s="1"/>
  <c r="AK104" i="9" s="1"/>
  <c r="AM104" i="9" s="1"/>
  <c r="AN104" i="9" s="1"/>
  <c r="E105" i="9"/>
  <c r="G105" i="9" s="1"/>
  <c r="I105" i="9" s="1"/>
  <c r="K105" i="9" s="1"/>
  <c r="M105" i="9" s="1"/>
  <c r="O105" i="9" s="1"/>
  <c r="Q105" i="9" s="1"/>
  <c r="S105" i="9" s="1"/>
  <c r="U105" i="9" s="1"/>
  <c r="W105" i="9" s="1"/>
  <c r="Y105" i="9" s="1"/>
  <c r="AA105" i="9" s="1"/>
  <c r="AC105" i="9" s="1"/>
  <c r="AE105" i="9" s="1"/>
  <c r="AG105" i="9" s="1"/>
  <c r="AI105" i="9" s="1"/>
  <c r="AK105" i="9" s="1"/>
  <c r="AM105" i="9" s="1"/>
  <c r="AN105" i="9" s="1"/>
  <c r="E106" i="9"/>
  <c r="G106" i="9" s="1"/>
  <c r="I106" i="9" s="1"/>
  <c r="K106" i="9" s="1"/>
  <c r="M106" i="9" s="1"/>
  <c r="O106" i="9" s="1"/>
  <c r="Q106" i="9" s="1"/>
  <c r="S106" i="9" s="1"/>
  <c r="U106" i="9" s="1"/>
  <c r="W106" i="9" s="1"/>
  <c r="Y106" i="9" s="1"/>
  <c r="AA106" i="9" s="1"/>
  <c r="AC106" i="9" s="1"/>
  <c r="AE106" i="9" s="1"/>
  <c r="AG106" i="9" s="1"/>
  <c r="AI106" i="9" s="1"/>
  <c r="AK106" i="9" s="1"/>
  <c r="AM106" i="9" s="1"/>
  <c r="AN106" i="9" s="1"/>
  <c r="E107" i="9"/>
  <c r="G107" i="9" s="1"/>
  <c r="I107" i="9" s="1"/>
  <c r="K107" i="9" s="1"/>
  <c r="M107" i="9" s="1"/>
  <c r="O107" i="9" s="1"/>
  <c r="Q107" i="9" s="1"/>
  <c r="S107" i="9" s="1"/>
  <c r="U107" i="9" s="1"/>
  <c r="W107" i="9" s="1"/>
  <c r="Y107" i="9" s="1"/>
  <c r="AA107" i="9" s="1"/>
  <c r="AC107" i="9" s="1"/>
  <c r="AE107" i="9" s="1"/>
  <c r="AG107" i="9" s="1"/>
  <c r="AI107" i="9" s="1"/>
  <c r="AK107" i="9" s="1"/>
  <c r="AM107" i="9" s="1"/>
  <c r="AN107" i="9" s="1"/>
  <c r="E108" i="9"/>
  <c r="G108" i="9" s="1"/>
  <c r="I108" i="9" s="1"/>
  <c r="K108" i="9" s="1"/>
  <c r="M108" i="9" s="1"/>
  <c r="O108" i="9" s="1"/>
  <c r="Q108" i="9" s="1"/>
  <c r="S108" i="9" s="1"/>
  <c r="U108" i="9" s="1"/>
  <c r="W108" i="9" s="1"/>
  <c r="Y108" i="9" s="1"/>
  <c r="AA108" i="9" s="1"/>
  <c r="AC108" i="9" s="1"/>
  <c r="AE108" i="9" s="1"/>
  <c r="AG108" i="9" s="1"/>
  <c r="AI108" i="9" s="1"/>
  <c r="AK108" i="9" s="1"/>
  <c r="E109" i="9"/>
  <c r="G109" i="9" s="1"/>
  <c r="I109" i="9" s="1"/>
  <c r="K109" i="9" s="1"/>
  <c r="M109" i="9" s="1"/>
  <c r="O109" i="9" s="1"/>
  <c r="Q109" i="9" s="1"/>
  <c r="S109" i="9" s="1"/>
  <c r="U109" i="9" s="1"/>
  <c r="W109" i="9" s="1"/>
  <c r="Y109" i="9" s="1"/>
  <c r="AA109" i="9" s="1"/>
  <c r="AC109" i="9" s="1"/>
  <c r="AE109" i="9" s="1"/>
  <c r="AG109" i="9" s="1"/>
  <c r="AI109" i="9" s="1"/>
  <c r="AK109" i="9" s="1"/>
  <c r="E110" i="9"/>
  <c r="G110" i="9" s="1"/>
  <c r="I110" i="9" s="1"/>
  <c r="K110" i="9" s="1"/>
  <c r="M110" i="9" s="1"/>
  <c r="O110" i="9" s="1"/>
  <c r="Q110" i="9" s="1"/>
  <c r="S110" i="9" s="1"/>
  <c r="U110" i="9" s="1"/>
  <c r="W110" i="9" s="1"/>
  <c r="Y110" i="9" s="1"/>
  <c r="AA110" i="9" s="1"/>
  <c r="AC110" i="9" s="1"/>
  <c r="AE110" i="9" s="1"/>
  <c r="AG110" i="9" s="1"/>
  <c r="AI110" i="9" s="1"/>
  <c r="AK110" i="9" s="1"/>
  <c r="E111" i="9"/>
  <c r="G111" i="9" s="1"/>
  <c r="I111" i="9" s="1"/>
  <c r="K111" i="9" s="1"/>
  <c r="M111" i="9" s="1"/>
  <c r="O111" i="9" s="1"/>
  <c r="Q111" i="9" s="1"/>
  <c r="S111" i="9" s="1"/>
  <c r="U111" i="9" s="1"/>
  <c r="W111" i="9" s="1"/>
  <c r="Y111" i="9" s="1"/>
  <c r="AA111" i="9" s="1"/>
  <c r="AC111" i="9" s="1"/>
  <c r="AE111" i="9" s="1"/>
  <c r="AG111" i="9" s="1"/>
  <c r="AI111" i="9" s="1"/>
  <c r="AK111" i="9" s="1"/>
  <c r="AM111" i="9" s="1"/>
  <c r="AN111" i="9" s="1"/>
  <c r="E112" i="9"/>
  <c r="G112" i="9" s="1"/>
  <c r="I112" i="9" s="1"/>
  <c r="K112" i="9" s="1"/>
  <c r="M112" i="9" s="1"/>
  <c r="O112" i="9" s="1"/>
  <c r="Q112" i="9" s="1"/>
  <c r="S112" i="9" s="1"/>
  <c r="U112" i="9" s="1"/>
  <c r="W112" i="9" s="1"/>
  <c r="Y112" i="9" s="1"/>
  <c r="AA112" i="9" s="1"/>
  <c r="AC112" i="9" s="1"/>
  <c r="AE112" i="9" s="1"/>
  <c r="AG112" i="9" s="1"/>
  <c r="AI112" i="9" s="1"/>
  <c r="AK112" i="9" s="1"/>
  <c r="AM112" i="9" s="1"/>
  <c r="AN112" i="9" s="1"/>
  <c r="E113" i="9"/>
  <c r="G113" i="9" s="1"/>
  <c r="I113" i="9" s="1"/>
  <c r="K113" i="9" s="1"/>
  <c r="M113" i="9" s="1"/>
  <c r="O113" i="9" s="1"/>
  <c r="Q113" i="9" s="1"/>
  <c r="S113" i="9" s="1"/>
  <c r="U113" i="9" s="1"/>
  <c r="W113" i="9" s="1"/>
  <c r="Y113" i="9" s="1"/>
  <c r="AA113" i="9" s="1"/>
  <c r="AC113" i="9" s="1"/>
  <c r="AE113" i="9" s="1"/>
  <c r="AG113" i="9" s="1"/>
  <c r="AI113" i="9" s="1"/>
  <c r="AK113" i="9" s="1"/>
  <c r="AM113" i="9" s="1"/>
  <c r="AN113" i="9" s="1"/>
  <c r="E114" i="9"/>
  <c r="G114" i="9" s="1"/>
  <c r="I114" i="9" s="1"/>
  <c r="K114" i="9" s="1"/>
  <c r="M114" i="9" s="1"/>
  <c r="O114" i="9" s="1"/>
  <c r="Q114" i="9" s="1"/>
  <c r="S114" i="9" s="1"/>
  <c r="U114" i="9" s="1"/>
  <c r="W114" i="9" s="1"/>
  <c r="Y114" i="9" s="1"/>
  <c r="AA114" i="9" s="1"/>
  <c r="AC114" i="9" s="1"/>
  <c r="AE114" i="9" s="1"/>
  <c r="AG114" i="9" s="1"/>
  <c r="AI114" i="9" s="1"/>
  <c r="AK114" i="9" s="1"/>
  <c r="AM114" i="9" s="1"/>
  <c r="AN114" i="9" s="1"/>
  <c r="E115" i="9"/>
  <c r="G115" i="9" s="1"/>
  <c r="I115" i="9" s="1"/>
  <c r="K115" i="9" s="1"/>
  <c r="M115" i="9" s="1"/>
  <c r="O115" i="9" s="1"/>
  <c r="Q115" i="9" s="1"/>
  <c r="S115" i="9" s="1"/>
  <c r="U115" i="9" s="1"/>
  <c r="W115" i="9" s="1"/>
  <c r="Y115" i="9" s="1"/>
  <c r="AA115" i="9" s="1"/>
  <c r="AC115" i="9" s="1"/>
  <c r="AE115" i="9" s="1"/>
  <c r="AG115" i="9" s="1"/>
  <c r="AI115" i="9" s="1"/>
  <c r="AK115" i="9" s="1"/>
  <c r="AM115" i="9" s="1"/>
  <c r="AN115" i="9" s="1"/>
  <c r="E116" i="9"/>
  <c r="G116" i="9" s="1"/>
  <c r="I116" i="9" s="1"/>
  <c r="K116" i="9" s="1"/>
  <c r="M116" i="9" s="1"/>
  <c r="O116" i="9" s="1"/>
  <c r="Q116" i="9" s="1"/>
  <c r="S116" i="9" s="1"/>
  <c r="U116" i="9" s="1"/>
  <c r="W116" i="9" s="1"/>
  <c r="Y116" i="9" s="1"/>
  <c r="AA116" i="9" s="1"/>
  <c r="AC116" i="9" s="1"/>
  <c r="AE116" i="9" s="1"/>
  <c r="AG116" i="9" s="1"/>
  <c r="AI116" i="9" s="1"/>
  <c r="AK116" i="9" s="1"/>
  <c r="AM116" i="9" s="1"/>
  <c r="AN116" i="9" s="1"/>
  <c r="E117" i="9"/>
  <c r="G117" i="9" s="1"/>
  <c r="I117" i="9" s="1"/>
  <c r="K117" i="9" s="1"/>
  <c r="M117" i="9" s="1"/>
  <c r="O117" i="9" s="1"/>
  <c r="Q117" i="9" s="1"/>
  <c r="S117" i="9" s="1"/>
  <c r="U117" i="9" s="1"/>
  <c r="W117" i="9" s="1"/>
  <c r="Y117" i="9" s="1"/>
  <c r="AA117" i="9" s="1"/>
  <c r="AC117" i="9" s="1"/>
  <c r="AE117" i="9" s="1"/>
  <c r="AG117" i="9" s="1"/>
  <c r="AI117" i="9" s="1"/>
  <c r="AK117" i="9" s="1"/>
  <c r="AM117" i="9" s="1"/>
  <c r="AN117" i="9" s="1"/>
  <c r="E118" i="9"/>
  <c r="G118" i="9" s="1"/>
  <c r="I118" i="9" s="1"/>
  <c r="K118" i="9" s="1"/>
  <c r="M118" i="9" s="1"/>
  <c r="O118" i="9" s="1"/>
  <c r="Q118" i="9" s="1"/>
  <c r="S118" i="9" s="1"/>
  <c r="U118" i="9" s="1"/>
  <c r="W118" i="9" s="1"/>
  <c r="Y118" i="9" s="1"/>
  <c r="AA118" i="9" s="1"/>
  <c r="AC118" i="9" s="1"/>
  <c r="AE118" i="9" s="1"/>
  <c r="AG118" i="9" s="1"/>
  <c r="AI118" i="9" s="1"/>
  <c r="AK118" i="9" s="1"/>
  <c r="AM118" i="9" s="1"/>
  <c r="AN118" i="9" s="1"/>
  <c r="E119" i="9"/>
  <c r="G119" i="9" s="1"/>
  <c r="I119" i="9" s="1"/>
  <c r="K119" i="9" s="1"/>
  <c r="M119" i="9" s="1"/>
  <c r="O119" i="9" s="1"/>
  <c r="Q119" i="9" s="1"/>
  <c r="S119" i="9" s="1"/>
  <c r="U119" i="9" s="1"/>
  <c r="W119" i="9" s="1"/>
  <c r="Y119" i="9" s="1"/>
  <c r="AA119" i="9" s="1"/>
  <c r="AC119" i="9" s="1"/>
  <c r="AE119" i="9" s="1"/>
  <c r="AG119" i="9" s="1"/>
  <c r="AI119" i="9" s="1"/>
  <c r="AK119" i="9" s="1"/>
  <c r="E120" i="9"/>
  <c r="G120" i="9" s="1"/>
  <c r="I120" i="9" s="1"/>
  <c r="K120" i="9" s="1"/>
  <c r="M120" i="9" s="1"/>
  <c r="O120" i="9" s="1"/>
  <c r="Q120" i="9" s="1"/>
  <c r="S120" i="9" s="1"/>
  <c r="U120" i="9" s="1"/>
  <c r="W120" i="9" s="1"/>
  <c r="Y120" i="9" s="1"/>
  <c r="AA120" i="9" s="1"/>
  <c r="AC120" i="9" s="1"/>
  <c r="AE120" i="9" s="1"/>
  <c r="AG120" i="9" s="1"/>
  <c r="AI120" i="9" s="1"/>
  <c r="AK120" i="9" s="1"/>
  <c r="E121" i="9"/>
  <c r="G121" i="9" s="1"/>
  <c r="I121" i="9" s="1"/>
  <c r="K121" i="9" s="1"/>
  <c r="M121" i="9" s="1"/>
  <c r="O121" i="9" s="1"/>
  <c r="Q121" i="9" s="1"/>
  <c r="S121" i="9" s="1"/>
  <c r="U121" i="9" s="1"/>
  <c r="W121" i="9" s="1"/>
  <c r="Y121" i="9" s="1"/>
  <c r="AA121" i="9" s="1"/>
  <c r="AC121" i="9" s="1"/>
  <c r="AE121" i="9" s="1"/>
  <c r="AG121" i="9" s="1"/>
  <c r="AI121" i="9" s="1"/>
  <c r="AK121" i="9" s="1"/>
  <c r="E122" i="9"/>
  <c r="G122" i="9" s="1"/>
  <c r="I122" i="9" s="1"/>
  <c r="K122" i="9" s="1"/>
  <c r="M122" i="9" s="1"/>
  <c r="O122" i="9" s="1"/>
  <c r="Q122" i="9" s="1"/>
  <c r="S122" i="9" s="1"/>
  <c r="U122" i="9" s="1"/>
  <c r="W122" i="9" s="1"/>
  <c r="Y122" i="9" s="1"/>
  <c r="AA122" i="9" s="1"/>
  <c r="AC122" i="9" s="1"/>
  <c r="AE122" i="9" s="1"/>
  <c r="AG122" i="9" s="1"/>
  <c r="AI122" i="9" s="1"/>
  <c r="AK122" i="9" s="1"/>
  <c r="AM122" i="9" s="1"/>
  <c r="E123" i="9"/>
  <c r="G123" i="9" s="1"/>
  <c r="I123" i="9" s="1"/>
  <c r="K123" i="9" s="1"/>
  <c r="M123" i="9" s="1"/>
  <c r="O123" i="9" s="1"/>
  <c r="Q123" i="9" s="1"/>
  <c r="S123" i="9" s="1"/>
  <c r="U123" i="9" s="1"/>
  <c r="W123" i="9" s="1"/>
  <c r="Y123" i="9" s="1"/>
  <c r="AA123" i="9" s="1"/>
  <c r="AC123" i="9" s="1"/>
  <c r="AE123" i="9" s="1"/>
  <c r="AG123" i="9" s="1"/>
  <c r="AI123" i="9" s="1"/>
  <c r="AK123" i="9" s="1"/>
  <c r="AM123" i="9" s="1"/>
  <c r="AN123" i="9" s="1"/>
  <c r="E124" i="9"/>
  <c r="G124" i="9" s="1"/>
  <c r="I124" i="9" s="1"/>
  <c r="K124" i="9" s="1"/>
  <c r="M124" i="9" s="1"/>
  <c r="O124" i="9" s="1"/>
  <c r="Q124" i="9" s="1"/>
  <c r="S124" i="9" s="1"/>
  <c r="U124" i="9" s="1"/>
  <c r="W124" i="9" s="1"/>
  <c r="Y124" i="9" s="1"/>
  <c r="AA124" i="9" s="1"/>
  <c r="AC124" i="9" s="1"/>
  <c r="AE124" i="9" s="1"/>
  <c r="AG124" i="9" s="1"/>
  <c r="AI124" i="9" s="1"/>
  <c r="AK124" i="9" s="1"/>
  <c r="AM124" i="9" s="1"/>
  <c r="AN124" i="9" s="1"/>
  <c r="E125" i="9"/>
  <c r="G125" i="9" s="1"/>
  <c r="I125" i="9" s="1"/>
  <c r="K125" i="9" s="1"/>
  <c r="M125" i="9" s="1"/>
  <c r="O125" i="9" s="1"/>
  <c r="Q125" i="9" s="1"/>
  <c r="S125" i="9" s="1"/>
  <c r="U125" i="9" s="1"/>
  <c r="W125" i="9" s="1"/>
  <c r="Y125" i="9" s="1"/>
  <c r="AA125" i="9" s="1"/>
  <c r="AC125" i="9" s="1"/>
  <c r="AE125" i="9" s="1"/>
  <c r="AG125" i="9" s="1"/>
  <c r="AI125" i="9" s="1"/>
  <c r="AK125" i="9" s="1"/>
  <c r="AM125" i="9" s="1"/>
  <c r="AN125" i="9" s="1"/>
  <c r="E126" i="9"/>
  <c r="G126" i="9" s="1"/>
  <c r="I126" i="9" s="1"/>
  <c r="K126" i="9" s="1"/>
  <c r="M126" i="9" s="1"/>
  <c r="O126" i="9" s="1"/>
  <c r="Q126" i="9" s="1"/>
  <c r="S126" i="9" s="1"/>
  <c r="U126" i="9" s="1"/>
  <c r="W126" i="9" s="1"/>
  <c r="Y126" i="9" s="1"/>
  <c r="AA126" i="9" s="1"/>
  <c r="AC126" i="9" s="1"/>
  <c r="AE126" i="9" s="1"/>
  <c r="AG126" i="9" s="1"/>
  <c r="AI126" i="9" s="1"/>
  <c r="AK126" i="9" s="1"/>
  <c r="AM126" i="9" s="1"/>
  <c r="AN126" i="9" s="1"/>
  <c r="E127" i="9"/>
  <c r="G127" i="9" s="1"/>
  <c r="I127" i="9" s="1"/>
  <c r="K127" i="9" s="1"/>
  <c r="M127" i="9" s="1"/>
  <c r="O127" i="9" s="1"/>
  <c r="Q127" i="9" s="1"/>
  <c r="S127" i="9" s="1"/>
  <c r="U127" i="9" s="1"/>
  <c r="W127" i="9" s="1"/>
  <c r="Y127" i="9" s="1"/>
  <c r="AA127" i="9" s="1"/>
  <c r="AC127" i="9" s="1"/>
  <c r="AE127" i="9" s="1"/>
  <c r="AG127" i="9" s="1"/>
  <c r="AI127" i="9" s="1"/>
  <c r="AK127" i="9" s="1"/>
  <c r="AM127" i="9" s="1"/>
  <c r="AN127" i="9" s="1"/>
  <c r="E128" i="9"/>
  <c r="G128" i="9" s="1"/>
  <c r="I128" i="9" s="1"/>
  <c r="K128" i="9" s="1"/>
  <c r="M128" i="9" s="1"/>
  <c r="O128" i="9" s="1"/>
  <c r="Q128" i="9" s="1"/>
  <c r="S128" i="9" s="1"/>
  <c r="U128" i="9" s="1"/>
  <c r="W128" i="9" s="1"/>
  <c r="Y128" i="9" s="1"/>
  <c r="AA128" i="9" s="1"/>
  <c r="AC128" i="9" s="1"/>
  <c r="AE128" i="9" s="1"/>
  <c r="AG128" i="9" s="1"/>
  <c r="AI128" i="9" s="1"/>
  <c r="AK128" i="9" s="1"/>
  <c r="E129" i="9"/>
  <c r="G129" i="9" s="1"/>
  <c r="I129" i="9" s="1"/>
  <c r="K129" i="9" s="1"/>
  <c r="M129" i="9" s="1"/>
  <c r="O129" i="9" s="1"/>
  <c r="Q129" i="9" s="1"/>
  <c r="S129" i="9" s="1"/>
  <c r="U129" i="9" s="1"/>
  <c r="W129" i="9" s="1"/>
  <c r="Y129" i="9" s="1"/>
  <c r="AA129" i="9" s="1"/>
  <c r="AC129" i="9" s="1"/>
  <c r="AE129" i="9" s="1"/>
  <c r="AG129" i="9" s="1"/>
  <c r="AI129" i="9" s="1"/>
  <c r="AK129" i="9" s="1"/>
  <c r="AM129" i="9" s="1"/>
  <c r="AN129" i="9" s="1"/>
  <c r="E130" i="9"/>
  <c r="G130" i="9" s="1"/>
  <c r="I130" i="9" s="1"/>
  <c r="K130" i="9" s="1"/>
  <c r="M130" i="9" s="1"/>
  <c r="O130" i="9" s="1"/>
  <c r="Q130" i="9" s="1"/>
  <c r="S130" i="9" s="1"/>
  <c r="U130" i="9" s="1"/>
  <c r="W130" i="9" s="1"/>
  <c r="Y130" i="9" s="1"/>
  <c r="AA130" i="9" s="1"/>
  <c r="AC130" i="9" s="1"/>
  <c r="AE130" i="9" s="1"/>
  <c r="AG130" i="9" s="1"/>
  <c r="AI130" i="9" s="1"/>
  <c r="AK130" i="9" s="1"/>
  <c r="AM130" i="9" s="1"/>
  <c r="AN130" i="9" s="1"/>
  <c r="E131" i="9"/>
  <c r="G131" i="9" s="1"/>
  <c r="I131" i="9" s="1"/>
  <c r="K131" i="9" s="1"/>
  <c r="M131" i="9" s="1"/>
  <c r="O131" i="9" s="1"/>
  <c r="Q131" i="9" s="1"/>
  <c r="S131" i="9" s="1"/>
  <c r="U131" i="9" s="1"/>
  <c r="W131" i="9" s="1"/>
  <c r="Y131" i="9" s="1"/>
  <c r="AA131" i="9" s="1"/>
  <c r="AC131" i="9" s="1"/>
  <c r="AE131" i="9" s="1"/>
  <c r="AG131" i="9" s="1"/>
  <c r="AI131" i="9" s="1"/>
  <c r="AK131" i="9" s="1"/>
  <c r="AM131" i="9" s="1"/>
  <c r="AN131" i="9" s="1"/>
  <c r="E132" i="9"/>
  <c r="G132" i="9" s="1"/>
  <c r="I132" i="9" s="1"/>
  <c r="K132" i="9" s="1"/>
  <c r="M132" i="9" s="1"/>
  <c r="O132" i="9" s="1"/>
  <c r="Q132" i="9" s="1"/>
  <c r="S132" i="9" s="1"/>
  <c r="U132" i="9" s="1"/>
  <c r="W132" i="9" s="1"/>
  <c r="Y132" i="9" s="1"/>
  <c r="AA132" i="9" s="1"/>
  <c r="AC132" i="9" s="1"/>
  <c r="AE132" i="9" s="1"/>
  <c r="AG132" i="9" s="1"/>
  <c r="AI132" i="9" s="1"/>
  <c r="AK132" i="9" s="1"/>
  <c r="E133" i="9"/>
  <c r="G133" i="9" s="1"/>
  <c r="I133" i="9" s="1"/>
  <c r="K133" i="9" s="1"/>
  <c r="M133" i="9" s="1"/>
  <c r="O133" i="9" s="1"/>
  <c r="Q133" i="9" s="1"/>
  <c r="S133" i="9" s="1"/>
  <c r="U133" i="9" s="1"/>
  <c r="W133" i="9" s="1"/>
  <c r="Y133" i="9" s="1"/>
  <c r="AA133" i="9" s="1"/>
  <c r="AC133" i="9" s="1"/>
  <c r="AE133" i="9" s="1"/>
  <c r="AG133" i="9" s="1"/>
  <c r="AI133" i="9" s="1"/>
  <c r="AK133" i="9" s="1"/>
  <c r="E134" i="9"/>
  <c r="G134" i="9" s="1"/>
  <c r="I134" i="9" s="1"/>
  <c r="K134" i="9" s="1"/>
  <c r="M134" i="9" s="1"/>
  <c r="O134" i="9" s="1"/>
  <c r="Q134" i="9" s="1"/>
  <c r="S134" i="9" s="1"/>
  <c r="U134" i="9" s="1"/>
  <c r="W134" i="9" s="1"/>
  <c r="Y134" i="9" s="1"/>
  <c r="AA134" i="9" s="1"/>
  <c r="AC134" i="9" s="1"/>
  <c r="AE134" i="9" s="1"/>
  <c r="AG134" i="9" s="1"/>
  <c r="AI134" i="9" s="1"/>
  <c r="AK134" i="9" s="1"/>
  <c r="E135" i="9"/>
  <c r="G135" i="9" s="1"/>
  <c r="I135" i="9" s="1"/>
  <c r="K135" i="9" s="1"/>
  <c r="M135" i="9" s="1"/>
  <c r="O135" i="9" s="1"/>
  <c r="Q135" i="9" s="1"/>
  <c r="S135" i="9" s="1"/>
  <c r="U135" i="9" s="1"/>
  <c r="W135" i="9" s="1"/>
  <c r="Y135" i="9" s="1"/>
  <c r="AA135" i="9" s="1"/>
  <c r="AC135" i="9" s="1"/>
  <c r="AE135" i="9" s="1"/>
  <c r="AG135" i="9" s="1"/>
  <c r="AI135" i="9" s="1"/>
  <c r="AK135" i="9" s="1"/>
  <c r="AM135" i="9" s="1"/>
  <c r="AN135" i="9" s="1"/>
  <c r="E136" i="9"/>
  <c r="G136" i="9" s="1"/>
  <c r="I136" i="9" s="1"/>
  <c r="K136" i="9" s="1"/>
  <c r="M136" i="9" s="1"/>
  <c r="O136" i="9" s="1"/>
  <c r="Q136" i="9" s="1"/>
  <c r="S136" i="9" s="1"/>
  <c r="U136" i="9" s="1"/>
  <c r="W136" i="9" s="1"/>
  <c r="Y136" i="9" s="1"/>
  <c r="AA136" i="9" s="1"/>
  <c r="AC136" i="9" s="1"/>
  <c r="AE136" i="9" s="1"/>
  <c r="AG136" i="9" s="1"/>
  <c r="AI136" i="9" s="1"/>
  <c r="AK136" i="9" s="1"/>
  <c r="AM136" i="9" s="1"/>
  <c r="AN136" i="9" s="1"/>
  <c r="E137" i="9"/>
  <c r="G137" i="9" s="1"/>
  <c r="I137" i="9" s="1"/>
  <c r="K137" i="9" s="1"/>
  <c r="M137" i="9" s="1"/>
  <c r="O137" i="9" s="1"/>
  <c r="Q137" i="9" s="1"/>
  <c r="S137" i="9" s="1"/>
  <c r="U137" i="9" s="1"/>
  <c r="W137" i="9" s="1"/>
  <c r="Y137" i="9" s="1"/>
  <c r="AA137" i="9" s="1"/>
  <c r="AC137" i="9" s="1"/>
  <c r="AE137" i="9" s="1"/>
  <c r="AG137" i="9" s="1"/>
  <c r="AI137" i="9" s="1"/>
  <c r="AK137" i="9" s="1"/>
  <c r="AM137" i="9" s="1"/>
  <c r="AN137" i="9" s="1"/>
  <c r="E138" i="9"/>
  <c r="G138" i="9" s="1"/>
  <c r="I138" i="9" s="1"/>
  <c r="K138" i="9" s="1"/>
  <c r="M138" i="9" s="1"/>
  <c r="O138" i="9" s="1"/>
  <c r="Q138" i="9" s="1"/>
  <c r="S138" i="9" s="1"/>
  <c r="U138" i="9" s="1"/>
  <c r="W138" i="9" s="1"/>
  <c r="Y138" i="9" s="1"/>
  <c r="AA138" i="9" s="1"/>
  <c r="AC138" i="9" s="1"/>
  <c r="AE138" i="9" s="1"/>
  <c r="AG138" i="9" s="1"/>
  <c r="AI138" i="9" s="1"/>
  <c r="AK138" i="9" s="1"/>
  <c r="AM138" i="9" s="1"/>
  <c r="AN138" i="9" s="1"/>
  <c r="E139" i="9"/>
  <c r="G139" i="9" s="1"/>
  <c r="I139" i="9" s="1"/>
  <c r="K139" i="9" s="1"/>
  <c r="M139" i="9" s="1"/>
  <c r="O139" i="9" s="1"/>
  <c r="Q139" i="9" s="1"/>
  <c r="S139" i="9" s="1"/>
  <c r="U139" i="9" s="1"/>
  <c r="W139" i="9" s="1"/>
  <c r="Y139" i="9" s="1"/>
  <c r="AA139" i="9" s="1"/>
  <c r="AC139" i="9" s="1"/>
  <c r="AE139" i="9" s="1"/>
  <c r="AG139" i="9" s="1"/>
  <c r="AI139" i="9" s="1"/>
  <c r="AK139" i="9" s="1"/>
  <c r="E140" i="9"/>
  <c r="G140" i="9" s="1"/>
  <c r="I140" i="9" s="1"/>
  <c r="K140" i="9" s="1"/>
  <c r="M140" i="9" s="1"/>
  <c r="O140" i="9" s="1"/>
  <c r="Q140" i="9" s="1"/>
  <c r="S140" i="9" s="1"/>
  <c r="U140" i="9" s="1"/>
  <c r="W140" i="9" s="1"/>
  <c r="Y140" i="9" s="1"/>
  <c r="AA140" i="9" s="1"/>
  <c r="AC140" i="9" s="1"/>
  <c r="AE140" i="9" s="1"/>
  <c r="AG140" i="9" s="1"/>
  <c r="AI140" i="9" s="1"/>
  <c r="AK140" i="9" s="1"/>
  <c r="E141" i="9"/>
  <c r="G141" i="9" s="1"/>
  <c r="I141" i="9" s="1"/>
  <c r="K141" i="9" s="1"/>
  <c r="M141" i="9" s="1"/>
  <c r="O141" i="9" s="1"/>
  <c r="Q141" i="9" s="1"/>
  <c r="S141" i="9" s="1"/>
  <c r="U141" i="9" s="1"/>
  <c r="W141" i="9" s="1"/>
  <c r="Y141" i="9" s="1"/>
  <c r="AA141" i="9" s="1"/>
  <c r="AC141" i="9" s="1"/>
  <c r="AE141" i="9" s="1"/>
  <c r="AG141" i="9" s="1"/>
  <c r="AI141" i="9" s="1"/>
  <c r="AK141" i="9" s="1"/>
  <c r="E142" i="9"/>
  <c r="G142" i="9" s="1"/>
  <c r="I142" i="9" s="1"/>
  <c r="K142" i="9" s="1"/>
  <c r="M142" i="9" s="1"/>
  <c r="O142" i="9" s="1"/>
  <c r="Q142" i="9" s="1"/>
  <c r="S142" i="9" s="1"/>
  <c r="U142" i="9" s="1"/>
  <c r="W142" i="9" s="1"/>
  <c r="Y142" i="9" s="1"/>
  <c r="AA142" i="9" s="1"/>
  <c r="AC142" i="9" s="1"/>
  <c r="AE142" i="9" s="1"/>
  <c r="AG142" i="9" s="1"/>
  <c r="AI142" i="9" s="1"/>
  <c r="AK142" i="9" s="1"/>
  <c r="E143" i="9"/>
  <c r="G143" i="9" s="1"/>
  <c r="I143" i="9" s="1"/>
  <c r="K143" i="9" s="1"/>
  <c r="M143" i="9" s="1"/>
  <c r="O143" i="9" s="1"/>
  <c r="Q143" i="9" s="1"/>
  <c r="S143" i="9" s="1"/>
  <c r="U143" i="9" s="1"/>
  <c r="W143" i="9" s="1"/>
  <c r="Y143" i="9" s="1"/>
  <c r="AA143" i="9" s="1"/>
  <c r="AC143" i="9" s="1"/>
  <c r="AE143" i="9" s="1"/>
  <c r="AG143" i="9" s="1"/>
  <c r="AI143" i="9" s="1"/>
  <c r="AK143" i="9" s="1"/>
  <c r="E144" i="9"/>
  <c r="G144" i="9" s="1"/>
  <c r="I144" i="9" s="1"/>
  <c r="K144" i="9" s="1"/>
  <c r="M144" i="9" s="1"/>
  <c r="O144" i="9" s="1"/>
  <c r="Q144" i="9" s="1"/>
  <c r="S144" i="9" s="1"/>
  <c r="U144" i="9" s="1"/>
  <c r="W144" i="9" s="1"/>
  <c r="Y144" i="9" s="1"/>
  <c r="AA144" i="9" s="1"/>
  <c r="AC144" i="9" s="1"/>
  <c r="AE144" i="9" s="1"/>
  <c r="AG144" i="9" s="1"/>
  <c r="AI144" i="9" s="1"/>
  <c r="AK144" i="9" s="1"/>
  <c r="E145" i="9"/>
  <c r="G145" i="9" s="1"/>
  <c r="I145" i="9" s="1"/>
  <c r="K145" i="9" s="1"/>
  <c r="M145" i="9" s="1"/>
  <c r="O145" i="9" s="1"/>
  <c r="Q145" i="9" s="1"/>
  <c r="S145" i="9" s="1"/>
  <c r="U145" i="9" s="1"/>
  <c r="W145" i="9" s="1"/>
  <c r="Y145" i="9" s="1"/>
  <c r="AA145" i="9" s="1"/>
  <c r="AC145" i="9" s="1"/>
  <c r="AE145" i="9" s="1"/>
  <c r="AG145" i="9" s="1"/>
  <c r="AI145" i="9" s="1"/>
  <c r="AK145" i="9" s="1"/>
  <c r="E146" i="9"/>
  <c r="G146" i="9" s="1"/>
  <c r="I146" i="9" s="1"/>
  <c r="K146" i="9" s="1"/>
  <c r="M146" i="9" s="1"/>
  <c r="O146" i="9" s="1"/>
  <c r="Q146" i="9" s="1"/>
  <c r="S146" i="9" s="1"/>
  <c r="U146" i="9" s="1"/>
  <c r="W146" i="9" s="1"/>
  <c r="Y146" i="9" s="1"/>
  <c r="AA146" i="9" s="1"/>
  <c r="AC146" i="9" s="1"/>
  <c r="AE146" i="9" s="1"/>
  <c r="AG146" i="9" s="1"/>
  <c r="AI146" i="9" s="1"/>
  <c r="AK146" i="9" s="1"/>
  <c r="AM146" i="9" s="1"/>
  <c r="AN146" i="9" s="1"/>
  <c r="E147" i="9"/>
  <c r="G147" i="9" s="1"/>
  <c r="I147" i="9" s="1"/>
  <c r="K147" i="9" s="1"/>
  <c r="M147" i="9" s="1"/>
  <c r="O147" i="9" s="1"/>
  <c r="Q147" i="9" s="1"/>
  <c r="S147" i="9" s="1"/>
  <c r="U147" i="9" s="1"/>
  <c r="W147" i="9" s="1"/>
  <c r="Y147" i="9" s="1"/>
  <c r="AA147" i="9" s="1"/>
  <c r="AC147" i="9" s="1"/>
  <c r="AE147" i="9" s="1"/>
  <c r="AG147" i="9" s="1"/>
  <c r="AI147" i="9" s="1"/>
  <c r="AK147" i="9" s="1"/>
  <c r="AM147" i="9" s="1"/>
  <c r="AN147" i="9" s="1"/>
  <c r="E148" i="9"/>
  <c r="G148" i="9" s="1"/>
  <c r="I148" i="9" s="1"/>
  <c r="K148" i="9" s="1"/>
  <c r="M148" i="9" s="1"/>
  <c r="O148" i="9" s="1"/>
  <c r="Q148" i="9" s="1"/>
  <c r="S148" i="9" s="1"/>
  <c r="U148" i="9" s="1"/>
  <c r="W148" i="9" s="1"/>
  <c r="Y148" i="9" s="1"/>
  <c r="AA148" i="9" s="1"/>
  <c r="AC148" i="9" s="1"/>
  <c r="AE148" i="9" s="1"/>
  <c r="AG148" i="9" s="1"/>
  <c r="AI148" i="9" s="1"/>
  <c r="AK148" i="9" s="1"/>
  <c r="AM148" i="9" s="1"/>
  <c r="AN148" i="9" s="1"/>
  <c r="E149" i="9"/>
  <c r="G149" i="9" s="1"/>
  <c r="I149" i="9" s="1"/>
  <c r="K149" i="9" s="1"/>
  <c r="M149" i="9" s="1"/>
  <c r="O149" i="9" s="1"/>
  <c r="Q149" i="9" s="1"/>
  <c r="S149" i="9" s="1"/>
  <c r="U149" i="9" s="1"/>
  <c r="W149" i="9" s="1"/>
  <c r="Y149" i="9" s="1"/>
  <c r="AA149" i="9" s="1"/>
  <c r="AC149" i="9" s="1"/>
  <c r="AE149" i="9" s="1"/>
  <c r="AG149" i="9" s="1"/>
  <c r="AI149" i="9" s="1"/>
  <c r="AK149" i="9" s="1"/>
  <c r="AM149" i="9" s="1"/>
  <c r="AN149" i="9" s="1"/>
  <c r="E150" i="9"/>
  <c r="G150" i="9" s="1"/>
  <c r="I150" i="9" s="1"/>
  <c r="K150" i="9" s="1"/>
  <c r="M150" i="9" s="1"/>
  <c r="O150" i="9" s="1"/>
  <c r="Q150" i="9" s="1"/>
  <c r="S150" i="9" s="1"/>
  <c r="U150" i="9" s="1"/>
  <c r="W150" i="9" s="1"/>
  <c r="Y150" i="9" s="1"/>
  <c r="AA150" i="9" s="1"/>
  <c r="AC150" i="9" s="1"/>
  <c r="AE150" i="9" s="1"/>
  <c r="AG150" i="9" s="1"/>
  <c r="AI150" i="9" s="1"/>
  <c r="AK150" i="9" s="1"/>
  <c r="AM150" i="9" s="1"/>
  <c r="AN150" i="9" s="1"/>
  <c r="E151" i="9"/>
  <c r="G151" i="9" s="1"/>
  <c r="I151" i="9" s="1"/>
  <c r="K151" i="9" s="1"/>
  <c r="M151" i="9" s="1"/>
  <c r="O151" i="9" s="1"/>
  <c r="Q151" i="9" s="1"/>
  <c r="S151" i="9" s="1"/>
  <c r="U151" i="9" s="1"/>
  <c r="W151" i="9" s="1"/>
  <c r="Y151" i="9" s="1"/>
  <c r="AA151" i="9" s="1"/>
  <c r="AC151" i="9" s="1"/>
  <c r="AE151" i="9" s="1"/>
  <c r="AG151" i="9" s="1"/>
  <c r="AI151" i="9" s="1"/>
  <c r="AK151" i="9" s="1"/>
  <c r="AM151" i="9" s="1"/>
  <c r="AN151" i="9" s="1"/>
  <c r="E152" i="9"/>
  <c r="G152" i="9" s="1"/>
  <c r="I152" i="9" s="1"/>
  <c r="K152" i="9" s="1"/>
  <c r="M152" i="9" s="1"/>
  <c r="O152" i="9" s="1"/>
  <c r="Q152" i="9" s="1"/>
  <c r="S152" i="9" s="1"/>
  <c r="U152" i="9" s="1"/>
  <c r="W152" i="9" s="1"/>
  <c r="Y152" i="9" s="1"/>
  <c r="AA152" i="9" s="1"/>
  <c r="AC152" i="9" s="1"/>
  <c r="AE152" i="9" s="1"/>
  <c r="AG152" i="9" s="1"/>
  <c r="AI152" i="9" s="1"/>
  <c r="AK152" i="9" s="1"/>
  <c r="AM152" i="9" s="1"/>
  <c r="AN152" i="9" s="1"/>
  <c r="E153" i="9"/>
  <c r="G153" i="9" s="1"/>
  <c r="I153" i="9" s="1"/>
  <c r="K153" i="9" s="1"/>
  <c r="M153" i="9" s="1"/>
  <c r="O153" i="9" s="1"/>
  <c r="Q153" i="9" s="1"/>
  <c r="S153" i="9" s="1"/>
  <c r="U153" i="9" s="1"/>
  <c r="W153" i="9" s="1"/>
  <c r="Y153" i="9" s="1"/>
  <c r="AA153" i="9" s="1"/>
  <c r="AC153" i="9" s="1"/>
  <c r="AE153" i="9" s="1"/>
  <c r="AG153" i="9" s="1"/>
  <c r="AI153" i="9" s="1"/>
  <c r="AK153" i="9" s="1"/>
  <c r="AM153" i="9" s="1"/>
  <c r="AN153" i="9" s="1"/>
  <c r="E154" i="9"/>
  <c r="G154" i="9" s="1"/>
  <c r="I154" i="9" s="1"/>
  <c r="K154" i="9" s="1"/>
  <c r="M154" i="9" s="1"/>
  <c r="O154" i="9" s="1"/>
  <c r="Q154" i="9" s="1"/>
  <c r="S154" i="9" s="1"/>
  <c r="U154" i="9" s="1"/>
  <c r="W154" i="9" s="1"/>
  <c r="Y154" i="9" s="1"/>
  <c r="AA154" i="9" s="1"/>
  <c r="AC154" i="9" s="1"/>
  <c r="AE154" i="9" s="1"/>
  <c r="AG154" i="9" s="1"/>
  <c r="AI154" i="9" s="1"/>
  <c r="AK154" i="9" s="1"/>
  <c r="AM154" i="9" s="1"/>
  <c r="AN154" i="9" s="1"/>
  <c r="E155" i="9"/>
  <c r="G155" i="9" s="1"/>
  <c r="I155" i="9" s="1"/>
  <c r="K155" i="9" s="1"/>
  <c r="M155" i="9" s="1"/>
  <c r="O155" i="9" s="1"/>
  <c r="Q155" i="9" s="1"/>
  <c r="S155" i="9" s="1"/>
  <c r="U155" i="9" s="1"/>
  <c r="W155" i="9" s="1"/>
  <c r="Y155" i="9" s="1"/>
  <c r="AA155" i="9" s="1"/>
  <c r="AC155" i="9" s="1"/>
  <c r="AE155" i="9" s="1"/>
  <c r="AG155" i="9" s="1"/>
  <c r="AI155" i="9" s="1"/>
  <c r="AK155" i="9" s="1"/>
  <c r="AM155" i="9" s="1"/>
  <c r="AN155" i="9" s="1"/>
  <c r="E156" i="9"/>
  <c r="G156" i="9" s="1"/>
  <c r="I156" i="9" s="1"/>
  <c r="K156" i="9" s="1"/>
  <c r="M156" i="9" s="1"/>
  <c r="O156" i="9" s="1"/>
  <c r="Q156" i="9" s="1"/>
  <c r="S156" i="9" s="1"/>
  <c r="U156" i="9" s="1"/>
  <c r="W156" i="9" s="1"/>
  <c r="Y156" i="9" s="1"/>
  <c r="AA156" i="9" s="1"/>
  <c r="AC156" i="9" s="1"/>
  <c r="AE156" i="9" s="1"/>
  <c r="AG156" i="9" s="1"/>
  <c r="AI156" i="9" s="1"/>
  <c r="AK156" i="9" s="1"/>
  <c r="E157" i="9"/>
  <c r="G157" i="9" s="1"/>
  <c r="I157" i="9" s="1"/>
  <c r="K157" i="9" s="1"/>
  <c r="M157" i="9" s="1"/>
  <c r="O157" i="9" s="1"/>
  <c r="Q157" i="9" s="1"/>
  <c r="S157" i="9" s="1"/>
  <c r="U157" i="9" s="1"/>
  <c r="W157" i="9" s="1"/>
  <c r="Y157" i="9" s="1"/>
  <c r="AA157" i="9" s="1"/>
  <c r="AC157" i="9" s="1"/>
  <c r="AE157" i="9" s="1"/>
  <c r="AG157" i="9" s="1"/>
  <c r="AI157" i="9" s="1"/>
  <c r="AK157" i="9" s="1"/>
  <c r="E158" i="9"/>
  <c r="G158" i="9" s="1"/>
  <c r="I158" i="9" s="1"/>
  <c r="K158" i="9" s="1"/>
  <c r="M158" i="9" s="1"/>
  <c r="O158" i="9" s="1"/>
  <c r="Q158" i="9" s="1"/>
  <c r="S158" i="9" s="1"/>
  <c r="U158" i="9" s="1"/>
  <c r="W158" i="9" s="1"/>
  <c r="Y158" i="9" s="1"/>
  <c r="AA158" i="9" s="1"/>
  <c r="AC158" i="9" s="1"/>
  <c r="AE158" i="9" s="1"/>
  <c r="AG158" i="9" s="1"/>
  <c r="AI158" i="9" s="1"/>
  <c r="AK158" i="9" s="1"/>
  <c r="E159" i="9"/>
  <c r="G159" i="9" s="1"/>
  <c r="I159" i="9" s="1"/>
  <c r="K159" i="9" s="1"/>
  <c r="M159" i="9" s="1"/>
  <c r="O159" i="9" s="1"/>
  <c r="Q159" i="9" s="1"/>
  <c r="S159" i="9" s="1"/>
  <c r="U159" i="9" s="1"/>
  <c r="W159" i="9" s="1"/>
  <c r="Y159" i="9" s="1"/>
  <c r="AA159" i="9" s="1"/>
  <c r="AC159" i="9" s="1"/>
  <c r="AE159" i="9" s="1"/>
  <c r="AG159" i="9" s="1"/>
  <c r="AI159" i="9" s="1"/>
  <c r="AK159" i="9" s="1"/>
  <c r="AM159" i="9" s="1"/>
  <c r="E160" i="9"/>
  <c r="G160" i="9" s="1"/>
  <c r="I160" i="9" s="1"/>
  <c r="K160" i="9" s="1"/>
  <c r="M160" i="9" s="1"/>
  <c r="O160" i="9" s="1"/>
  <c r="Q160" i="9" s="1"/>
  <c r="S160" i="9" s="1"/>
  <c r="U160" i="9" s="1"/>
  <c r="W160" i="9" s="1"/>
  <c r="Y160" i="9" s="1"/>
  <c r="AA160" i="9" s="1"/>
  <c r="AC160" i="9" s="1"/>
  <c r="AE160" i="9" s="1"/>
  <c r="AG160" i="9" s="1"/>
  <c r="AI160" i="9" s="1"/>
  <c r="AK160" i="9" s="1"/>
  <c r="AM160" i="9" s="1"/>
  <c r="AN160" i="9" s="1"/>
  <c r="E161" i="9"/>
  <c r="G161" i="9" s="1"/>
  <c r="I161" i="9" s="1"/>
  <c r="K161" i="9" s="1"/>
  <c r="M161" i="9" s="1"/>
  <c r="O161" i="9" s="1"/>
  <c r="Q161" i="9" s="1"/>
  <c r="S161" i="9" s="1"/>
  <c r="U161" i="9" s="1"/>
  <c r="W161" i="9" s="1"/>
  <c r="Y161" i="9" s="1"/>
  <c r="AA161" i="9" s="1"/>
  <c r="AC161" i="9" s="1"/>
  <c r="AE161" i="9" s="1"/>
  <c r="AG161" i="9" s="1"/>
  <c r="AI161" i="9" s="1"/>
  <c r="AK161" i="9" s="1"/>
  <c r="AM161" i="9" s="1"/>
  <c r="AN161" i="9" s="1"/>
  <c r="E162" i="9"/>
  <c r="G162" i="9" s="1"/>
  <c r="I162" i="9" s="1"/>
  <c r="K162" i="9" s="1"/>
  <c r="M162" i="9" s="1"/>
  <c r="O162" i="9" s="1"/>
  <c r="Q162" i="9" s="1"/>
  <c r="S162" i="9" s="1"/>
  <c r="U162" i="9" s="1"/>
  <c r="W162" i="9" s="1"/>
  <c r="Y162" i="9" s="1"/>
  <c r="AA162" i="9" s="1"/>
  <c r="AC162" i="9" s="1"/>
  <c r="AE162" i="9" s="1"/>
  <c r="AG162" i="9" s="1"/>
  <c r="AI162" i="9" s="1"/>
  <c r="AK162" i="9" s="1"/>
  <c r="AM162" i="9" s="1"/>
  <c r="AN162" i="9" s="1"/>
  <c r="E163" i="9"/>
  <c r="G163" i="9" s="1"/>
  <c r="I163" i="9" s="1"/>
  <c r="K163" i="9" s="1"/>
  <c r="M163" i="9" s="1"/>
  <c r="O163" i="9" s="1"/>
  <c r="Q163" i="9" s="1"/>
  <c r="S163" i="9" s="1"/>
  <c r="U163" i="9" s="1"/>
  <c r="W163" i="9" s="1"/>
  <c r="Y163" i="9" s="1"/>
  <c r="AA163" i="9" s="1"/>
  <c r="AC163" i="9" s="1"/>
  <c r="AE163" i="9" s="1"/>
  <c r="AG163" i="9" s="1"/>
  <c r="AI163" i="9" s="1"/>
  <c r="AK163" i="9" s="1"/>
  <c r="AM163" i="9" s="1"/>
  <c r="AN163" i="9" s="1"/>
  <c r="E164" i="9"/>
  <c r="G164" i="9" s="1"/>
  <c r="I164" i="9" s="1"/>
  <c r="K164" i="9" s="1"/>
  <c r="M164" i="9" s="1"/>
  <c r="O164" i="9" s="1"/>
  <c r="Q164" i="9" s="1"/>
  <c r="S164" i="9" s="1"/>
  <c r="U164" i="9" s="1"/>
  <c r="W164" i="9" s="1"/>
  <c r="Y164" i="9" s="1"/>
  <c r="AA164" i="9" s="1"/>
  <c r="AC164" i="9" s="1"/>
  <c r="AE164" i="9" s="1"/>
  <c r="AG164" i="9" s="1"/>
  <c r="AI164" i="9" s="1"/>
  <c r="AK164" i="9" s="1"/>
  <c r="AM164" i="9" s="1"/>
  <c r="AN164" i="9" s="1"/>
  <c r="E165" i="9"/>
  <c r="G165" i="9" s="1"/>
  <c r="I165" i="9" s="1"/>
  <c r="K165" i="9" s="1"/>
  <c r="M165" i="9" s="1"/>
  <c r="O165" i="9" s="1"/>
  <c r="Q165" i="9" s="1"/>
  <c r="S165" i="9" s="1"/>
  <c r="U165" i="9" s="1"/>
  <c r="W165" i="9" s="1"/>
  <c r="Y165" i="9" s="1"/>
  <c r="AA165" i="9" s="1"/>
  <c r="AC165" i="9" s="1"/>
  <c r="AE165" i="9" s="1"/>
  <c r="AG165" i="9" s="1"/>
  <c r="AI165" i="9" s="1"/>
  <c r="AK165" i="9" s="1"/>
  <c r="E166" i="9"/>
  <c r="G166" i="9" s="1"/>
  <c r="I166" i="9" s="1"/>
  <c r="K166" i="9" s="1"/>
  <c r="M166" i="9" s="1"/>
  <c r="O166" i="9" s="1"/>
  <c r="Q166" i="9" s="1"/>
  <c r="S166" i="9" s="1"/>
  <c r="U166" i="9" s="1"/>
  <c r="W166" i="9" s="1"/>
  <c r="Y166" i="9" s="1"/>
  <c r="AA166" i="9" s="1"/>
  <c r="AC166" i="9" s="1"/>
  <c r="AE166" i="9" s="1"/>
  <c r="AG166" i="9" s="1"/>
  <c r="AI166" i="9" s="1"/>
  <c r="AK166" i="9" s="1"/>
  <c r="E167" i="9"/>
  <c r="G167" i="9" s="1"/>
  <c r="I167" i="9" s="1"/>
  <c r="K167" i="9" s="1"/>
  <c r="M167" i="9" s="1"/>
  <c r="O167" i="9" s="1"/>
  <c r="Q167" i="9" s="1"/>
  <c r="S167" i="9" s="1"/>
  <c r="U167" i="9" s="1"/>
  <c r="W167" i="9" s="1"/>
  <c r="Y167" i="9" s="1"/>
  <c r="AA167" i="9" s="1"/>
  <c r="AC167" i="9" s="1"/>
  <c r="AE167" i="9" s="1"/>
  <c r="AG167" i="9" s="1"/>
  <c r="AI167" i="9" s="1"/>
  <c r="AK167" i="9" s="1"/>
  <c r="E168" i="9"/>
  <c r="G168" i="9" s="1"/>
  <c r="I168" i="9" s="1"/>
  <c r="K168" i="9" s="1"/>
  <c r="M168" i="9" s="1"/>
  <c r="O168" i="9" s="1"/>
  <c r="Q168" i="9" s="1"/>
  <c r="S168" i="9" s="1"/>
  <c r="U168" i="9" s="1"/>
  <c r="W168" i="9" s="1"/>
  <c r="Y168" i="9" s="1"/>
  <c r="AA168" i="9" s="1"/>
  <c r="AC168" i="9" s="1"/>
  <c r="AE168" i="9" s="1"/>
  <c r="AG168" i="9" s="1"/>
  <c r="AI168" i="9" s="1"/>
  <c r="AK168" i="9" s="1"/>
  <c r="AM168" i="9" s="1"/>
  <c r="AN168" i="9" s="1"/>
  <c r="E169" i="9"/>
  <c r="G169" i="9" s="1"/>
  <c r="I169" i="9" s="1"/>
  <c r="K169" i="9" s="1"/>
  <c r="M169" i="9" s="1"/>
  <c r="O169" i="9" s="1"/>
  <c r="Q169" i="9" s="1"/>
  <c r="S169" i="9" s="1"/>
  <c r="U169" i="9" s="1"/>
  <c r="W169" i="9" s="1"/>
  <c r="Y169" i="9" s="1"/>
  <c r="AA169" i="9" s="1"/>
  <c r="AC169" i="9" s="1"/>
  <c r="AE169" i="9" s="1"/>
  <c r="AG169" i="9" s="1"/>
  <c r="AI169" i="9" s="1"/>
  <c r="AK169" i="9" s="1"/>
  <c r="E170" i="9"/>
  <c r="G170" i="9" s="1"/>
  <c r="I170" i="9" s="1"/>
  <c r="K170" i="9" s="1"/>
  <c r="M170" i="9" s="1"/>
  <c r="O170" i="9" s="1"/>
  <c r="Q170" i="9" s="1"/>
  <c r="S170" i="9" s="1"/>
  <c r="U170" i="9" s="1"/>
  <c r="W170" i="9" s="1"/>
  <c r="Y170" i="9" s="1"/>
  <c r="AA170" i="9" s="1"/>
  <c r="AC170" i="9" s="1"/>
  <c r="AE170" i="9" s="1"/>
  <c r="AG170" i="9" s="1"/>
  <c r="AI170" i="9" s="1"/>
  <c r="AK170" i="9" s="1"/>
  <c r="AM170" i="9" s="1"/>
  <c r="E171" i="9"/>
  <c r="G171" i="9" s="1"/>
  <c r="I171" i="9" s="1"/>
  <c r="K171" i="9" s="1"/>
  <c r="M171" i="9" s="1"/>
  <c r="O171" i="9" s="1"/>
  <c r="Q171" i="9" s="1"/>
  <c r="S171" i="9" s="1"/>
  <c r="U171" i="9" s="1"/>
  <c r="W171" i="9" s="1"/>
  <c r="Y171" i="9" s="1"/>
  <c r="AA171" i="9" s="1"/>
  <c r="AC171" i="9" s="1"/>
  <c r="AE171" i="9" s="1"/>
  <c r="AG171" i="9" s="1"/>
  <c r="AI171" i="9" s="1"/>
  <c r="AK171" i="9" s="1"/>
  <c r="AM171" i="9" s="1"/>
  <c r="AN171" i="9" s="1"/>
  <c r="E172" i="9"/>
  <c r="G172" i="9" s="1"/>
  <c r="I172" i="9" s="1"/>
  <c r="K172" i="9" s="1"/>
  <c r="M172" i="9" s="1"/>
  <c r="O172" i="9" s="1"/>
  <c r="Q172" i="9" s="1"/>
  <c r="S172" i="9" s="1"/>
  <c r="U172" i="9" s="1"/>
  <c r="W172" i="9" s="1"/>
  <c r="Y172" i="9" s="1"/>
  <c r="AA172" i="9" s="1"/>
  <c r="AC172" i="9" s="1"/>
  <c r="AE172" i="9" s="1"/>
  <c r="AG172" i="9" s="1"/>
  <c r="AI172" i="9" s="1"/>
  <c r="AK172" i="9" s="1"/>
  <c r="AM172" i="9" s="1"/>
  <c r="AN172" i="9" s="1"/>
  <c r="E173" i="9"/>
  <c r="G173" i="9" s="1"/>
  <c r="I173" i="9" s="1"/>
  <c r="K173" i="9" s="1"/>
  <c r="M173" i="9" s="1"/>
  <c r="O173" i="9" s="1"/>
  <c r="Q173" i="9" s="1"/>
  <c r="S173" i="9" s="1"/>
  <c r="U173" i="9" s="1"/>
  <c r="W173" i="9" s="1"/>
  <c r="Y173" i="9" s="1"/>
  <c r="AA173" i="9" s="1"/>
  <c r="AC173" i="9" s="1"/>
  <c r="AE173" i="9" s="1"/>
  <c r="AG173" i="9" s="1"/>
  <c r="AI173" i="9" s="1"/>
  <c r="AK173" i="9" s="1"/>
  <c r="AM173" i="9" s="1"/>
  <c r="AN173" i="9" s="1"/>
  <c r="E174" i="9"/>
  <c r="G174" i="9" s="1"/>
  <c r="I174" i="9" s="1"/>
  <c r="K174" i="9" s="1"/>
  <c r="M174" i="9" s="1"/>
  <c r="O174" i="9" s="1"/>
  <c r="Q174" i="9" s="1"/>
  <c r="S174" i="9" s="1"/>
  <c r="U174" i="9" s="1"/>
  <c r="W174" i="9" s="1"/>
  <c r="Y174" i="9" s="1"/>
  <c r="AA174" i="9" s="1"/>
  <c r="AC174" i="9" s="1"/>
  <c r="AE174" i="9" s="1"/>
  <c r="AG174" i="9" s="1"/>
  <c r="AI174" i="9" s="1"/>
  <c r="AK174" i="9" s="1"/>
  <c r="AM174" i="9" s="1"/>
  <c r="AN174" i="9" s="1"/>
  <c r="E175" i="9"/>
  <c r="G175" i="9" s="1"/>
  <c r="I175" i="9" s="1"/>
  <c r="K175" i="9" s="1"/>
  <c r="M175" i="9" s="1"/>
  <c r="O175" i="9" s="1"/>
  <c r="Q175" i="9" s="1"/>
  <c r="S175" i="9" s="1"/>
  <c r="U175" i="9" s="1"/>
  <c r="W175" i="9" s="1"/>
  <c r="Y175" i="9" s="1"/>
  <c r="AA175" i="9" s="1"/>
  <c r="AC175" i="9" s="1"/>
  <c r="AE175" i="9" s="1"/>
  <c r="AG175" i="9" s="1"/>
  <c r="AI175" i="9" s="1"/>
  <c r="AK175" i="9" s="1"/>
  <c r="AM175" i="9" s="1"/>
  <c r="AN175" i="9" s="1"/>
  <c r="E176" i="9"/>
  <c r="G176" i="9" s="1"/>
  <c r="I176" i="9" s="1"/>
  <c r="K176" i="9" s="1"/>
  <c r="M176" i="9" s="1"/>
  <c r="O176" i="9" s="1"/>
  <c r="Q176" i="9" s="1"/>
  <c r="S176" i="9" s="1"/>
  <c r="U176" i="9" s="1"/>
  <c r="W176" i="9" s="1"/>
  <c r="Y176" i="9" s="1"/>
  <c r="AA176" i="9" s="1"/>
  <c r="AC176" i="9" s="1"/>
  <c r="AE176" i="9" s="1"/>
  <c r="AG176" i="9" s="1"/>
  <c r="AI176" i="9" s="1"/>
  <c r="AK176" i="9" s="1"/>
  <c r="AM176" i="9" s="1"/>
  <c r="AN176" i="9" s="1"/>
  <c r="E177" i="9"/>
  <c r="G177" i="9" s="1"/>
  <c r="I177" i="9" s="1"/>
  <c r="K177" i="9" s="1"/>
  <c r="M177" i="9" s="1"/>
  <c r="O177" i="9" s="1"/>
  <c r="Q177" i="9" s="1"/>
  <c r="S177" i="9" s="1"/>
  <c r="U177" i="9" s="1"/>
  <c r="W177" i="9" s="1"/>
  <c r="Y177" i="9" s="1"/>
  <c r="AA177" i="9" s="1"/>
  <c r="AC177" i="9" s="1"/>
  <c r="AE177" i="9" s="1"/>
  <c r="AG177" i="9" s="1"/>
  <c r="AI177" i="9" s="1"/>
  <c r="AK177" i="9" s="1"/>
  <c r="AM177" i="9" s="1"/>
  <c r="AN177" i="9" s="1"/>
  <c r="E178" i="9"/>
  <c r="G178" i="9" s="1"/>
  <c r="I178" i="9" s="1"/>
  <c r="K178" i="9" s="1"/>
  <c r="M178" i="9" s="1"/>
  <c r="O178" i="9" s="1"/>
  <c r="Q178" i="9" s="1"/>
  <c r="S178" i="9" s="1"/>
  <c r="U178" i="9" s="1"/>
  <c r="W178" i="9" s="1"/>
  <c r="Y178" i="9" s="1"/>
  <c r="AA178" i="9" s="1"/>
  <c r="AC178" i="9" s="1"/>
  <c r="AE178" i="9" s="1"/>
  <c r="AG178" i="9" s="1"/>
  <c r="AI178" i="9" s="1"/>
  <c r="AK178" i="9" s="1"/>
  <c r="AM178" i="9" s="1"/>
  <c r="AN178" i="9" s="1"/>
  <c r="E179" i="9"/>
  <c r="G179" i="9" s="1"/>
  <c r="I179" i="9" s="1"/>
  <c r="K179" i="9" s="1"/>
  <c r="M179" i="9" s="1"/>
  <c r="O179" i="9" s="1"/>
  <c r="Q179" i="9" s="1"/>
  <c r="S179" i="9" s="1"/>
  <c r="U179" i="9" s="1"/>
  <c r="W179" i="9" s="1"/>
  <c r="Y179" i="9" s="1"/>
  <c r="AA179" i="9" s="1"/>
  <c r="AC179" i="9" s="1"/>
  <c r="AE179" i="9" s="1"/>
  <c r="AG179" i="9" s="1"/>
  <c r="AI179" i="9" s="1"/>
  <c r="AK179" i="9" s="1"/>
  <c r="AM179" i="9" s="1"/>
  <c r="AN179" i="9" s="1"/>
  <c r="E180" i="9"/>
  <c r="G180" i="9" s="1"/>
  <c r="I180" i="9" s="1"/>
  <c r="K180" i="9" s="1"/>
  <c r="M180" i="9" s="1"/>
  <c r="O180" i="9" s="1"/>
  <c r="Q180" i="9" s="1"/>
  <c r="S180" i="9" s="1"/>
  <c r="U180" i="9" s="1"/>
  <c r="W180" i="9" s="1"/>
  <c r="Y180" i="9" s="1"/>
  <c r="AA180" i="9" s="1"/>
  <c r="AC180" i="9" s="1"/>
  <c r="AE180" i="9" s="1"/>
  <c r="AG180" i="9" s="1"/>
  <c r="AI180" i="9" s="1"/>
  <c r="AK180" i="9" s="1"/>
  <c r="E181" i="9"/>
  <c r="G181" i="9" s="1"/>
  <c r="I181" i="9" s="1"/>
  <c r="K181" i="9" s="1"/>
  <c r="M181" i="9" s="1"/>
  <c r="O181" i="9" s="1"/>
  <c r="Q181" i="9" s="1"/>
  <c r="S181" i="9" s="1"/>
  <c r="U181" i="9" s="1"/>
  <c r="W181" i="9" s="1"/>
  <c r="Y181" i="9" s="1"/>
  <c r="AA181" i="9" s="1"/>
  <c r="AC181" i="9" s="1"/>
  <c r="AE181" i="9" s="1"/>
  <c r="AG181" i="9" s="1"/>
  <c r="AI181" i="9" s="1"/>
  <c r="AK181" i="9" s="1"/>
  <c r="E182" i="9"/>
  <c r="G182" i="9" s="1"/>
  <c r="I182" i="9" s="1"/>
  <c r="K182" i="9" s="1"/>
  <c r="M182" i="9" s="1"/>
  <c r="O182" i="9" s="1"/>
  <c r="Q182" i="9" s="1"/>
  <c r="S182" i="9" s="1"/>
  <c r="U182" i="9" s="1"/>
  <c r="W182" i="9" s="1"/>
  <c r="Y182" i="9" s="1"/>
  <c r="AA182" i="9" s="1"/>
  <c r="AC182" i="9" s="1"/>
  <c r="AE182" i="9" s="1"/>
  <c r="AG182" i="9" s="1"/>
  <c r="AI182" i="9" s="1"/>
  <c r="AK182" i="9" s="1"/>
  <c r="E183" i="9"/>
  <c r="G183" i="9" s="1"/>
  <c r="I183" i="9" s="1"/>
  <c r="K183" i="9" s="1"/>
  <c r="M183" i="9" s="1"/>
  <c r="O183" i="9" s="1"/>
  <c r="Q183" i="9" s="1"/>
  <c r="S183" i="9" s="1"/>
  <c r="U183" i="9" s="1"/>
  <c r="W183" i="9" s="1"/>
  <c r="Y183" i="9" s="1"/>
  <c r="AA183" i="9" s="1"/>
  <c r="AC183" i="9" s="1"/>
  <c r="AE183" i="9" s="1"/>
  <c r="AG183" i="9" s="1"/>
  <c r="AI183" i="9" s="1"/>
  <c r="AK183" i="9" s="1"/>
  <c r="AM183" i="9" s="1"/>
  <c r="E184" i="9"/>
  <c r="G184" i="9" s="1"/>
  <c r="I184" i="9" s="1"/>
  <c r="K184" i="9" s="1"/>
  <c r="M184" i="9" s="1"/>
  <c r="O184" i="9" s="1"/>
  <c r="Q184" i="9" s="1"/>
  <c r="S184" i="9" s="1"/>
  <c r="U184" i="9" s="1"/>
  <c r="W184" i="9" s="1"/>
  <c r="Y184" i="9" s="1"/>
  <c r="AA184" i="9" s="1"/>
  <c r="AC184" i="9" s="1"/>
  <c r="AE184" i="9" s="1"/>
  <c r="AG184" i="9" s="1"/>
  <c r="AI184" i="9" s="1"/>
  <c r="AK184" i="9" s="1"/>
  <c r="AM184" i="9" s="1"/>
  <c r="AN184" i="9" s="1"/>
  <c r="E185" i="9"/>
  <c r="G185" i="9" s="1"/>
  <c r="I185" i="9" s="1"/>
  <c r="K185" i="9" s="1"/>
  <c r="M185" i="9" s="1"/>
  <c r="O185" i="9" s="1"/>
  <c r="Q185" i="9" s="1"/>
  <c r="S185" i="9" s="1"/>
  <c r="U185" i="9" s="1"/>
  <c r="W185" i="9" s="1"/>
  <c r="Y185" i="9" s="1"/>
  <c r="AA185" i="9" s="1"/>
  <c r="AC185" i="9" s="1"/>
  <c r="AE185" i="9" s="1"/>
  <c r="AG185" i="9" s="1"/>
  <c r="AI185" i="9" s="1"/>
  <c r="AK185" i="9" s="1"/>
  <c r="AM185" i="9" s="1"/>
  <c r="AN185" i="9" s="1"/>
  <c r="E186" i="9"/>
  <c r="G186" i="9" s="1"/>
  <c r="I186" i="9" s="1"/>
  <c r="K186" i="9" s="1"/>
  <c r="M186" i="9" s="1"/>
  <c r="O186" i="9" s="1"/>
  <c r="Q186" i="9" s="1"/>
  <c r="S186" i="9" s="1"/>
  <c r="U186" i="9" s="1"/>
  <c r="W186" i="9" s="1"/>
  <c r="Y186" i="9" s="1"/>
  <c r="AA186" i="9" s="1"/>
  <c r="AC186" i="9" s="1"/>
  <c r="AE186" i="9" s="1"/>
  <c r="AG186" i="9" s="1"/>
  <c r="AI186" i="9" s="1"/>
  <c r="AK186" i="9" s="1"/>
  <c r="AM186" i="9" s="1"/>
  <c r="AN186" i="9" s="1"/>
  <c r="E187" i="9"/>
  <c r="G187" i="9" s="1"/>
  <c r="I187" i="9" s="1"/>
  <c r="K187" i="9" s="1"/>
  <c r="M187" i="9" s="1"/>
  <c r="O187" i="9" s="1"/>
  <c r="Q187" i="9" s="1"/>
  <c r="S187" i="9" s="1"/>
  <c r="U187" i="9" s="1"/>
  <c r="W187" i="9" s="1"/>
  <c r="Y187" i="9" s="1"/>
  <c r="AA187" i="9" s="1"/>
  <c r="AC187" i="9" s="1"/>
  <c r="AE187" i="9" s="1"/>
  <c r="AG187" i="9" s="1"/>
  <c r="AI187" i="9" s="1"/>
  <c r="AK187" i="9" s="1"/>
  <c r="E188" i="9"/>
  <c r="G188" i="9" s="1"/>
  <c r="I188" i="9" s="1"/>
  <c r="K188" i="9" s="1"/>
  <c r="M188" i="9" s="1"/>
  <c r="O188" i="9" s="1"/>
  <c r="Q188" i="9" s="1"/>
  <c r="S188" i="9" s="1"/>
  <c r="U188" i="9" s="1"/>
  <c r="W188" i="9" s="1"/>
  <c r="Y188" i="9" s="1"/>
  <c r="AA188" i="9" s="1"/>
  <c r="AC188" i="9" s="1"/>
  <c r="AE188" i="9" s="1"/>
  <c r="AG188" i="9" s="1"/>
  <c r="AI188" i="9" s="1"/>
  <c r="AK188" i="9" s="1"/>
  <c r="AM188" i="9" s="1"/>
  <c r="AN188" i="9" s="1"/>
  <c r="E189" i="9"/>
  <c r="G189" i="9" s="1"/>
  <c r="I189" i="9" s="1"/>
  <c r="K189" i="9" s="1"/>
  <c r="M189" i="9" s="1"/>
  <c r="O189" i="9" s="1"/>
  <c r="Q189" i="9" s="1"/>
  <c r="S189" i="9" s="1"/>
  <c r="U189" i="9" s="1"/>
  <c r="W189" i="9" s="1"/>
  <c r="Y189" i="9" s="1"/>
  <c r="AA189" i="9" s="1"/>
  <c r="AC189" i="9" s="1"/>
  <c r="AE189" i="9" s="1"/>
  <c r="AG189" i="9" s="1"/>
  <c r="AI189" i="9" s="1"/>
  <c r="AK189" i="9" s="1"/>
  <c r="E190" i="9"/>
  <c r="G190" i="9" s="1"/>
  <c r="I190" i="9" s="1"/>
  <c r="K190" i="9" s="1"/>
  <c r="M190" i="9" s="1"/>
  <c r="O190" i="9" s="1"/>
  <c r="Q190" i="9" s="1"/>
  <c r="S190" i="9" s="1"/>
  <c r="U190" i="9" s="1"/>
  <c r="W190" i="9" s="1"/>
  <c r="Y190" i="9" s="1"/>
  <c r="AA190" i="9" s="1"/>
  <c r="AC190" i="9" s="1"/>
  <c r="AE190" i="9" s="1"/>
  <c r="AG190" i="9" s="1"/>
  <c r="AI190" i="9" s="1"/>
  <c r="AK190" i="9" s="1"/>
  <c r="AM190" i="9" s="1"/>
  <c r="AN190" i="9" s="1"/>
  <c r="E191" i="9"/>
  <c r="G191" i="9" s="1"/>
  <c r="I191" i="9" s="1"/>
  <c r="K191" i="9" s="1"/>
  <c r="M191" i="9" s="1"/>
  <c r="O191" i="9" s="1"/>
  <c r="Q191" i="9" s="1"/>
  <c r="S191" i="9" s="1"/>
  <c r="U191" i="9" s="1"/>
  <c r="W191" i="9" s="1"/>
  <c r="Y191" i="9" s="1"/>
  <c r="AA191" i="9" s="1"/>
  <c r="AC191" i="9" s="1"/>
  <c r="AE191" i="9" s="1"/>
  <c r="AG191" i="9" s="1"/>
  <c r="AI191" i="9" s="1"/>
  <c r="AK191" i="9" s="1"/>
  <c r="E192" i="9"/>
  <c r="G192" i="9" s="1"/>
  <c r="I192" i="9" s="1"/>
  <c r="K192" i="9" s="1"/>
  <c r="M192" i="9" s="1"/>
  <c r="O192" i="9" s="1"/>
  <c r="Q192" i="9" s="1"/>
  <c r="S192" i="9" s="1"/>
  <c r="U192" i="9" s="1"/>
  <c r="W192" i="9" s="1"/>
  <c r="Y192" i="9" s="1"/>
  <c r="AA192" i="9" s="1"/>
  <c r="AC192" i="9" s="1"/>
  <c r="AE192" i="9" s="1"/>
  <c r="AG192" i="9" s="1"/>
  <c r="AI192" i="9" s="1"/>
  <c r="AK192" i="9" s="1"/>
  <c r="E193" i="9"/>
  <c r="G193" i="9" s="1"/>
  <c r="I193" i="9" s="1"/>
  <c r="K193" i="9" s="1"/>
  <c r="M193" i="9" s="1"/>
  <c r="O193" i="9" s="1"/>
  <c r="Q193" i="9" s="1"/>
  <c r="S193" i="9" s="1"/>
  <c r="U193" i="9" s="1"/>
  <c r="W193" i="9" s="1"/>
  <c r="Y193" i="9" s="1"/>
  <c r="AA193" i="9" s="1"/>
  <c r="AC193" i="9" s="1"/>
  <c r="AE193" i="9" s="1"/>
  <c r="AG193" i="9" s="1"/>
  <c r="AI193" i="9" s="1"/>
  <c r="AK193" i="9" s="1"/>
  <c r="E194" i="9"/>
  <c r="G194" i="9" s="1"/>
  <c r="I194" i="9" s="1"/>
  <c r="K194" i="9" s="1"/>
  <c r="M194" i="9" s="1"/>
  <c r="O194" i="9" s="1"/>
  <c r="Q194" i="9" s="1"/>
  <c r="S194" i="9" s="1"/>
  <c r="U194" i="9" s="1"/>
  <c r="W194" i="9" s="1"/>
  <c r="Y194" i="9" s="1"/>
  <c r="AA194" i="9" s="1"/>
  <c r="AC194" i="9" s="1"/>
  <c r="AE194" i="9" s="1"/>
  <c r="AG194" i="9" s="1"/>
  <c r="AI194" i="9" s="1"/>
  <c r="AK194" i="9" s="1"/>
  <c r="AM194" i="9" s="1"/>
  <c r="AN194" i="9" s="1"/>
  <c r="E195" i="9"/>
  <c r="G195" i="9" s="1"/>
  <c r="I195" i="9" s="1"/>
  <c r="K195" i="9" s="1"/>
  <c r="M195" i="9" s="1"/>
  <c r="O195" i="9" s="1"/>
  <c r="Q195" i="9" s="1"/>
  <c r="S195" i="9" s="1"/>
  <c r="U195" i="9" s="1"/>
  <c r="W195" i="9" s="1"/>
  <c r="Y195" i="9" s="1"/>
  <c r="AA195" i="9" s="1"/>
  <c r="AC195" i="9" s="1"/>
  <c r="AE195" i="9" s="1"/>
  <c r="AG195" i="9" s="1"/>
  <c r="AI195" i="9" s="1"/>
  <c r="AK195" i="9" s="1"/>
  <c r="AM195" i="9" s="1"/>
  <c r="AN195" i="9" s="1"/>
  <c r="E196" i="9"/>
  <c r="G196" i="9" s="1"/>
  <c r="I196" i="9" s="1"/>
  <c r="K196" i="9" s="1"/>
  <c r="M196" i="9" s="1"/>
  <c r="O196" i="9" s="1"/>
  <c r="Q196" i="9" s="1"/>
  <c r="S196" i="9" s="1"/>
  <c r="U196" i="9" s="1"/>
  <c r="W196" i="9" s="1"/>
  <c r="Y196" i="9" s="1"/>
  <c r="AA196" i="9" s="1"/>
  <c r="AC196" i="9" s="1"/>
  <c r="AE196" i="9" s="1"/>
  <c r="AG196" i="9" s="1"/>
  <c r="AI196" i="9" s="1"/>
  <c r="AK196" i="9" s="1"/>
  <c r="AM196" i="9" s="1"/>
  <c r="AN196" i="9" s="1"/>
  <c r="E197" i="9"/>
  <c r="G197" i="9" s="1"/>
  <c r="I197" i="9" s="1"/>
  <c r="K197" i="9" s="1"/>
  <c r="M197" i="9" s="1"/>
  <c r="O197" i="9" s="1"/>
  <c r="Q197" i="9" s="1"/>
  <c r="S197" i="9" s="1"/>
  <c r="U197" i="9" s="1"/>
  <c r="W197" i="9" s="1"/>
  <c r="Y197" i="9" s="1"/>
  <c r="AA197" i="9" s="1"/>
  <c r="AC197" i="9" s="1"/>
  <c r="AE197" i="9" s="1"/>
  <c r="AG197" i="9" s="1"/>
  <c r="AI197" i="9" s="1"/>
  <c r="AK197" i="9" s="1"/>
  <c r="AM197" i="9" s="1"/>
  <c r="AN197" i="9" s="1"/>
  <c r="E198" i="9"/>
  <c r="G198" i="9" s="1"/>
  <c r="I198" i="9" s="1"/>
  <c r="K198" i="9" s="1"/>
  <c r="M198" i="9" s="1"/>
  <c r="O198" i="9" s="1"/>
  <c r="Q198" i="9" s="1"/>
  <c r="S198" i="9" s="1"/>
  <c r="U198" i="9" s="1"/>
  <c r="W198" i="9" s="1"/>
  <c r="Y198" i="9" s="1"/>
  <c r="AA198" i="9" s="1"/>
  <c r="AC198" i="9" s="1"/>
  <c r="AE198" i="9" s="1"/>
  <c r="AG198" i="9" s="1"/>
  <c r="AI198" i="9" s="1"/>
  <c r="AK198" i="9" s="1"/>
  <c r="AM198" i="9" s="1"/>
  <c r="AN198" i="9" s="1"/>
  <c r="E199" i="9"/>
  <c r="G199" i="9" s="1"/>
  <c r="I199" i="9" s="1"/>
  <c r="K199" i="9" s="1"/>
  <c r="M199" i="9" s="1"/>
  <c r="O199" i="9" s="1"/>
  <c r="Q199" i="9" s="1"/>
  <c r="S199" i="9" s="1"/>
  <c r="U199" i="9" s="1"/>
  <c r="W199" i="9" s="1"/>
  <c r="Y199" i="9" s="1"/>
  <c r="AA199" i="9" s="1"/>
  <c r="AC199" i="9" s="1"/>
  <c r="AE199" i="9" s="1"/>
  <c r="AG199" i="9" s="1"/>
  <c r="AI199" i="9" s="1"/>
  <c r="AK199" i="9" s="1"/>
  <c r="AM199" i="9" s="1"/>
  <c r="AN199" i="9" s="1"/>
  <c r="E200" i="9"/>
  <c r="G200" i="9" s="1"/>
  <c r="I200" i="9" s="1"/>
  <c r="K200" i="9" s="1"/>
  <c r="M200" i="9" s="1"/>
  <c r="O200" i="9" s="1"/>
  <c r="Q200" i="9" s="1"/>
  <c r="S200" i="9" s="1"/>
  <c r="U200" i="9" s="1"/>
  <c r="W200" i="9" s="1"/>
  <c r="Y200" i="9" s="1"/>
  <c r="AA200" i="9" s="1"/>
  <c r="AC200" i="9" s="1"/>
  <c r="AE200" i="9" s="1"/>
  <c r="AG200" i="9" s="1"/>
  <c r="AI200" i="9" s="1"/>
  <c r="AK200" i="9" s="1"/>
  <c r="AM200" i="9" s="1"/>
  <c r="AN200" i="9" s="1"/>
  <c r="E201" i="9"/>
  <c r="G201" i="9" s="1"/>
  <c r="I201" i="9" s="1"/>
  <c r="K201" i="9" s="1"/>
  <c r="M201" i="9" s="1"/>
  <c r="O201" i="9" s="1"/>
  <c r="Q201" i="9" s="1"/>
  <c r="S201" i="9" s="1"/>
  <c r="U201" i="9" s="1"/>
  <c r="W201" i="9" s="1"/>
  <c r="Y201" i="9" s="1"/>
  <c r="AA201" i="9" s="1"/>
  <c r="AC201" i="9" s="1"/>
  <c r="AE201" i="9" s="1"/>
  <c r="AG201" i="9" s="1"/>
  <c r="AI201" i="9" s="1"/>
  <c r="AK201" i="9" s="1"/>
  <c r="AM201" i="9" s="1"/>
  <c r="AN201" i="9" s="1"/>
  <c r="E202" i="9"/>
  <c r="G202" i="9" s="1"/>
  <c r="I202" i="9" s="1"/>
  <c r="K202" i="9" s="1"/>
  <c r="M202" i="9" s="1"/>
  <c r="O202" i="9" s="1"/>
  <c r="Q202" i="9" s="1"/>
  <c r="S202" i="9" s="1"/>
  <c r="U202" i="9" s="1"/>
  <c r="W202" i="9" s="1"/>
  <c r="Y202" i="9" s="1"/>
  <c r="AA202" i="9" s="1"/>
  <c r="AC202" i="9" s="1"/>
  <c r="AE202" i="9" s="1"/>
  <c r="AG202" i="9" s="1"/>
  <c r="AI202" i="9" s="1"/>
  <c r="AK202" i="9" s="1"/>
  <c r="AM202" i="9" s="1"/>
  <c r="AN202" i="9" s="1"/>
  <c r="E203" i="9"/>
  <c r="G203" i="9" s="1"/>
  <c r="I203" i="9" s="1"/>
  <c r="K203" i="9" s="1"/>
  <c r="M203" i="9" s="1"/>
  <c r="O203" i="9" s="1"/>
  <c r="Q203" i="9" s="1"/>
  <c r="S203" i="9" s="1"/>
  <c r="U203" i="9" s="1"/>
  <c r="W203" i="9" s="1"/>
  <c r="Y203" i="9" s="1"/>
  <c r="AA203" i="9" s="1"/>
  <c r="AC203" i="9" s="1"/>
  <c r="AE203" i="9" s="1"/>
  <c r="AG203" i="9" s="1"/>
  <c r="AI203" i="9" s="1"/>
  <c r="AK203" i="9" s="1"/>
  <c r="AM203" i="9" s="1"/>
  <c r="AN203" i="9" s="1"/>
  <c r="E204" i="9"/>
  <c r="G204" i="9" s="1"/>
  <c r="I204" i="9" s="1"/>
  <c r="K204" i="9" s="1"/>
  <c r="M204" i="9" s="1"/>
  <c r="O204" i="9" s="1"/>
  <c r="Q204" i="9" s="1"/>
  <c r="S204" i="9" s="1"/>
  <c r="U204" i="9" s="1"/>
  <c r="W204" i="9" s="1"/>
  <c r="Y204" i="9" s="1"/>
  <c r="AA204" i="9" s="1"/>
  <c r="AC204" i="9" s="1"/>
  <c r="AE204" i="9" s="1"/>
  <c r="AG204" i="9" s="1"/>
  <c r="AI204" i="9" s="1"/>
  <c r="AK204" i="9" s="1"/>
  <c r="E205" i="9"/>
  <c r="G205" i="9" s="1"/>
  <c r="I205" i="9" s="1"/>
  <c r="K205" i="9" s="1"/>
  <c r="M205" i="9" s="1"/>
  <c r="O205" i="9" s="1"/>
  <c r="Q205" i="9" s="1"/>
  <c r="S205" i="9" s="1"/>
  <c r="U205" i="9" s="1"/>
  <c r="W205" i="9" s="1"/>
  <c r="Y205" i="9" s="1"/>
  <c r="AA205" i="9" s="1"/>
  <c r="AC205" i="9" s="1"/>
  <c r="AE205" i="9" s="1"/>
  <c r="AG205" i="9" s="1"/>
  <c r="AI205" i="9" s="1"/>
  <c r="AK205" i="9" s="1"/>
  <c r="E206" i="9"/>
  <c r="G206" i="9" s="1"/>
  <c r="I206" i="9" s="1"/>
  <c r="K206" i="9" s="1"/>
  <c r="M206" i="9" s="1"/>
  <c r="O206" i="9" s="1"/>
  <c r="Q206" i="9" s="1"/>
  <c r="S206" i="9" s="1"/>
  <c r="U206" i="9" s="1"/>
  <c r="W206" i="9" s="1"/>
  <c r="Y206" i="9" s="1"/>
  <c r="AA206" i="9" s="1"/>
  <c r="AC206" i="9" s="1"/>
  <c r="AE206" i="9" s="1"/>
  <c r="AG206" i="9" s="1"/>
  <c r="AI206" i="9" s="1"/>
  <c r="AK206" i="9" s="1"/>
  <c r="E207" i="9"/>
  <c r="G207" i="9" s="1"/>
  <c r="I207" i="9" s="1"/>
  <c r="K207" i="9" s="1"/>
  <c r="M207" i="9" s="1"/>
  <c r="O207" i="9" s="1"/>
  <c r="Q207" i="9" s="1"/>
  <c r="S207" i="9" s="1"/>
  <c r="U207" i="9" s="1"/>
  <c r="W207" i="9" s="1"/>
  <c r="Y207" i="9" s="1"/>
  <c r="AA207" i="9" s="1"/>
  <c r="AC207" i="9" s="1"/>
  <c r="AE207" i="9" s="1"/>
  <c r="AG207" i="9" s="1"/>
  <c r="AI207" i="9" s="1"/>
  <c r="AK207" i="9" s="1"/>
  <c r="AM207" i="9" s="1"/>
  <c r="AN207" i="9" s="1"/>
  <c r="E208" i="9"/>
  <c r="G208" i="9" s="1"/>
  <c r="I208" i="9" s="1"/>
  <c r="K208" i="9" s="1"/>
  <c r="M208" i="9" s="1"/>
  <c r="O208" i="9" s="1"/>
  <c r="Q208" i="9" s="1"/>
  <c r="S208" i="9" s="1"/>
  <c r="U208" i="9" s="1"/>
  <c r="W208" i="9" s="1"/>
  <c r="Y208" i="9" s="1"/>
  <c r="AA208" i="9" s="1"/>
  <c r="AC208" i="9" s="1"/>
  <c r="AE208" i="9" s="1"/>
  <c r="AG208" i="9" s="1"/>
  <c r="AI208" i="9" s="1"/>
  <c r="AK208" i="9" s="1"/>
  <c r="AM208" i="9" s="1"/>
  <c r="AN208" i="9" s="1"/>
  <c r="E209" i="9"/>
  <c r="G209" i="9" s="1"/>
  <c r="I209" i="9" s="1"/>
  <c r="K209" i="9" s="1"/>
  <c r="M209" i="9" s="1"/>
  <c r="O209" i="9" s="1"/>
  <c r="Q209" i="9" s="1"/>
  <c r="S209" i="9" s="1"/>
  <c r="U209" i="9" s="1"/>
  <c r="W209" i="9" s="1"/>
  <c r="Y209" i="9" s="1"/>
  <c r="AA209" i="9" s="1"/>
  <c r="AC209" i="9" s="1"/>
  <c r="AE209" i="9" s="1"/>
  <c r="AG209" i="9" s="1"/>
  <c r="AI209" i="9" s="1"/>
  <c r="AK209" i="9" s="1"/>
  <c r="AM209" i="9" s="1"/>
  <c r="AN209" i="9" s="1"/>
  <c r="E210" i="9"/>
  <c r="G210" i="9" s="1"/>
  <c r="I210" i="9" s="1"/>
  <c r="K210" i="9" s="1"/>
  <c r="M210" i="9" s="1"/>
  <c r="O210" i="9" s="1"/>
  <c r="Q210" i="9" s="1"/>
  <c r="S210" i="9" s="1"/>
  <c r="U210" i="9" s="1"/>
  <c r="W210" i="9" s="1"/>
  <c r="Y210" i="9" s="1"/>
  <c r="AA210" i="9" s="1"/>
  <c r="AC210" i="9" s="1"/>
  <c r="AE210" i="9" s="1"/>
  <c r="AG210" i="9" s="1"/>
  <c r="AI210" i="9" s="1"/>
  <c r="AK210" i="9" s="1"/>
  <c r="AM210" i="9" s="1"/>
  <c r="AN210" i="9" s="1"/>
  <c r="E211" i="9"/>
  <c r="G211" i="9" s="1"/>
  <c r="I211" i="9" s="1"/>
  <c r="K211" i="9" s="1"/>
  <c r="M211" i="9" s="1"/>
  <c r="O211" i="9" s="1"/>
  <c r="Q211" i="9" s="1"/>
  <c r="S211" i="9" s="1"/>
  <c r="U211" i="9" s="1"/>
  <c r="W211" i="9" s="1"/>
  <c r="Y211" i="9" s="1"/>
  <c r="AA211" i="9" s="1"/>
  <c r="AC211" i="9" s="1"/>
  <c r="AE211" i="9" s="1"/>
  <c r="AG211" i="9" s="1"/>
  <c r="AI211" i="9" s="1"/>
  <c r="AK211" i="9" s="1"/>
  <c r="AM211" i="9" s="1"/>
  <c r="AN211" i="9" s="1"/>
  <c r="E212" i="9"/>
  <c r="G212" i="9" s="1"/>
  <c r="I212" i="9" s="1"/>
  <c r="K212" i="9" s="1"/>
  <c r="M212" i="9" s="1"/>
  <c r="O212" i="9" s="1"/>
  <c r="Q212" i="9" s="1"/>
  <c r="S212" i="9" s="1"/>
  <c r="U212" i="9" s="1"/>
  <c r="W212" i="9" s="1"/>
  <c r="Y212" i="9" s="1"/>
  <c r="AA212" i="9" s="1"/>
  <c r="AC212" i="9" s="1"/>
  <c r="AE212" i="9" s="1"/>
  <c r="AG212" i="9" s="1"/>
  <c r="AI212" i="9" s="1"/>
  <c r="AK212" i="9" s="1"/>
  <c r="AM212" i="9" s="1"/>
  <c r="AN212" i="9" s="1"/>
  <c r="E213" i="9"/>
  <c r="G213" i="9" s="1"/>
  <c r="I213" i="9" s="1"/>
  <c r="K213" i="9" s="1"/>
  <c r="M213" i="9" s="1"/>
  <c r="O213" i="9" s="1"/>
  <c r="Q213" i="9" s="1"/>
  <c r="S213" i="9" s="1"/>
  <c r="U213" i="9" s="1"/>
  <c r="W213" i="9" s="1"/>
  <c r="Y213" i="9" s="1"/>
  <c r="AA213" i="9" s="1"/>
  <c r="AC213" i="9" s="1"/>
  <c r="AE213" i="9" s="1"/>
  <c r="AG213" i="9" s="1"/>
  <c r="AI213" i="9" s="1"/>
  <c r="AK213" i="9" s="1"/>
  <c r="E214" i="9"/>
  <c r="G214" i="9" s="1"/>
  <c r="I214" i="9" s="1"/>
  <c r="K214" i="9" s="1"/>
  <c r="M214" i="9" s="1"/>
  <c r="O214" i="9" s="1"/>
  <c r="Q214" i="9" s="1"/>
  <c r="S214" i="9" s="1"/>
  <c r="U214" i="9" s="1"/>
  <c r="W214" i="9" s="1"/>
  <c r="Y214" i="9" s="1"/>
  <c r="AA214" i="9" s="1"/>
  <c r="AC214" i="9" s="1"/>
  <c r="AE214" i="9" s="1"/>
  <c r="AG214" i="9" s="1"/>
  <c r="AI214" i="9" s="1"/>
  <c r="AK214" i="9" s="1"/>
  <c r="AM214" i="9" s="1"/>
  <c r="AN214" i="9" s="1"/>
  <c r="E215" i="9"/>
  <c r="G215" i="9" s="1"/>
  <c r="I215" i="9" s="1"/>
  <c r="K215" i="9" s="1"/>
  <c r="M215" i="9" s="1"/>
  <c r="O215" i="9" s="1"/>
  <c r="Q215" i="9" s="1"/>
  <c r="S215" i="9" s="1"/>
  <c r="U215" i="9" s="1"/>
  <c r="W215" i="9" s="1"/>
  <c r="Y215" i="9" s="1"/>
  <c r="AA215" i="9" s="1"/>
  <c r="AC215" i="9" s="1"/>
  <c r="AE215" i="9" s="1"/>
  <c r="AG215" i="9" s="1"/>
  <c r="AI215" i="9" s="1"/>
  <c r="AK215" i="9" s="1"/>
  <c r="E216" i="9"/>
  <c r="G216" i="9" s="1"/>
  <c r="I216" i="9" s="1"/>
  <c r="K216" i="9" s="1"/>
  <c r="M216" i="9" s="1"/>
  <c r="O216" i="9" s="1"/>
  <c r="Q216" i="9" s="1"/>
  <c r="S216" i="9" s="1"/>
  <c r="U216" i="9" s="1"/>
  <c r="W216" i="9" s="1"/>
  <c r="Y216" i="9" s="1"/>
  <c r="AA216" i="9" s="1"/>
  <c r="AC216" i="9" s="1"/>
  <c r="AE216" i="9" s="1"/>
  <c r="AG216" i="9" s="1"/>
  <c r="AI216" i="9" s="1"/>
  <c r="AK216" i="9" s="1"/>
  <c r="E217" i="9"/>
  <c r="G217" i="9" s="1"/>
  <c r="I217" i="9" s="1"/>
  <c r="K217" i="9" s="1"/>
  <c r="M217" i="9" s="1"/>
  <c r="O217" i="9" s="1"/>
  <c r="Q217" i="9" s="1"/>
  <c r="S217" i="9" s="1"/>
  <c r="U217" i="9" s="1"/>
  <c r="W217" i="9" s="1"/>
  <c r="Y217" i="9" s="1"/>
  <c r="AA217" i="9" s="1"/>
  <c r="AC217" i="9" s="1"/>
  <c r="AE217" i="9" s="1"/>
  <c r="AG217" i="9" s="1"/>
  <c r="AI217" i="9" s="1"/>
  <c r="AK217" i="9" s="1"/>
  <c r="E218" i="9"/>
  <c r="G218" i="9" s="1"/>
  <c r="I218" i="9" s="1"/>
  <c r="K218" i="9" s="1"/>
  <c r="M218" i="9" s="1"/>
  <c r="O218" i="9" s="1"/>
  <c r="Q218" i="9" s="1"/>
  <c r="S218" i="9" s="1"/>
  <c r="U218" i="9" s="1"/>
  <c r="W218" i="9" s="1"/>
  <c r="Y218" i="9" s="1"/>
  <c r="AA218" i="9" s="1"/>
  <c r="AC218" i="9" s="1"/>
  <c r="AE218" i="9" s="1"/>
  <c r="AG218" i="9" s="1"/>
  <c r="AI218" i="9" s="1"/>
  <c r="AK218" i="9" s="1"/>
  <c r="AM218" i="9" s="1"/>
  <c r="E219" i="9"/>
  <c r="G219" i="9" s="1"/>
  <c r="I219" i="9" s="1"/>
  <c r="K219" i="9" s="1"/>
  <c r="M219" i="9" s="1"/>
  <c r="O219" i="9" s="1"/>
  <c r="Q219" i="9" s="1"/>
  <c r="S219" i="9" s="1"/>
  <c r="U219" i="9" s="1"/>
  <c r="W219" i="9" s="1"/>
  <c r="Y219" i="9" s="1"/>
  <c r="AA219" i="9" s="1"/>
  <c r="AC219" i="9" s="1"/>
  <c r="AE219" i="9" s="1"/>
  <c r="AG219" i="9" s="1"/>
  <c r="AI219" i="9" s="1"/>
  <c r="AK219" i="9" s="1"/>
  <c r="AM219" i="9" s="1"/>
  <c r="AN219" i="9" s="1"/>
  <c r="E220" i="9"/>
  <c r="G220" i="9" s="1"/>
  <c r="I220" i="9" s="1"/>
  <c r="K220" i="9" s="1"/>
  <c r="M220" i="9" s="1"/>
  <c r="O220" i="9" s="1"/>
  <c r="Q220" i="9" s="1"/>
  <c r="S220" i="9" s="1"/>
  <c r="U220" i="9" s="1"/>
  <c r="W220" i="9" s="1"/>
  <c r="Y220" i="9" s="1"/>
  <c r="AA220" i="9" s="1"/>
  <c r="AC220" i="9" s="1"/>
  <c r="AE220" i="9" s="1"/>
  <c r="AG220" i="9" s="1"/>
  <c r="AI220" i="9" s="1"/>
  <c r="AK220" i="9" s="1"/>
  <c r="AM220" i="9" s="1"/>
  <c r="AN220" i="9" s="1"/>
  <c r="E221" i="9"/>
  <c r="G221" i="9" s="1"/>
  <c r="I221" i="9" s="1"/>
  <c r="K221" i="9" s="1"/>
  <c r="M221" i="9" s="1"/>
  <c r="O221" i="9" s="1"/>
  <c r="Q221" i="9" s="1"/>
  <c r="S221" i="9" s="1"/>
  <c r="U221" i="9" s="1"/>
  <c r="W221" i="9" s="1"/>
  <c r="Y221" i="9" s="1"/>
  <c r="AA221" i="9" s="1"/>
  <c r="AC221" i="9" s="1"/>
  <c r="AE221" i="9" s="1"/>
  <c r="AG221" i="9" s="1"/>
  <c r="AI221" i="9" s="1"/>
  <c r="AK221" i="9" s="1"/>
  <c r="AM221" i="9" s="1"/>
  <c r="AN221" i="9" s="1"/>
  <c r="E222" i="9"/>
  <c r="G222" i="9" s="1"/>
  <c r="I222" i="9" s="1"/>
  <c r="K222" i="9" s="1"/>
  <c r="M222" i="9" s="1"/>
  <c r="O222" i="9" s="1"/>
  <c r="Q222" i="9" s="1"/>
  <c r="S222" i="9" s="1"/>
  <c r="U222" i="9" s="1"/>
  <c r="W222" i="9" s="1"/>
  <c r="Y222" i="9" s="1"/>
  <c r="AA222" i="9" s="1"/>
  <c r="AC222" i="9" s="1"/>
  <c r="AE222" i="9" s="1"/>
  <c r="AG222" i="9" s="1"/>
  <c r="AI222" i="9" s="1"/>
  <c r="AK222" i="9" s="1"/>
  <c r="AM222" i="9" s="1"/>
  <c r="AN222" i="9" s="1"/>
  <c r="E223" i="9"/>
  <c r="G223" i="9" s="1"/>
  <c r="I223" i="9" s="1"/>
  <c r="K223" i="9" s="1"/>
  <c r="M223" i="9" s="1"/>
  <c r="O223" i="9" s="1"/>
  <c r="Q223" i="9" s="1"/>
  <c r="S223" i="9" s="1"/>
  <c r="U223" i="9" s="1"/>
  <c r="W223" i="9" s="1"/>
  <c r="Y223" i="9" s="1"/>
  <c r="AA223" i="9" s="1"/>
  <c r="AC223" i="9" s="1"/>
  <c r="AE223" i="9" s="1"/>
  <c r="AG223" i="9" s="1"/>
  <c r="AI223" i="9" s="1"/>
  <c r="AK223" i="9" s="1"/>
  <c r="AM223" i="9" s="1"/>
  <c r="AN223" i="9" s="1"/>
  <c r="E224" i="9"/>
  <c r="G224" i="9" s="1"/>
  <c r="I224" i="9" s="1"/>
  <c r="K224" i="9" s="1"/>
  <c r="M224" i="9" s="1"/>
  <c r="O224" i="9" s="1"/>
  <c r="Q224" i="9" s="1"/>
  <c r="S224" i="9" s="1"/>
  <c r="U224" i="9" s="1"/>
  <c r="W224" i="9" s="1"/>
  <c r="Y224" i="9" s="1"/>
  <c r="AA224" i="9" s="1"/>
  <c r="AC224" i="9" s="1"/>
  <c r="AE224" i="9" s="1"/>
  <c r="AG224" i="9" s="1"/>
  <c r="AI224" i="9" s="1"/>
  <c r="AK224" i="9" s="1"/>
  <c r="E225" i="9"/>
  <c r="G225" i="9" s="1"/>
  <c r="I225" i="9" s="1"/>
  <c r="K225" i="9" s="1"/>
  <c r="M225" i="9" s="1"/>
  <c r="O225" i="9" s="1"/>
  <c r="Q225" i="9" s="1"/>
  <c r="S225" i="9" s="1"/>
  <c r="U225" i="9" s="1"/>
  <c r="W225" i="9" s="1"/>
  <c r="Y225" i="9" s="1"/>
  <c r="AA225" i="9" s="1"/>
  <c r="AC225" i="9" s="1"/>
  <c r="AE225" i="9" s="1"/>
  <c r="AG225" i="9" s="1"/>
  <c r="AI225" i="9" s="1"/>
  <c r="AK225" i="9" s="1"/>
  <c r="E226" i="9"/>
  <c r="G226" i="9" s="1"/>
  <c r="I226" i="9" s="1"/>
  <c r="K226" i="9" s="1"/>
  <c r="M226" i="9" s="1"/>
  <c r="O226" i="9" s="1"/>
  <c r="Q226" i="9" s="1"/>
  <c r="S226" i="9" s="1"/>
  <c r="U226" i="9" s="1"/>
  <c r="W226" i="9" s="1"/>
  <c r="Y226" i="9" s="1"/>
  <c r="AA226" i="9" s="1"/>
  <c r="AC226" i="9" s="1"/>
  <c r="AE226" i="9" s="1"/>
  <c r="AG226" i="9" s="1"/>
  <c r="AI226" i="9" s="1"/>
  <c r="AK226" i="9" s="1"/>
  <c r="AM226" i="9" s="1"/>
  <c r="AN226" i="9" s="1"/>
  <c r="E227" i="9"/>
  <c r="G227" i="9" s="1"/>
  <c r="I227" i="9" s="1"/>
  <c r="K227" i="9" s="1"/>
  <c r="M227" i="9" s="1"/>
  <c r="O227" i="9" s="1"/>
  <c r="Q227" i="9" s="1"/>
  <c r="S227" i="9" s="1"/>
  <c r="U227" i="9" s="1"/>
  <c r="W227" i="9" s="1"/>
  <c r="Y227" i="9" s="1"/>
  <c r="AA227" i="9" s="1"/>
  <c r="AC227" i="9" s="1"/>
  <c r="AE227" i="9" s="1"/>
  <c r="AG227" i="9" s="1"/>
  <c r="AI227" i="9" s="1"/>
  <c r="AK227" i="9" s="1"/>
  <c r="AM227" i="9" s="1"/>
  <c r="AN227" i="9" s="1"/>
  <c r="E228" i="9"/>
  <c r="G228" i="9" s="1"/>
  <c r="I228" i="9" s="1"/>
  <c r="K228" i="9" s="1"/>
  <c r="M228" i="9" s="1"/>
  <c r="O228" i="9" s="1"/>
  <c r="Q228" i="9" s="1"/>
  <c r="S228" i="9" s="1"/>
  <c r="U228" i="9" s="1"/>
  <c r="W228" i="9" s="1"/>
  <c r="Y228" i="9" s="1"/>
  <c r="AA228" i="9" s="1"/>
  <c r="AC228" i="9" s="1"/>
  <c r="AE228" i="9" s="1"/>
  <c r="AG228" i="9" s="1"/>
  <c r="AI228" i="9" s="1"/>
  <c r="AK228" i="9" s="1"/>
  <c r="E229" i="9"/>
  <c r="G229" i="9" s="1"/>
  <c r="I229" i="9" s="1"/>
  <c r="K229" i="9" s="1"/>
  <c r="M229" i="9" s="1"/>
  <c r="O229" i="9" s="1"/>
  <c r="Q229" i="9" s="1"/>
  <c r="S229" i="9" s="1"/>
  <c r="U229" i="9" s="1"/>
  <c r="W229" i="9" s="1"/>
  <c r="Y229" i="9" s="1"/>
  <c r="AA229" i="9" s="1"/>
  <c r="AC229" i="9" s="1"/>
  <c r="AE229" i="9" s="1"/>
  <c r="AG229" i="9" s="1"/>
  <c r="AI229" i="9" s="1"/>
  <c r="AK229" i="9" s="1"/>
  <c r="E230" i="9"/>
  <c r="G230" i="9" s="1"/>
  <c r="I230" i="9" s="1"/>
  <c r="K230" i="9" s="1"/>
  <c r="M230" i="9" s="1"/>
  <c r="O230" i="9" s="1"/>
  <c r="Q230" i="9" s="1"/>
  <c r="S230" i="9" s="1"/>
  <c r="U230" i="9" s="1"/>
  <c r="W230" i="9" s="1"/>
  <c r="Y230" i="9" s="1"/>
  <c r="AA230" i="9" s="1"/>
  <c r="AC230" i="9" s="1"/>
  <c r="AE230" i="9" s="1"/>
  <c r="AG230" i="9" s="1"/>
  <c r="AI230" i="9" s="1"/>
  <c r="AK230" i="9" s="1"/>
  <c r="E231" i="9"/>
  <c r="G231" i="9" s="1"/>
  <c r="I231" i="9" s="1"/>
  <c r="K231" i="9" s="1"/>
  <c r="M231" i="9" s="1"/>
  <c r="O231" i="9" s="1"/>
  <c r="Q231" i="9" s="1"/>
  <c r="S231" i="9" s="1"/>
  <c r="U231" i="9" s="1"/>
  <c r="W231" i="9" s="1"/>
  <c r="Y231" i="9" s="1"/>
  <c r="AA231" i="9" s="1"/>
  <c r="AC231" i="9" s="1"/>
  <c r="AE231" i="9" s="1"/>
  <c r="AG231" i="9" s="1"/>
  <c r="AI231" i="9" s="1"/>
  <c r="AK231" i="9" s="1"/>
  <c r="AM231" i="9" s="1"/>
  <c r="AN231" i="9" s="1"/>
  <c r="E232" i="9"/>
  <c r="G232" i="9" s="1"/>
  <c r="I232" i="9" s="1"/>
  <c r="K232" i="9" s="1"/>
  <c r="M232" i="9" s="1"/>
  <c r="O232" i="9" s="1"/>
  <c r="Q232" i="9" s="1"/>
  <c r="S232" i="9" s="1"/>
  <c r="U232" i="9" s="1"/>
  <c r="W232" i="9" s="1"/>
  <c r="Y232" i="9" s="1"/>
  <c r="AA232" i="9" s="1"/>
  <c r="AC232" i="9" s="1"/>
  <c r="AE232" i="9" s="1"/>
  <c r="AG232" i="9" s="1"/>
  <c r="AI232" i="9" s="1"/>
  <c r="AK232" i="9" s="1"/>
  <c r="AM232" i="9" s="1"/>
  <c r="AN232" i="9" s="1"/>
  <c r="E233" i="9"/>
  <c r="G233" i="9" s="1"/>
  <c r="I233" i="9" s="1"/>
  <c r="K233" i="9" s="1"/>
  <c r="M233" i="9" s="1"/>
  <c r="O233" i="9" s="1"/>
  <c r="Q233" i="9" s="1"/>
  <c r="S233" i="9" s="1"/>
  <c r="U233" i="9" s="1"/>
  <c r="W233" i="9" s="1"/>
  <c r="Y233" i="9" s="1"/>
  <c r="AA233" i="9" s="1"/>
  <c r="AC233" i="9" s="1"/>
  <c r="AE233" i="9" s="1"/>
  <c r="AG233" i="9" s="1"/>
  <c r="AI233" i="9" s="1"/>
  <c r="AK233" i="9" s="1"/>
  <c r="AM233" i="9" s="1"/>
  <c r="AN233" i="9" s="1"/>
  <c r="E234" i="9"/>
  <c r="G234" i="9" s="1"/>
  <c r="I234" i="9" s="1"/>
  <c r="K234" i="9" s="1"/>
  <c r="M234" i="9" s="1"/>
  <c r="O234" i="9" s="1"/>
  <c r="Q234" i="9" s="1"/>
  <c r="S234" i="9" s="1"/>
  <c r="U234" i="9" s="1"/>
  <c r="W234" i="9" s="1"/>
  <c r="Y234" i="9" s="1"/>
  <c r="AA234" i="9" s="1"/>
  <c r="AC234" i="9" s="1"/>
  <c r="AE234" i="9" s="1"/>
  <c r="AG234" i="9" s="1"/>
  <c r="AI234" i="9" s="1"/>
  <c r="AK234" i="9" s="1"/>
  <c r="AM234" i="9" s="1"/>
  <c r="AN234" i="9" s="1"/>
  <c r="E235" i="9"/>
  <c r="G235" i="9" s="1"/>
  <c r="I235" i="9" s="1"/>
  <c r="K235" i="9" s="1"/>
  <c r="M235" i="9" s="1"/>
  <c r="O235" i="9" s="1"/>
  <c r="Q235" i="9" s="1"/>
  <c r="S235" i="9" s="1"/>
  <c r="U235" i="9" s="1"/>
  <c r="W235" i="9" s="1"/>
  <c r="Y235" i="9" s="1"/>
  <c r="AA235" i="9" s="1"/>
  <c r="AC235" i="9" s="1"/>
  <c r="AE235" i="9" s="1"/>
  <c r="AG235" i="9" s="1"/>
  <c r="AI235" i="9" s="1"/>
  <c r="AK235" i="9" s="1"/>
  <c r="AM235" i="9" s="1"/>
  <c r="AN235" i="9" s="1"/>
  <c r="E236" i="9"/>
  <c r="G236" i="9" s="1"/>
  <c r="I236" i="9" s="1"/>
  <c r="K236" i="9" s="1"/>
  <c r="M236" i="9" s="1"/>
  <c r="O236" i="9" s="1"/>
  <c r="Q236" i="9" s="1"/>
  <c r="S236" i="9" s="1"/>
  <c r="U236" i="9" s="1"/>
  <c r="W236" i="9" s="1"/>
  <c r="Y236" i="9" s="1"/>
  <c r="AA236" i="9" s="1"/>
  <c r="AC236" i="9" s="1"/>
  <c r="AE236" i="9" s="1"/>
  <c r="AG236" i="9" s="1"/>
  <c r="AI236" i="9" s="1"/>
  <c r="AK236" i="9" s="1"/>
  <c r="AM236" i="9" s="1"/>
  <c r="AN236" i="9" s="1"/>
  <c r="E237" i="9"/>
  <c r="G237" i="9" s="1"/>
  <c r="I237" i="9" s="1"/>
  <c r="K237" i="9" s="1"/>
  <c r="M237" i="9" s="1"/>
  <c r="O237" i="9" s="1"/>
  <c r="Q237" i="9" s="1"/>
  <c r="S237" i="9" s="1"/>
  <c r="U237" i="9" s="1"/>
  <c r="W237" i="9" s="1"/>
  <c r="Y237" i="9" s="1"/>
  <c r="AA237" i="9" s="1"/>
  <c r="AC237" i="9" s="1"/>
  <c r="AE237" i="9" s="1"/>
  <c r="AG237" i="9" s="1"/>
  <c r="AI237" i="9" s="1"/>
  <c r="AK237" i="9" s="1"/>
  <c r="AM237" i="9" s="1"/>
  <c r="AN237" i="9" s="1"/>
  <c r="E238" i="9"/>
  <c r="G238" i="9" s="1"/>
  <c r="I238" i="9" s="1"/>
  <c r="K238" i="9" s="1"/>
  <c r="M238" i="9" s="1"/>
  <c r="O238" i="9" s="1"/>
  <c r="Q238" i="9" s="1"/>
  <c r="S238" i="9" s="1"/>
  <c r="U238" i="9" s="1"/>
  <c r="W238" i="9" s="1"/>
  <c r="Y238" i="9" s="1"/>
  <c r="AA238" i="9" s="1"/>
  <c r="AC238" i="9" s="1"/>
  <c r="AE238" i="9" s="1"/>
  <c r="AG238" i="9" s="1"/>
  <c r="AI238" i="9" s="1"/>
  <c r="AK238" i="9" s="1"/>
  <c r="AM238" i="9" s="1"/>
  <c r="AN238" i="9" s="1"/>
  <c r="E239" i="9"/>
  <c r="G239" i="9" s="1"/>
  <c r="I239" i="9" s="1"/>
  <c r="K239" i="9" s="1"/>
  <c r="M239" i="9" s="1"/>
  <c r="O239" i="9" s="1"/>
  <c r="Q239" i="9" s="1"/>
  <c r="S239" i="9" s="1"/>
  <c r="U239" i="9" s="1"/>
  <c r="W239" i="9" s="1"/>
  <c r="Y239" i="9" s="1"/>
  <c r="AA239" i="9" s="1"/>
  <c r="AC239" i="9" s="1"/>
  <c r="AE239" i="9" s="1"/>
  <c r="AG239" i="9" s="1"/>
  <c r="AI239" i="9" s="1"/>
  <c r="AK239" i="9" s="1"/>
  <c r="E240" i="9"/>
  <c r="G240" i="9" s="1"/>
  <c r="I240" i="9" s="1"/>
  <c r="K240" i="9" s="1"/>
  <c r="M240" i="9" s="1"/>
  <c r="O240" i="9" s="1"/>
  <c r="Q240" i="9" s="1"/>
  <c r="S240" i="9" s="1"/>
  <c r="U240" i="9" s="1"/>
  <c r="W240" i="9" s="1"/>
  <c r="Y240" i="9" s="1"/>
  <c r="AA240" i="9" s="1"/>
  <c r="AC240" i="9" s="1"/>
  <c r="AE240" i="9" s="1"/>
  <c r="AG240" i="9" s="1"/>
  <c r="AI240" i="9" s="1"/>
  <c r="AK240" i="9" s="1"/>
  <c r="E241" i="9"/>
  <c r="G241" i="9" s="1"/>
  <c r="I241" i="9" s="1"/>
  <c r="K241" i="9" s="1"/>
  <c r="M241" i="9" s="1"/>
  <c r="O241" i="9" s="1"/>
  <c r="Q241" i="9" s="1"/>
  <c r="S241" i="9" s="1"/>
  <c r="U241" i="9" s="1"/>
  <c r="W241" i="9" s="1"/>
  <c r="Y241" i="9" s="1"/>
  <c r="AA241" i="9" s="1"/>
  <c r="AC241" i="9" s="1"/>
  <c r="AE241" i="9" s="1"/>
  <c r="AG241" i="9" s="1"/>
  <c r="AI241" i="9" s="1"/>
  <c r="AK241" i="9" s="1"/>
  <c r="E242" i="9"/>
  <c r="G242" i="9" s="1"/>
  <c r="I242" i="9" s="1"/>
  <c r="K242" i="9" s="1"/>
  <c r="M242" i="9" s="1"/>
  <c r="O242" i="9" s="1"/>
  <c r="Q242" i="9" s="1"/>
  <c r="S242" i="9" s="1"/>
  <c r="U242" i="9" s="1"/>
  <c r="W242" i="9" s="1"/>
  <c r="Y242" i="9" s="1"/>
  <c r="AA242" i="9" s="1"/>
  <c r="AC242" i="9" s="1"/>
  <c r="AE242" i="9" s="1"/>
  <c r="AG242" i="9" s="1"/>
  <c r="AI242" i="9" s="1"/>
  <c r="AK242" i="9" s="1"/>
  <c r="AM242" i="9" s="1"/>
  <c r="E243" i="9"/>
  <c r="G243" i="9" s="1"/>
  <c r="I243" i="9" s="1"/>
  <c r="K243" i="9" s="1"/>
  <c r="M243" i="9" s="1"/>
  <c r="O243" i="9" s="1"/>
  <c r="Q243" i="9" s="1"/>
  <c r="S243" i="9" s="1"/>
  <c r="U243" i="9" s="1"/>
  <c r="W243" i="9" s="1"/>
  <c r="Y243" i="9" s="1"/>
  <c r="AA243" i="9" s="1"/>
  <c r="AC243" i="9" s="1"/>
  <c r="AE243" i="9" s="1"/>
  <c r="AG243" i="9" s="1"/>
  <c r="AI243" i="9" s="1"/>
  <c r="AK243" i="9" s="1"/>
  <c r="AM243" i="9" s="1"/>
  <c r="AN243" i="9" s="1"/>
  <c r="E244" i="9"/>
  <c r="G244" i="9" s="1"/>
  <c r="I244" i="9" s="1"/>
  <c r="K244" i="9" s="1"/>
  <c r="M244" i="9" s="1"/>
  <c r="O244" i="9" s="1"/>
  <c r="Q244" i="9" s="1"/>
  <c r="S244" i="9" s="1"/>
  <c r="U244" i="9" s="1"/>
  <c r="W244" i="9" s="1"/>
  <c r="Y244" i="9" s="1"/>
  <c r="AA244" i="9" s="1"/>
  <c r="AC244" i="9" s="1"/>
  <c r="AE244" i="9" s="1"/>
  <c r="AG244" i="9" s="1"/>
  <c r="AI244" i="9" s="1"/>
  <c r="AK244" i="9" s="1"/>
  <c r="AM244" i="9" s="1"/>
  <c r="AN244" i="9" s="1"/>
  <c r="E245" i="9"/>
  <c r="G245" i="9" s="1"/>
  <c r="I245" i="9" s="1"/>
  <c r="K245" i="9" s="1"/>
  <c r="M245" i="9" s="1"/>
  <c r="O245" i="9" s="1"/>
  <c r="Q245" i="9" s="1"/>
  <c r="S245" i="9" s="1"/>
  <c r="U245" i="9" s="1"/>
  <c r="W245" i="9" s="1"/>
  <c r="Y245" i="9" s="1"/>
  <c r="AA245" i="9" s="1"/>
  <c r="AC245" i="9" s="1"/>
  <c r="AE245" i="9" s="1"/>
  <c r="AG245" i="9" s="1"/>
  <c r="AI245" i="9" s="1"/>
  <c r="AK245" i="9" s="1"/>
  <c r="AM245" i="9" s="1"/>
  <c r="AN245" i="9" s="1"/>
  <c r="E246" i="9"/>
  <c r="G246" i="9" s="1"/>
  <c r="I246" i="9" s="1"/>
  <c r="K246" i="9" s="1"/>
  <c r="M246" i="9" s="1"/>
  <c r="O246" i="9" s="1"/>
  <c r="Q246" i="9" s="1"/>
  <c r="S246" i="9" s="1"/>
  <c r="U246" i="9" s="1"/>
  <c r="W246" i="9" s="1"/>
  <c r="Y246" i="9" s="1"/>
  <c r="AA246" i="9" s="1"/>
  <c r="AC246" i="9" s="1"/>
  <c r="AE246" i="9" s="1"/>
  <c r="AG246" i="9" s="1"/>
  <c r="AI246" i="9" s="1"/>
  <c r="AK246" i="9" s="1"/>
  <c r="AM246" i="9" s="1"/>
  <c r="AN246" i="9" s="1"/>
  <c r="E247" i="9"/>
  <c r="G247" i="9" s="1"/>
  <c r="I247" i="9" s="1"/>
  <c r="K247" i="9" s="1"/>
  <c r="M247" i="9" s="1"/>
  <c r="O247" i="9" s="1"/>
  <c r="Q247" i="9" s="1"/>
  <c r="S247" i="9" s="1"/>
  <c r="U247" i="9" s="1"/>
  <c r="W247" i="9" s="1"/>
  <c r="Y247" i="9" s="1"/>
  <c r="AA247" i="9" s="1"/>
  <c r="AC247" i="9" s="1"/>
  <c r="AE247" i="9" s="1"/>
  <c r="AG247" i="9" s="1"/>
  <c r="AI247" i="9" s="1"/>
  <c r="AK247" i="9" s="1"/>
  <c r="AM247" i="9" s="1"/>
  <c r="AN247" i="9" s="1"/>
  <c r="E248" i="9"/>
  <c r="G248" i="9" s="1"/>
  <c r="I248" i="9" s="1"/>
  <c r="K248" i="9" s="1"/>
  <c r="M248" i="9" s="1"/>
  <c r="O248" i="9" s="1"/>
  <c r="Q248" i="9" s="1"/>
  <c r="S248" i="9" s="1"/>
  <c r="U248" i="9" s="1"/>
  <c r="W248" i="9" s="1"/>
  <c r="Y248" i="9" s="1"/>
  <c r="AA248" i="9" s="1"/>
  <c r="AC248" i="9" s="1"/>
  <c r="AE248" i="9" s="1"/>
  <c r="AG248" i="9" s="1"/>
  <c r="AI248" i="9" s="1"/>
  <c r="AK248" i="9" s="1"/>
  <c r="AM248" i="9" s="1"/>
  <c r="AN248" i="9" s="1"/>
  <c r="E249" i="9"/>
  <c r="G249" i="9" s="1"/>
  <c r="I249" i="9" s="1"/>
  <c r="K249" i="9" s="1"/>
  <c r="M249" i="9" s="1"/>
  <c r="O249" i="9" s="1"/>
  <c r="Q249" i="9" s="1"/>
  <c r="S249" i="9" s="1"/>
  <c r="U249" i="9" s="1"/>
  <c r="W249" i="9" s="1"/>
  <c r="Y249" i="9" s="1"/>
  <c r="AA249" i="9" s="1"/>
  <c r="AC249" i="9" s="1"/>
  <c r="AE249" i="9" s="1"/>
  <c r="AG249" i="9" s="1"/>
  <c r="AI249" i="9" s="1"/>
  <c r="AK249" i="9" s="1"/>
  <c r="AM249" i="9" s="1"/>
  <c r="AN249" i="9" s="1"/>
  <c r="E250" i="9"/>
  <c r="G250" i="9" s="1"/>
  <c r="I250" i="9" s="1"/>
  <c r="K250" i="9" s="1"/>
  <c r="M250" i="9" s="1"/>
  <c r="O250" i="9" s="1"/>
  <c r="Q250" i="9" s="1"/>
  <c r="S250" i="9" s="1"/>
  <c r="U250" i="9" s="1"/>
  <c r="W250" i="9" s="1"/>
  <c r="Y250" i="9" s="1"/>
  <c r="AA250" i="9" s="1"/>
  <c r="AC250" i="9" s="1"/>
  <c r="AE250" i="9" s="1"/>
  <c r="AG250" i="9" s="1"/>
  <c r="AI250" i="9" s="1"/>
  <c r="AK250" i="9" s="1"/>
  <c r="AM250" i="9" s="1"/>
  <c r="AN250" i="9" s="1"/>
  <c r="E251" i="9"/>
  <c r="G251" i="9" s="1"/>
  <c r="I251" i="9" s="1"/>
  <c r="K251" i="9" s="1"/>
  <c r="M251" i="9" s="1"/>
  <c r="O251" i="9" s="1"/>
  <c r="Q251" i="9" s="1"/>
  <c r="S251" i="9" s="1"/>
  <c r="U251" i="9" s="1"/>
  <c r="W251" i="9" s="1"/>
  <c r="Y251" i="9" s="1"/>
  <c r="AA251" i="9" s="1"/>
  <c r="AC251" i="9" s="1"/>
  <c r="AE251" i="9" s="1"/>
  <c r="AG251" i="9" s="1"/>
  <c r="AI251" i="9" s="1"/>
  <c r="AK251" i="9" s="1"/>
  <c r="AM251" i="9" s="1"/>
  <c r="AN251" i="9" s="1"/>
  <c r="E252" i="9"/>
  <c r="G252" i="9" s="1"/>
  <c r="I252" i="9" s="1"/>
  <c r="K252" i="9" s="1"/>
  <c r="M252" i="9" s="1"/>
  <c r="O252" i="9" s="1"/>
  <c r="Q252" i="9" s="1"/>
  <c r="S252" i="9" s="1"/>
  <c r="U252" i="9" s="1"/>
  <c r="W252" i="9" s="1"/>
  <c r="Y252" i="9" s="1"/>
  <c r="AA252" i="9" s="1"/>
  <c r="AC252" i="9" s="1"/>
  <c r="AE252" i="9" s="1"/>
  <c r="AG252" i="9" s="1"/>
  <c r="AI252" i="9" s="1"/>
  <c r="AK252" i="9" s="1"/>
  <c r="E253" i="9"/>
  <c r="G253" i="9" s="1"/>
  <c r="I253" i="9" s="1"/>
  <c r="K253" i="9" s="1"/>
  <c r="M253" i="9" s="1"/>
  <c r="O253" i="9" s="1"/>
  <c r="Q253" i="9" s="1"/>
  <c r="S253" i="9" s="1"/>
  <c r="U253" i="9" s="1"/>
  <c r="W253" i="9" s="1"/>
  <c r="Y253" i="9" s="1"/>
  <c r="AA253" i="9" s="1"/>
  <c r="AC253" i="9" s="1"/>
  <c r="AE253" i="9" s="1"/>
  <c r="AG253" i="9" s="1"/>
  <c r="AI253" i="9" s="1"/>
  <c r="AK253" i="9" s="1"/>
  <c r="E254" i="9"/>
  <c r="G254" i="9" s="1"/>
  <c r="I254" i="9" s="1"/>
  <c r="K254" i="9" s="1"/>
  <c r="M254" i="9" s="1"/>
  <c r="O254" i="9" s="1"/>
  <c r="Q254" i="9" s="1"/>
  <c r="S254" i="9" s="1"/>
  <c r="U254" i="9" s="1"/>
  <c r="W254" i="9" s="1"/>
  <c r="Y254" i="9" s="1"/>
  <c r="AA254" i="9" s="1"/>
  <c r="AC254" i="9" s="1"/>
  <c r="AE254" i="9" s="1"/>
  <c r="AG254" i="9" s="1"/>
  <c r="AI254" i="9" s="1"/>
  <c r="AK254" i="9" s="1"/>
  <c r="E255" i="9"/>
  <c r="G255" i="9" s="1"/>
  <c r="I255" i="9" s="1"/>
  <c r="K255" i="9" s="1"/>
  <c r="M255" i="9" s="1"/>
  <c r="O255" i="9" s="1"/>
  <c r="Q255" i="9" s="1"/>
  <c r="S255" i="9" s="1"/>
  <c r="U255" i="9" s="1"/>
  <c r="W255" i="9" s="1"/>
  <c r="Y255" i="9" s="1"/>
  <c r="AA255" i="9" s="1"/>
  <c r="AC255" i="9" s="1"/>
  <c r="AE255" i="9" s="1"/>
  <c r="AG255" i="9" s="1"/>
  <c r="AI255" i="9" s="1"/>
  <c r="AK255" i="9" s="1"/>
  <c r="AM255" i="9" s="1"/>
  <c r="E256" i="9"/>
  <c r="G256" i="9" s="1"/>
  <c r="I256" i="9" s="1"/>
  <c r="K256" i="9" s="1"/>
  <c r="M256" i="9" s="1"/>
  <c r="O256" i="9" s="1"/>
  <c r="Q256" i="9" s="1"/>
  <c r="S256" i="9" s="1"/>
  <c r="U256" i="9" s="1"/>
  <c r="W256" i="9" s="1"/>
  <c r="Y256" i="9" s="1"/>
  <c r="AA256" i="9" s="1"/>
  <c r="AC256" i="9" s="1"/>
  <c r="AE256" i="9" s="1"/>
  <c r="AG256" i="9" s="1"/>
  <c r="AI256" i="9" s="1"/>
  <c r="AK256" i="9" s="1"/>
  <c r="AM256" i="9" s="1"/>
  <c r="AN256" i="9" s="1"/>
  <c r="E257" i="9"/>
  <c r="G257" i="9" s="1"/>
  <c r="I257" i="9" s="1"/>
  <c r="K257" i="9" s="1"/>
  <c r="M257" i="9" s="1"/>
  <c r="O257" i="9" s="1"/>
  <c r="Q257" i="9" s="1"/>
  <c r="S257" i="9" s="1"/>
  <c r="U257" i="9" s="1"/>
  <c r="W257" i="9" s="1"/>
  <c r="Y257" i="9" s="1"/>
  <c r="AA257" i="9" s="1"/>
  <c r="AC257" i="9" s="1"/>
  <c r="AE257" i="9" s="1"/>
  <c r="AG257" i="9" s="1"/>
  <c r="AI257" i="9" s="1"/>
  <c r="AK257" i="9" s="1"/>
  <c r="AM257" i="9" s="1"/>
  <c r="AN257" i="9" s="1"/>
  <c r="E258" i="9"/>
  <c r="G258" i="9" s="1"/>
  <c r="I258" i="9" s="1"/>
  <c r="K258" i="9" s="1"/>
  <c r="M258" i="9" s="1"/>
  <c r="O258" i="9" s="1"/>
  <c r="Q258" i="9" s="1"/>
  <c r="S258" i="9" s="1"/>
  <c r="U258" i="9" s="1"/>
  <c r="W258" i="9" s="1"/>
  <c r="Y258" i="9" s="1"/>
  <c r="AA258" i="9" s="1"/>
  <c r="AC258" i="9" s="1"/>
  <c r="AE258" i="9" s="1"/>
  <c r="AG258" i="9" s="1"/>
  <c r="AI258" i="9" s="1"/>
  <c r="AK258" i="9" s="1"/>
  <c r="AM258" i="9" s="1"/>
  <c r="AN258" i="9" s="1"/>
  <c r="E259" i="9"/>
  <c r="G259" i="9" s="1"/>
  <c r="I259" i="9" s="1"/>
  <c r="K259" i="9" s="1"/>
  <c r="M259" i="9" s="1"/>
  <c r="O259" i="9" s="1"/>
  <c r="Q259" i="9" s="1"/>
  <c r="S259" i="9" s="1"/>
  <c r="U259" i="9" s="1"/>
  <c r="W259" i="9" s="1"/>
  <c r="Y259" i="9" s="1"/>
  <c r="AA259" i="9" s="1"/>
  <c r="AC259" i="9" s="1"/>
  <c r="AE259" i="9" s="1"/>
  <c r="AG259" i="9" s="1"/>
  <c r="AI259" i="9" s="1"/>
  <c r="AK259" i="9" s="1"/>
  <c r="E260" i="9"/>
  <c r="G260" i="9" s="1"/>
  <c r="I260" i="9" s="1"/>
  <c r="K260" i="9" s="1"/>
  <c r="M260" i="9" s="1"/>
  <c r="O260" i="9" s="1"/>
  <c r="Q260" i="9" s="1"/>
  <c r="S260" i="9" s="1"/>
  <c r="U260" i="9" s="1"/>
  <c r="W260" i="9" s="1"/>
  <c r="Y260" i="9" s="1"/>
  <c r="AA260" i="9" s="1"/>
  <c r="AC260" i="9" s="1"/>
  <c r="AE260" i="9" s="1"/>
  <c r="AG260" i="9" s="1"/>
  <c r="AI260" i="9" s="1"/>
  <c r="AK260" i="9" s="1"/>
  <c r="E261" i="9"/>
  <c r="G261" i="9" s="1"/>
  <c r="I261" i="9" s="1"/>
  <c r="K261" i="9" s="1"/>
  <c r="M261" i="9" s="1"/>
  <c r="O261" i="9" s="1"/>
  <c r="Q261" i="9" s="1"/>
  <c r="S261" i="9" s="1"/>
  <c r="U261" i="9" s="1"/>
  <c r="W261" i="9" s="1"/>
  <c r="Y261" i="9" s="1"/>
  <c r="AA261" i="9" s="1"/>
  <c r="AC261" i="9" s="1"/>
  <c r="AE261" i="9" s="1"/>
  <c r="AG261" i="9" s="1"/>
  <c r="AI261" i="9" s="1"/>
  <c r="AK261" i="9" s="1"/>
  <c r="E262" i="9"/>
  <c r="G262" i="9" s="1"/>
  <c r="I262" i="9" s="1"/>
  <c r="K262" i="9" s="1"/>
  <c r="M262" i="9" s="1"/>
  <c r="O262" i="9" s="1"/>
  <c r="Q262" i="9" s="1"/>
  <c r="S262" i="9" s="1"/>
  <c r="U262" i="9" s="1"/>
  <c r="W262" i="9" s="1"/>
  <c r="Y262" i="9" s="1"/>
  <c r="AA262" i="9" s="1"/>
  <c r="AC262" i="9" s="1"/>
  <c r="AE262" i="9" s="1"/>
  <c r="AG262" i="9" s="1"/>
  <c r="AI262" i="9" s="1"/>
  <c r="AK262" i="9" s="1"/>
  <c r="E263" i="9"/>
  <c r="G263" i="9" s="1"/>
  <c r="I263" i="9" s="1"/>
  <c r="K263" i="9" s="1"/>
  <c r="M263" i="9" s="1"/>
  <c r="O263" i="9" s="1"/>
  <c r="Q263" i="9" s="1"/>
  <c r="S263" i="9" s="1"/>
  <c r="U263" i="9" s="1"/>
  <c r="W263" i="9" s="1"/>
  <c r="Y263" i="9" s="1"/>
  <c r="AA263" i="9" s="1"/>
  <c r="AC263" i="9" s="1"/>
  <c r="AE263" i="9" s="1"/>
  <c r="AG263" i="9" s="1"/>
  <c r="AI263" i="9" s="1"/>
  <c r="AK263" i="9" s="1"/>
  <c r="E264" i="9"/>
  <c r="G264" i="9" s="1"/>
  <c r="I264" i="9" s="1"/>
  <c r="K264" i="9" s="1"/>
  <c r="M264" i="9" s="1"/>
  <c r="O264" i="9" s="1"/>
  <c r="Q264" i="9" s="1"/>
  <c r="S264" i="9" s="1"/>
  <c r="U264" i="9" s="1"/>
  <c r="W264" i="9" s="1"/>
  <c r="Y264" i="9" s="1"/>
  <c r="AA264" i="9" s="1"/>
  <c r="AC264" i="9" s="1"/>
  <c r="AE264" i="9" s="1"/>
  <c r="AG264" i="9" s="1"/>
  <c r="AI264" i="9" s="1"/>
  <c r="AK264" i="9" s="1"/>
  <c r="E265" i="9"/>
  <c r="G265" i="9" s="1"/>
  <c r="I265" i="9" s="1"/>
  <c r="K265" i="9" s="1"/>
  <c r="M265" i="9" s="1"/>
  <c r="O265" i="9" s="1"/>
  <c r="Q265" i="9" s="1"/>
  <c r="S265" i="9" s="1"/>
  <c r="U265" i="9" s="1"/>
  <c r="W265" i="9" s="1"/>
  <c r="Y265" i="9" s="1"/>
  <c r="AA265" i="9" s="1"/>
  <c r="AC265" i="9" s="1"/>
  <c r="AE265" i="9" s="1"/>
  <c r="AG265" i="9" s="1"/>
  <c r="AI265" i="9" s="1"/>
  <c r="AK265" i="9" s="1"/>
  <c r="E266" i="9"/>
  <c r="G266" i="9" s="1"/>
  <c r="I266" i="9" s="1"/>
  <c r="K266" i="9" s="1"/>
  <c r="M266" i="9" s="1"/>
  <c r="O266" i="9" s="1"/>
  <c r="Q266" i="9" s="1"/>
  <c r="S266" i="9" s="1"/>
  <c r="U266" i="9" s="1"/>
  <c r="W266" i="9" s="1"/>
  <c r="Y266" i="9" s="1"/>
  <c r="AA266" i="9" s="1"/>
  <c r="AC266" i="9" s="1"/>
  <c r="AE266" i="9" s="1"/>
  <c r="AG266" i="9" s="1"/>
  <c r="AI266" i="9" s="1"/>
  <c r="AK266" i="9" s="1"/>
  <c r="AM266" i="9" s="1"/>
  <c r="E267" i="9"/>
  <c r="G267" i="9" s="1"/>
  <c r="I267" i="9" s="1"/>
  <c r="K267" i="9" s="1"/>
  <c r="M267" i="9" s="1"/>
  <c r="O267" i="9" s="1"/>
  <c r="Q267" i="9" s="1"/>
  <c r="S267" i="9" s="1"/>
  <c r="U267" i="9" s="1"/>
  <c r="W267" i="9" s="1"/>
  <c r="Y267" i="9" s="1"/>
  <c r="AA267" i="9" s="1"/>
  <c r="AC267" i="9" s="1"/>
  <c r="AE267" i="9" s="1"/>
  <c r="AG267" i="9" s="1"/>
  <c r="AI267" i="9" s="1"/>
  <c r="AK267" i="9" s="1"/>
  <c r="AM267" i="9" s="1"/>
  <c r="AN267" i="9" s="1"/>
  <c r="E268" i="9"/>
  <c r="G268" i="9" s="1"/>
  <c r="I268" i="9" s="1"/>
  <c r="K268" i="9" s="1"/>
  <c r="M268" i="9" s="1"/>
  <c r="O268" i="9" s="1"/>
  <c r="Q268" i="9" s="1"/>
  <c r="S268" i="9" s="1"/>
  <c r="U268" i="9" s="1"/>
  <c r="W268" i="9" s="1"/>
  <c r="Y268" i="9" s="1"/>
  <c r="AA268" i="9" s="1"/>
  <c r="AC268" i="9" s="1"/>
  <c r="AE268" i="9" s="1"/>
  <c r="AG268" i="9" s="1"/>
  <c r="AI268" i="9" s="1"/>
  <c r="AK268" i="9" s="1"/>
  <c r="AM268" i="9" s="1"/>
  <c r="AN268" i="9" s="1"/>
  <c r="E269" i="9"/>
  <c r="G269" i="9" s="1"/>
  <c r="I269" i="9" s="1"/>
  <c r="K269" i="9" s="1"/>
  <c r="M269" i="9" s="1"/>
  <c r="O269" i="9" s="1"/>
  <c r="Q269" i="9" s="1"/>
  <c r="S269" i="9" s="1"/>
  <c r="U269" i="9" s="1"/>
  <c r="W269" i="9" s="1"/>
  <c r="Y269" i="9" s="1"/>
  <c r="AA269" i="9" s="1"/>
  <c r="AC269" i="9" s="1"/>
  <c r="AE269" i="9" s="1"/>
  <c r="AG269" i="9" s="1"/>
  <c r="AI269" i="9" s="1"/>
  <c r="AK269" i="9" s="1"/>
  <c r="AM269" i="9" s="1"/>
  <c r="AN269" i="9" s="1"/>
  <c r="E270" i="9"/>
  <c r="G270" i="9" s="1"/>
  <c r="I270" i="9" s="1"/>
  <c r="K270" i="9" s="1"/>
  <c r="M270" i="9" s="1"/>
  <c r="O270" i="9" s="1"/>
  <c r="Q270" i="9" s="1"/>
  <c r="S270" i="9" s="1"/>
  <c r="U270" i="9" s="1"/>
  <c r="W270" i="9" s="1"/>
  <c r="Y270" i="9" s="1"/>
  <c r="AA270" i="9" s="1"/>
  <c r="AC270" i="9" s="1"/>
  <c r="AE270" i="9" s="1"/>
  <c r="AG270" i="9" s="1"/>
  <c r="AI270" i="9" s="1"/>
  <c r="AK270" i="9" s="1"/>
  <c r="AM270" i="9" s="1"/>
  <c r="AN270" i="9" s="1"/>
  <c r="E271" i="9"/>
  <c r="G271" i="9" s="1"/>
  <c r="I271" i="9" s="1"/>
  <c r="K271" i="9" s="1"/>
  <c r="M271" i="9" s="1"/>
  <c r="O271" i="9" s="1"/>
  <c r="Q271" i="9" s="1"/>
  <c r="S271" i="9" s="1"/>
  <c r="U271" i="9" s="1"/>
  <c r="W271" i="9" s="1"/>
  <c r="Y271" i="9" s="1"/>
  <c r="AA271" i="9" s="1"/>
  <c r="AC271" i="9" s="1"/>
  <c r="AE271" i="9" s="1"/>
  <c r="AG271" i="9" s="1"/>
  <c r="AI271" i="9" s="1"/>
  <c r="AK271" i="9" s="1"/>
  <c r="AM271" i="9" s="1"/>
  <c r="AN271" i="9" s="1"/>
  <c r="E272" i="9"/>
  <c r="G272" i="9" s="1"/>
  <c r="I272" i="9" s="1"/>
  <c r="K272" i="9" s="1"/>
  <c r="M272" i="9" s="1"/>
  <c r="O272" i="9" s="1"/>
  <c r="Q272" i="9" s="1"/>
  <c r="S272" i="9" s="1"/>
  <c r="U272" i="9" s="1"/>
  <c r="W272" i="9" s="1"/>
  <c r="Y272" i="9" s="1"/>
  <c r="AA272" i="9" s="1"/>
  <c r="AC272" i="9" s="1"/>
  <c r="AE272" i="9" s="1"/>
  <c r="AG272" i="9" s="1"/>
  <c r="AI272" i="9" s="1"/>
  <c r="AK272" i="9" s="1"/>
  <c r="AM272" i="9" s="1"/>
  <c r="AN272" i="9" s="1"/>
  <c r="E273" i="9"/>
  <c r="G273" i="9" s="1"/>
  <c r="I273" i="9" s="1"/>
  <c r="K273" i="9" s="1"/>
  <c r="M273" i="9" s="1"/>
  <c r="O273" i="9" s="1"/>
  <c r="Q273" i="9" s="1"/>
  <c r="S273" i="9" s="1"/>
  <c r="U273" i="9" s="1"/>
  <c r="W273" i="9" s="1"/>
  <c r="Y273" i="9" s="1"/>
  <c r="AA273" i="9" s="1"/>
  <c r="AC273" i="9" s="1"/>
  <c r="AE273" i="9" s="1"/>
  <c r="AG273" i="9" s="1"/>
  <c r="AI273" i="9" s="1"/>
  <c r="AK273" i="9" s="1"/>
  <c r="AM273" i="9" s="1"/>
  <c r="AN273" i="9" s="1"/>
  <c r="E274" i="9"/>
  <c r="G274" i="9" s="1"/>
  <c r="I274" i="9" s="1"/>
  <c r="K274" i="9" s="1"/>
  <c r="M274" i="9" s="1"/>
  <c r="O274" i="9" s="1"/>
  <c r="Q274" i="9" s="1"/>
  <c r="S274" i="9" s="1"/>
  <c r="U274" i="9" s="1"/>
  <c r="W274" i="9" s="1"/>
  <c r="Y274" i="9" s="1"/>
  <c r="AA274" i="9" s="1"/>
  <c r="AC274" i="9" s="1"/>
  <c r="AE274" i="9" s="1"/>
  <c r="AG274" i="9" s="1"/>
  <c r="AI274" i="9" s="1"/>
  <c r="AK274" i="9" s="1"/>
  <c r="AM274" i="9" s="1"/>
  <c r="AN274" i="9" s="1"/>
  <c r="E275" i="9"/>
  <c r="G275" i="9" s="1"/>
  <c r="I275" i="9" s="1"/>
  <c r="K275" i="9" s="1"/>
  <c r="M275" i="9" s="1"/>
  <c r="O275" i="9" s="1"/>
  <c r="Q275" i="9" s="1"/>
  <c r="S275" i="9" s="1"/>
  <c r="U275" i="9" s="1"/>
  <c r="W275" i="9" s="1"/>
  <c r="Y275" i="9" s="1"/>
  <c r="AA275" i="9" s="1"/>
  <c r="AC275" i="9" s="1"/>
  <c r="AE275" i="9" s="1"/>
  <c r="AG275" i="9" s="1"/>
  <c r="AI275" i="9" s="1"/>
  <c r="AK275" i="9" s="1"/>
  <c r="AM275" i="9" s="1"/>
  <c r="AN275" i="9" s="1"/>
  <c r="E276" i="9"/>
  <c r="G276" i="9" s="1"/>
  <c r="I276" i="9" s="1"/>
  <c r="K276" i="9" s="1"/>
  <c r="M276" i="9" s="1"/>
  <c r="O276" i="9" s="1"/>
  <c r="Q276" i="9" s="1"/>
  <c r="S276" i="9" s="1"/>
  <c r="U276" i="9" s="1"/>
  <c r="W276" i="9" s="1"/>
  <c r="Y276" i="9" s="1"/>
  <c r="AA276" i="9" s="1"/>
  <c r="AC276" i="9" s="1"/>
  <c r="AE276" i="9" s="1"/>
  <c r="AG276" i="9" s="1"/>
  <c r="AI276" i="9" s="1"/>
  <c r="AK276" i="9" s="1"/>
  <c r="E277" i="9"/>
  <c r="G277" i="9" s="1"/>
  <c r="I277" i="9" s="1"/>
  <c r="K277" i="9" s="1"/>
  <c r="M277" i="9" s="1"/>
  <c r="O277" i="9" s="1"/>
  <c r="Q277" i="9" s="1"/>
  <c r="S277" i="9" s="1"/>
  <c r="U277" i="9" s="1"/>
  <c r="W277" i="9" s="1"/>
  <c r="Y277" i="9" s="1"/>
  <c r="AA277" i="9" s="1"/>
  <c r="AC277" i="9" s="1"/>
  <c r="AE277" i="9" s="1"/>
  <c r="AG277" i="9" s="1"/>
  <c r="AI277" i="9" s="1"/>
  <c r="AK277" i="9" s="1"/>
  <c r="E278" i="9"/>
  <c r="G278" i="9" s="1"/>
  <c r="I278" i="9" s="1"/>
  <c r="K278" i="9" s="1"/>
  <c r="M278" i="9" s="1"/>
  <c r="O278" i="9" s="1"/>
  <c r="Q278" i="9" s="1"/>
  <c r="S278" i="9" s="1"/>
  <c r="U278" i="9" s="1"/>
  <c r="W278" i="9" s="1"/>
  <c r="Y278" i="9" s="1"/>
  <c r="AA278" i="9" s="1"/>
  <c r="AC278" i="9" s="1"/>
  <c r="AE278" i="9" s="1"/>
  <c r="AG278" i="9" s="1"/>
  <c r="AI278" i="9" s="1"/>
  <c r="AK278" i="9" s="1"/>
  <c r="E279" i="9"/>
  <c r="G279" i="9" s="1"/>
  <c r="I279" i="9" s="1"/>
  <c r="K279" i="9" s="1"/>
  <c r="M279" i="9" s="1"/>
  <c r="O279" i="9" s="1"/>
  <c r="Q279" i="9" s="1"/>
  <c r="S279" i="9" s="1"/>
  <c r="U279" i="9" s="1"/>
  <c r="W279" i="9" s="1"/>
  <c r="Y279" i="9" s="1"/>
  <c r="AA279" i="9" s="1"/>
  <c r="AC279" i="9" s="1"/>
  <c r="AE279" i="9" s="1"/>
  <c r="AG279" i="9" s="1"/>
  <c r="AI279" i="9" s="1"/>
  <c r="AK279" i="9" s="1"/>
  <c r="AM279" i="9" s="1"/>
  <c r="AN279" i="9" s="1"/>
  <c r="E280" i="9"/>
  <c r="G280" i="9" s="1"/>
  <c r="I280" i="9" s="1"/>
  <c r="K280" i="9" s="1"/>
  <c r="M280" i="9" s="1"/>
  <c r="O280" i="9" s="1"/>
  <c r="Q280" i="9" s="1"/>
  <c r="S280" i="9" s="1"/>
  <c r="U280" i="9" s="1"/>
  <c r="W280" i="9" s="1"/>
  <c r="Y280" i="9" s="1"/>
  <c r="AA280" i="9" s="1"/>
  <c r="AC280" i="9" s="1"/>
  <c r="AE280" i="9" s="1"/>
  <c r="AG280" i="9" s="1"/>
  <c r="AI280" i="9" s="1"/>
  <c r="AK280" i="9" s="1"/>
  <c r="AM280" i="9" s="1"/>
  <c r="AN280" i="9" s="1"/>
  <c r="E281" i="9"/>
  <c r="G281" i="9" s="1"/>
  <c r="I281" i="9" s="1"/>
  <c r="K281" i="9" s="1"/>
  <c r="M281" i="9" s="1"/>
  <c r="O281" i="9" s="1"/>
  <c r="Q281" i="9" s="1"/>
  <c r="S281" i="9" s="1"/>
  <c r="U281" i="9" s="1"/>
  <c r="W281" i="9" s="1"/>
  <c r="Y281" i="9" s="1"/>
  <c r="AA281" i="9" s="1"/>
  <c r="AC281" i="9" s="1"/>
  <c r="AE281" i="9" s="1"/>
  <c r="AG281" i="9" s="1"/>
  <c r="AI281" i="9" s="1"/>
  <c r="AK281" i="9" s="1"/>
  <c r="AM281" i="9" s="1"/>
  <c r="AN281" i="9" s="1"/>
  <c r="E282" i="9"/>
  <c r="G282" i="9" s="1"/>
  <c r="I282" i="9" s="1"/>
  <c r="K282" i="9" s="1"/>
  <c r="M282" i="9" s="1"/>
  <c r="O282" i="9" s="1"/>
  <c r="Q282" i="9" s="1"/>
  <c r="S282" i="9" s="1"/>
  <c r="U282" i="9" s="1"/>
  <c r="W282" i="9" s="1"/>
  <c r="Y282" i="9" s="1"/>
  <c r="AA282" i="9" s="1"/>
  <c r="AC282" i="9" s="1"/>
  <c r="AE282" i="9" s="1"/>
  <c r="AG282" i="9" s="1"/>
  <c r="AI282" i="9" s="1"/>
  <c r="AK282" i="9" s="1"/>
  <c r="AM282" i="9" s="1"/>
  <c r="AN282" i="9" s="1"/>
  <c r="E283" i="9"/>
  <c r="G283" i="9" s="1"/>
  <c r="I283" i="9" s="1"/>
  <c r="K283" i="9" s="1"/>
  <c r="M283" i="9" s="1"/>
  <c r="O283" i="9" s="1"/>
  <c r="Q283" i="9" s="1"/>
  <c r="S283" i="9" s="1"/>
  <c r="U283" i="9" s="1"/>
  <c r="W283" i="9" s="1"/>
  <c r="Y283" i="9" s="1"/>
  <c r="AA283" i="9" s="1"/>
  <c r="AC283" i="9" s="1"/>
  <c r="AE283" i="9" s="1"/>
  <c r="AG283" i="9" s="1"/>
  <c r="AI283" i="9" s="1"/>
  <c r="AK283" i="9" s="1"/>
  <c r="AM283" i="9" s="1"/>
  <c r="AN283" i="9" s="1"/>
  <c r="E284" i="9"/>
  <c r="G284" i="9" s="1"/>
  <c r="I284" i="9" s="1"/>
  <c r="K284" i="9" s="1"/>
  <c r="M284" i="9" s="1"/>
  <c r="O284" i="9" s="1"/>
  <c r="Q284" i="9" s="1"/>
  <c r="S284" i="9" s="1"/>
  <c r="U284" i="9" s="1"/>
  <c r="W284" i="9" s="1"/>
  <c r="Y284" i="9" s="1"/>
  <c r="AA284" i="9" s="1"/>
  <c r="AC284" i="9" s="1"/>
  <c r="AE284" i="9" s="1"/>
  <c r="AG284" i="9" s="1"/>
  <c r="AI284" i="9" s="1"/>
  <c r="AK284" i="9" s="1"/>
  <c r="AM284" i="9" s="1"/>
  <c r="AN284" i="9" s="1"/>
  <c r="E285" i="9"/>
  <c r="G285" i="9" s="1"/>
  <c r="I285" i="9" s="1"/>
  <c r="K285" i="9" s="1"/>
  <c r="M285" i="9" s="1"/>
  <c r="O285" i="9" s="1"/>
  <c r="Q285" i="9" s="1"/>
  <c r="S285" i="9" s="1"/>
  <c r="U285" i="9" s="1"/>
  <c r="W285" i="9" s="1"/>
  <c r="Y285" i="9" s="1"/>
  <c r="AA285" i="9" s="1"/>
  <c r="AC285" i="9" s="1"/>
  <c r="AE285" i="9" s="1"/>
  <c r="AG285" i="9" s="1"/>
  <c r="AI285" i="9" s="1"/>
  <c r="AK285" i="9" s="1"/>
  <c r="E286" i="9"/>
  <c r="G286" i="9" s="1"/>
  <c r="I286" i="9" s="1"/>
  <c r="K286" i="9" s="1"/>
  <c r="M286" i="9" s="1"/>
  <c r="O286" i="9" s="1"/>
  <c r="Q286" i="9" s="1"/>
  <c r="S286" i="9" s="1"/>
  <c r="U286" i="9" s="1"/>
  <c r="W286" i="9" s="1"/>
  <c r="Y286" i="9" s="1"/>
  <c r="AA286" i="9" s="1"/>
  <c r="AC286" i="9" s="1"/>
  <c r="AE286" i="9" s="1"/>
  <c r="AG286" i="9" s="1"/>
  <c r="AI286" i="9" s="1"/>
  <c r="AK286" i="9" s="1"/>
  <c r="E287" i="9"/>
  <c r="G287" i="9" s="1"/>
  <c r="I287" i="9" s="1"/>
  <c r="K287" i="9" s="1"/>
  <c r="M287" i="9" s="1"/>
  <c r="O287" i="9" s="1"/>
  <c r="Q287" i="9" s="1"/>
  <c r="S287" i="9" s="1"/>
  <c r="U287" i="9" s="1"/>
  <c r="W287" i="9" s="1"/>
  <c r="Y287" i="9" s="1"/>
  <c r="AA287" i="9" s="1"/>
  <c r="AC287" i="9" s="1"/>
  <c r="AE287" i="9" s="1"/>
  <c r="AG287" i="9" s="1"/>
  <c r="AI287" i="9" s="1"/>
  <c r="AK287" i="9" s="1"/>
  <c r="E288" i="9"/>
  <c r="G288" i="9" s="1"/>
  <c r="I288" i="9" s="1"/>
  <c r="K288" i="9" s="1"/>
  <c r="M288" i="9" s="1"/>
  <c r="O288" i="9" s="1"/>
  <c r="Q288" i="9" s="1"/>
  <c r="S288" i="9" s="1"/>
  <c r="U288" i="9" s="1"/>
  <c r="W288" i="9" s="1"/>
  <c r="Y288" i="9" s="1"/>
  <c r="AA288" i="9" s="1"/>
  <c r="AC288" i="9" s="1"/>
  <c r="AE288" i="9" s="1"/>
  <c r="AG288" i="9" s="1"/>
  <c r="AI288" i="9" s="1"/>
  <c r="AK288" i="9" s="1"/>
  <c r="E289" i="9"/>
  <c r="G289" i="9" s="1"/>
  <c r="I289" i="9" s="1"/>
  <c r="K289" i="9" s="1"/>
  <c r="M289" i="9" s="1"/>
  <c r="O289" i="9" s="1"/>
  <c r="Q289" i="9" s="1"/>
  <c r="S289" i="9" s="1"/>
  <c r="U289" i="9" s="1"/>
  <c r="W289" i="9" s="1"/>
  <c r="Y289" i="9" s="1"/>
  <c r="AA289" i="9" s="1"/>
  <c r="AC289" i="9" s="1"/>
  <c r="AE289" i="9" s="1"/>
  <c r="AG289" i="9" s="1"/>
  <c r="AI289" i="9" s="1"/>
  <c r="AK289" i="9" s="1"/>
  <c r="E290" i="9"/>
  <c r="G290" i="9" s="1"/>
  <c r="I290" i="9" s="1"/>
  <c r="K290" i="9" s="1"/>
  <c r="M290" i="9" s="1"/>
  <c r="O290" i="9" s="1"/>
  <c r="Q290" i="9" s="1"/>
  <c r="S290" i="9" s="1"/>
  <c r="U290" i="9" s="1"/>
  <c r="W290" i="9" s="1"/>
  <c r="Y290" i="9" s="1"/>
  <c r="AA290" i="9" s="1"/>
  <c r="AC290" i="9" s="1"/>
  <c r="AE290" i="9" s="1"/>
  <c r="AG290" i="9" s="1"/>
  <c r="AI290" i="9" s="1"/>
  <c r="AK290" i="9" s="1"/>
  <c r="AM290" i="9" s="1"/>
  <c r="AN290" i="9" s="1"/>
  <c r="E291" i="9"/>
  <c r="G291" i="9" s="1"/>
  <c r="I291" i="9" s="1"/>
  <c r="K291" i="9" s="1"/>
  <c r="M291" i="9" s="1"/>
  <c r="O291" i="9" s="1"/>
  <c r="Q291" i="9" s="1"/>
  <c r="S291" i="9" s="1"/>
  <c r="U291" i="9" s="1"/>
  <c r="W291" i="9" s="1"/>
  <c r="Y291" i="9" s="1"/>
  <c r="AA291" i="9" s="1"/>
  <c r="AC291" i="9" s="1"/>
  <c r="AE291" i="9" s="1"/>
  <c r="AG291" i="9" s="1"/>
  <c r="AI291" i="9" s="1"/>
  <c r="AK291" i="9" s="1"/>
  <c r="AM291" i="9" s="1"/>
  <c r="AN291" i="9" s="1"/>
  <c r="E292" i="9"/>
  <c r="G292" i="9" s="1"/>
  <c r="I292" i="9" s="1"/>
  <c r="K292" i="9" s="1"/>
  <c r="M292" i="9" s="1"/>
  <c r="O292" i="9" s="1"/>
  <c r="Q292" i="9" s="1"/>
  <c r="S292" i="9" s="1"/>
  <c r="U292" i="9" s="1"/>
  <c r="W292" i="9" s="1"/>
  <c r="Y292" i="9" s="1"/>
  <c r="AA292" i="9" s="1"/>
  <c r="AC292" i="9" s="1"/>
  <c r="AE292" i="9" s="1"/>
  <c r="AG292" i="9" s="1"/>
  <c r="AI292" i="9" s="1"/>
  <c r="AK292" i="9" s="1"/>
  <c r="AM292" i="9" s="1"/>
  <c r="AN292" i="9" s="1"/>
  <c r="E293" i="9"/>
  <c r="G293" i="9" s="1"/>
  <c r="I293" i="9" s="1"/>
  <c r="K293" i="9" s="1"/>
  <c r="M293" i="9" s="1"/>
  <c r="O293" i="9" s="1"/>
  <c r="Q293" i="9" s="1"/>
  <c r="S293" i="9" s="1"/>
  <c r="U293" i="9" s="1"/>
  <c r="W293" i="9" s="1"/>
  <c r="Y293" i="9" s="1"/>
  <c r="AA293" i="9" s="1"/>
  <c r="AC293" i="9" s="1"/>
  <c r="AE293" i="9" s="1"/>
  <c r="AG293" i="9" s="1"/>
  <c r="AI293" i="9" s="1"/>
  <c r="AK293" i="9" s="1"/>
  <c r="AM293" i="9" s="1"/>
  <c r="AN293" i="9" s="1"/>
  <c r="E294" i="9"/>
  <c r="G294" i="9" s="1"/>
  <c r="I294" i="9" s="1"/>
  <c r="K294" i="9" s="1"/>
  <c r="M294" i="9" s="1"/>
  <c r="O294" i="9" s="1"/>
  <c r="Q294" i="9" s="1"/>
  <c r="S294" i="9" s="1"/>
  <c r="U294" i="9" s="1"/>
  <c r="W294" i="9" s="1"/>
  <c r="Y294" i="9" s="1"/>
  <c r="AA294" i="9" s="1"/>
  <c r="AC294" i="9" s="1"/>
  <c r="AE294" i="9" s="1"/>
  <c r="AG294" i="9" s="1"/>
  <c r="AI294" i="9" s="1"/>
  <c r="AK294" i="9" s="1"/>
  <c r="AM294" i="9" s="1"/>
  <c r="AN294" i="9" s="1"/>
  <c r="E295" i="9"/>
  <c r="G295" i="9" s="1"/>
  <c r="I295" i="9" s="1"/>
  <c r="K295" i="9" s="1"/>
  <c r="M295" i="9" s="1"/>
  <c r="O295" i="9" s="1"/>
  <c r="Q295" i="9" s="1"/>
  <c r="S295" i="9" s="1"/>
  <c r="U295" i="9" s="1"/>
  <c r="W295" i="9" s="1"/>
  <c r="Y295" i="9" s="1"/>
  <c r="AA295" i="9" s="1"/>
  <c r="AC295" i="9" s="1"/>
  <c r="AE295" i="9" s="1"/>
  <c r="AG295" i="9" s="1"/>
  <c r="AI295" i="9" s="1"/>
  <c r="AK295" i="9" s="1"/>
  <c r="AM295" i="9" s="1"/>
  <c r="AN295" i="9" s="1"/>
  <c r="E296" i="9"/>
  <c r="G296" i="9" s="1"/>
  <c r="I296" i="9" s="1"/>
  <c r="K296" i="9" s="1"/>
  <c r="M296" i="9" s="1"/>
  <c r="O296" i="9" s="1"/>
  <c r="Q296" i="9" s="1"/>
  <c r="S296" i="9" s="1"/>
  <c r="U296" i="9" s="1"/>
  <c r="W296" i="9" s="1"/>
  <c r="Y296" i="9" s="1"/>
  <c r="AA296" i="9" s="1"/>
  <c r="AC296" i="9" s="1"/>
  <c r="AE296" i="9" s="1"/>
  <c r="AG296" i="9" s="1"/>
  <c r="AI296" i="9" s="1"/>
  <c r="AK296" i="9" s="1"/>
  <c r="AM296" i="9" s="1"/>
  <c r="AN296" i="9" s="1"/>
  <c r="E297" i="9"/>
  <c r="G297" i="9" s="1"/>
  <c r="I297" i="9" s="1"/>
  <c r="K297" i="9" s="1"/>
  <c r="M297" i="9" s="1"/>
  <c r="O297" i="9" s="1"/>
  <c r="Q297" i="9" s="1"/>
  <c r="S297" i="9" s="1"/>
  <c r="U297" i="9" s="1"/>
  <c r="W297" i="9" s="1"/>
  <c r="Y297" i="9" s="1"/>
  <c r="AA297" i="9" s="1"/>
  <c r="AC297" i="9" s="1"/>
  <c r="AE297" i="9" s="1"/>
  <c r="AG297" i="9" s="1"/>
  <c r="AI297" i="9" s="1"/>
  <c r="AK297" i="9" s="1"/>
  <c r="AM297" i="9" s="1"/>
  <c r="AN297" i="9" s="1"/>
  <c r="E298" i="9"/>
  <c r="G298" i="9" s="1"/>
  <c r="I298" i="9" s="1"/>
  <c r="K298" i="9" s="1"/>
  <c r="M298" i="9" s="1"/>
  <c r="O298" i="9" s="1"/>
  <c r="Q298" i="9" s="1"/>
  <c r="S298" i="9" s="1"/>
  <c r="U298" i="9" s="1"/>
  <c r="W298" i="9" s="1"/>
  <c r="Y298" i="9" s="1"/>
  <c r="AA298" i="9" s="1"/>
  <c r="AC298" i="9" s="1"/>
  <c r="AE298" i="9" s="1"/>
  <c r="AG298" i="9" s="1"/>
  <c r="AI298" i="9" s="1"/>
  <c r="AK298" i="9" s="1"/>
  <c r="AM298" i="9" s="1"/>
  <c r="AN298" i="9" s="1"/>
  <c r="E299" i="9"/>
  <c r="G299" i="9" s="1"/>
  <c r="I299" i="9" s="1"/>
  <c r="K299" i="9" s="1"/>
  <c r="M299" i="9" s="1"/>
  <c r="O299" i="9" s="1"/>
  <c r="Q299" i="9" s="1"/>
  <c r="S299" i="9" s="1"/>
  <c r="U299" i="9" s="1"/>
  <c r="W299" i="9" s="1"/>
  <c r="Y299" i="9" s="1"/>
  <c r="AA299" i="9" s="1"/>
  <c r="AC299" i="9" s="1"/>
  <c r="AE299" i="9" s="1"/>
  <c r="AG299" i="9" s="1"/>
  <c r="AI299" i="9" s="1"/>
  <c r="AK299" i="9" s="1"/>
  <c r="AM299" i="9" s="1"/>
  <c r="AN299" i="9" s="1"/>
  <c r="E300" i="9"/>
  <c r="G300" i="9" s="1"/>
  <c r="I300" i="9" s="1"/>
  <c r="K300" i="9" s="1"/>
  <c r="M300" i="9" s="1"/>
  <c r="O300" i="9" s="1"/>
  <c r="Q300" i="9" s="1"/>
  <c r="S300" i="9" s="1"/>
  <c r="U300" i="9" s="1"/>
  <c r="W300" i="9" s="1"/>
  <c r="Y300" i="9" s="1"/>
  <c r="AA300" i="9" s="1"/>
  <c r="AC300" i="9" s="1"/>
  <c r="AE300" i="9" s="1"/>
  <c r="AG300" i="9" s="1"/>
  <c r="AI300" i="9" s="1"/>
  <c r="AK300" i="9" s="1"/>
  <c r="E301" i="9"/>
  <c r="G301" i="9" s="1"/>
  <c r="I301" i="9" s="1"/>
  <c r="K301" i="9" s="1"/>
  <c r="M301" i="9" s="1"/>
  <c r="O301" i="9" s="1"/>
  <c r="Q301" i="9" s="1"/>
  <c r="S301" i="9" s="1"/>
  <c r="U301" i="9" s="1"/>
  <c r="W301" i="9" s="1"/>
  <c r="Y301" i="9" s="1"/>
  <c r="AA301" i="9" s="1"/>
  <c r="AC301" i="9" s="1"/>
  <c r="AE301" i="9" s="1"/>
  <c r="AG301" i="9" s="1"/>
  <c r="AI301" i="9" s="1"/>
  <c r="AK301" i="9" s="1"/>
  <c r="E302" i="9"/>
  <c r="G302" i="9" s="1"/>
  <c r="I302" i="9" s="1"/>
  <c r="K302" i="9" s="1"/>
  <c r="M302" i="9" s="1"/>
  <c r="O302" i="9" s="1"/>
  <c r="Q302" i="9" s="1"/>
  <c r="S302" i="9" s="1"/>
  <c r="U302" i="9" s="1"/>
  <c r="W302" i="9" s="1"/>
  <c r="Y302" i="9" s="1"/>
  <c r="AA302" i="9" s="1"/>
  <c r="AC302" i="9" s="1"/>
  <c r="AE302" i="9" s="1"/>
  <c r="AG302" i="9" s="1"/>
  <c r="AI302" i="9" s="1"/>
  <c r="AK302" i="9" s="1"/>
  <c r="E303" i="9"/>
  <c r="G303" i="9" s="1"/>
  <c r="I303" i="9" s="1"/>
  <c r="K303" i="9" s="1"/>
  <c r="M303" i="9" s="1"/>
  <c r="O303" i="9" s="1"/>
  <c r="Q303" i="9" s="1"/>
  <c r="S303" i="9" s="1"/>
  <c r="U303" i="9" s="1"/>
  <c r="W303" i="9" s="1"/>
  <c r="Y303" i="9" s="1"/>
  <c r="AA303" i="9" s="1"/>
  <c r="AC303" i="9" s="1"/>
  <c r="AE303" i="9" s="1"/>
  <c r="AG303" i="9" s="1"/>
  <c r="AI303" i="9" s="1"/>
  <c r="AK303" i="9" s="1"/>
  <c r="AM303" i="9" s="1"/>
  <c r="AN303" i="9" s="1"/>
  <c r="E304" i="9"/>
  <c r="G304" i="9" s="1"/>
  <c r="I304" i="9" s="1"/>
  <c r="K304" i="9" s="1"/>
  <c r="M304" i="9" s="1"/>
  <c r="O304" i="9" s="1"/>
  <c r="Q304" i="9" s="1"/>
  <c r="S304" i="9" s="1"/>
  <c r="U304" i="9" s="1"/>
  <c r="W304" i="9" s="1"/>
  <c r="Y304" i="9" s="1"/>
  <c r="AA304" i="9" s="1"/>
  <c r="AC304" i="9" s="1"/>
  <c r="AE304" i="9" s="1"/>
  <c r="AG304" i="9" s="1"/>
  <c r="AI304" i="9" s="1"/>
  <c r="AK304" i="9" s="1"/>
  <c r="AM304" i="9" s="1"/>
  <c r="AN304" i="9" s="1"/>
  <c r="E305" i="9"/>
  <c r="G305" i="9" s="1"/>
  <c r="I305" i="9" s="1"/>
  <c r="K305" i="9" s="1"/>
  <c r="M305" i="9" s="1"/>
  <c r="O305" i="9" s="1"/>
  <c r="Q305" i="9" s="1"/>
  <c r="S305" i="9" s="1"/>
  <c r="U305" i="9" s="1"/>
  <c r="W305" i="9" s="1"/>
  <c r="Y305" i="9" s="1"/>
  <c r="AA305" i="9" s="1"/>
  <c r="AC305" i="9" s="1"/>
  <c r="AE305" i="9" s="1"/>
  <c r="AG305" i="9" s="1"/>
  <c r="AI305" i="9" s="1"/>
  <c r="AK305" i="9" s="1"/>
  <c r="AM305" i="9" s="1"/>
  <c r="AN305" i="9" s="1"/>
  <c r="E306" i="9"/>
  <c r="G306" i="9" s="1"/>
  <c r="I306" i="9" s="1"/>
  <c r="K306" i="9" s="1"/>
  <c r="M306" i="9" s="1"/>
  <c r="O306" i="9" s="1"/>
  <c r="Q306" i="9" s="1"/>
  <c r="S306" i="9" s="1"/>
  <c r="U306" i="9" s="1"/>
  <c r="W306" i="9" s="1"/>
  <c r="Y306" i="9" s="1"/>
  <c r="AA306" i="9" s="1"/>
  <c r="AC306" i="9" s="1"/>
  <c r="AE306" i="9" s="1"/>
  <c r="AG306" i="9" s="1"/>
  <c r="AI306" i="9" s="1"/>
  <c r="AK306" i="9" s="1"/>
  <c r="AM306" i="9" s="1"/>
  <c r="AN306" i="9" s="1"/>
  <c r="E307" i="9"/>
  <c r="G307" i="9" s="1"/>
  <c r="I307" i="9" s="1"/>
  <c r="K307" i="9" s="1"/>
  <c r="M307" i="9" s="1"/>
  <c r="O307" i="9" s="1"/>
  <c r="Q307" i="9" s="1"/>
  <c r="S307" i="9" s="1"/>
  <c r="U307" i="9" s="1"/>
  <c r="W307" i="9" s="1"/>
  <c r="Y307" i="9" s="1"/>
  <c r="AA307" i="9" s="1"/>
  <c r="AC307" i="9" s="1"/>
  <c r="AE307" i="9" s="1"/>
  <c r="AG307" i="9" s="1"/>
  <c r="AI307" i="9" s="1"/>
  <c r="AK307" i="9" s="1"/>
  <c r="E308" i="9"/>
  <c r="G308" i="9" s="1"/>
  <c r="I308" i="9" s="1"/>
  <c r="K308" i="9" s="1"/>
  <c r="M308" i="9" s="1"/>
  <c r="O308" i="9" s="1"/>
  <c r="Q308" i="9" s="1"/>
  <c r="S308" i="9" s="1"/>
  <c r="U308" i="9" s="1"/>
  <c r="W308" i="9" s="1"/>
  <c r="Y308" i="9" s="1"/>
  <c r="AA308" i="9" s="1"/>
  <c r="AC308" i="9" s="1"/>
  <c r="AE308" i="9" s="1"/>
  <c r="AG308" i="9" s="1"/>
  <c r="AI308" i="9" s="1"/>
  <c r="AK308" i="9" s="1"/>
  <c r="AM308" i="9" s="1"/>
  <c r="AN308" i="9" s="1"/>
  <c r="E309" i="9"/>
  <c r="G309" i="9" s="1"/>
  <c r="I309" i="9" s="1"/>
  <c r="K309" i="9" s="1"/>
  <c r="M309" i="9" s="1"/>
  <c r="O309" i="9" s="1"/>
  <c r="Q309" i="9" s="1"/>
  <c r="S309" i="9" s="1"/>
  <c r="U309" i="9" s="1"/>
  <c r="W309" i="9" s="1"/>
  <c r="Y309" i="9" s="1"/>
  <c r="AA309" i="9" s="1"/>
  <c r="AC309" i="9" s="1"/>
  <c r="AE309" i="9" s="1"/>
  <c r="AG309" i="9" s="1"/>
  <c r="AI309" i="9" s="1"/>
  <c r="AK309" i="9" s="1"/>
  <c r="E310" i="9"/>
  <c r="G310" i="9" s="1"/>
  <c r="I310" i="9" s="1"/>
  <c r="K310" i="9" s="1"/>
  <c r="M310" i="9" s="1"/>
  <c r="O310" i="9" s="1"/>
  <c r="Q310" i="9" s="1"/>
  <c r="S310" i="9" s="1"/>
  <c r="U310" i="9" s="1"/>
  <c r="W310" i="9" s="1"/>
  <c r="Y310" i="9" s="1"/>
  <c r="AA310" i="9" s="1"/>
  <c r="AC310" i="9" s="1"/>
  <c r="AE310" i="9" s="1"/>
  <c r="AG310" i="9" s="1"/>
  <c r="AI310" i="9" s="1"/>
  <c r="AK310" i="9" s="1"/>
  <c r="AM310" i="9" s="1"/>
  <c r="AN310" i="9" s="1"/>
  <c r="E311" i="9"/>
  <c r="G311" i="9" s="1"/>
  <c r="I311" i="9" s="1"/>
  <c r="K311" i="9" s="1"/>
  <c r="M311" i="9" s="1"/>
  <c r="O311" i="9" s="1"/>
  <c r="Q311" i="9" s="1"/>
  <c r="S311" i="9" s="1"/>
  <c r="U311" i="9" s="1"/>
  <c r="W311" i="9" s="1"/>
  <c r="Y311" i="9" s="1"/>
  <c r="AA311" i="9" s="1"/>
  <c r="AC311" i="9" s="1"/>
  <c r="AE311" i="9" s="1"/>
  <c r="AG311" i="9" s="1"/>
  <c r="AI311" i="9" s="1"/>
  <c r="AK311" i="9" s="1"/>
  <c r="E312" i="9"/>
  <c r="G312" i="9" s="1"/>
  <c r="I312" i="9" s="1"/>
  <c r="K312" i="9" s="1"/>
  <c r="M312" i="9" s="1"/>
  <c r="O312" i="9" s="1"/>
  <c r="Q312" i="9" s="1"/>
  <c r="S312" i="9" s="1"/>
  <c r="U312" i="9" s="1"/>
  <c r="W312" i="9" s="1"/>
  <c r="Y312" i="9" s="1"/>
  <c r="AA312" i="9" s="1"/>
  <c r="AC312" i="9" s="1"/>
  <c r="AE312" i="9" s="1"/>
  <c r="AG312" i="9" s="1"/>
  <c r="AI312" i="9" s="1"/>
  <c r="AK312" i="9" s="1"/>
  <c r="E313" i="9"/>
  <c r="G313" i="9" s="1"/>
  <c r="I313" i="9" s="1"/>
  <c r="K313" i="9" s="1"/>
  <c r="M313" i="9" s="1"/>
  <c r="O313" i="9" s="1"/>
  <c r="Q313" i="9" s="1"/>
  <c r="S313" i="9" s="1"/>
  <c r="U313" i="9" s="1"/>
  <c r="W313" i="9" s="1"/>
  <c r="Y313" i="9" s="1"/>
  <c r="AA313" i="9" s="1"/>
  <c r="AC313" i="9" s="1"/>
  <c r="AE313" i="9" s="1"/>
  <c r="AG313" i="9" s="1"/>
  <c r="AI313" i="9" s="1"/>
  <c r="AK313" i="9" s="1"/>
  <c r="E314" i="9"/>
  <c r="G314" i="9" s="1"/>
  <c r="I314" i="9" s="1"/>
  <c r="K314" i="9" s="1"/>
  <c r="M314" i="9" s="1"/>
  <c r="O314" i="9" s="1"/>
  <c r="Q314" i="9" s="1"/>
  <c r="S314" i="9" s="1"/>
  <c r="U314" i="9" s="1"/>
  <c r="W314" i="9" s="1"/>
  <c r="Y314" i="9" s="1"/>
  <c r="AA314" i="9" s="1"/>
  <c r="AC314" i="9" s="1"/>
  <c r="AE314" i="9" s="1"/>
  <c r="AG314" i="9" s="1"/>
  <c r="AI314" i="9" s="1"/>
  <c r="AK314" i="9" s="1"/>
  <c r="AM314" i="9" s="1"/>
  <c r="AN314" i="9" s="1"/>
  <c r="E315" i="9"/>
  <c r="G315" i="9" s="1"/>
  <c r="I315" i="9" s="1"/>
  <c r="K315" i="9" s="1"/>
  <c r="M315" i="9" s="1"/>
  <c r="O315" i="9" s="1"/>
  <c r="Q315" i="9" s="1"/>
  <c r="S315" i="9" s="1"/>
  <c r="U315" i="9" s="1"/>
  <c r="W315" i="9" s="1"/>
  <c r="Y315" i="9" s="1"/>
  <c r="AA315" i="9" s="1"/>
  <c r="AC315" i="9" s="1"/>
  <c r="AE315" i="9" s="1"/>
  <c r="AG315" i="9" s="1"/>
  <c r="AI315" i="9" s="1"/>
  <c r="AK315" i="9" s="1"/>
  <c r="AM315" i="9" s="1"/>
  <c r="AN315" i="9" s="1"/>
  <c r="E316" i="9"/>
  <c r="G316" i="9" s="1"/>
  <c r="I316" i="9" s="1"/>
  <c r="K316" i="9" s="1"/>
  <c r="M316" i="9" s="1"/>
  <c r="O316" i="9" s="1"/>
  <c r="Q316" i="9" s="1"/>
  <c r="S316" i="9" s="1"/>
  <c r="U316" i="9" s="1"/>
  <c r="W316" i="9" s="1"/>
  <c r="Y316" i="9" s="1"/>
  <c r="AA316" i="9" s="1"/>
  <c r="AC316" i="9" s="1"/>
  <c r="AE316" i="9" s="1"/>
  <c r="AG316" i="9" s="1"/>
  <c r="AI316" i="9" s="1"/>
  <c r="AK316" i="9" s="1"/>
  <c r="AM316" i="9" s="1"/>
  <c r="AN316" i="9" s="1"/>
  <c r="E317" i="9"/>
  <c r="G317" i="9" s="1"/>
  <c r="I317" i="9" s="1"/>
  <c r="K317" i="9" s="1"/>
  <c r="M317" i="9" s="1"/>
  <c r="O317" i="9" s="1"/>
  <c r="Q317" i="9" s="1"/>
  <c r="S317" i="9" s="1"/>
  <c r="U317" i="9" s="1"/>
  <c r="W317" i="9" s="1"/>
  <c r="Y317" i="9" s="1"/>
  <c r="AA317" i="9" s="1"/>
  <c r="AC317" i="9" s="1"/>
  <c r="AE317" i="9" s="1"/>
  <c r="AG317" i="9" s="1"/>
  <c r="AI317" i="9" s="1"/>
  <c r="AK317" i="9" s="1"/>
  <c r="AM317" i="9" s="1"/>
  <c r="AN317" i="9" s="1"/>
  <c r="E318" i="9"/>
  <c r="G318" i="9" s="1"/>
  <c r="I318" i="9" s="1"/>
  <c r="K318" i="9" s="1"/>
  <c r="M318" i="9" s="1"/>
  <c r="O318" i="9" s="1"/>
  <c r="Q318" i="9" s="1"/>
  <c r="S318" i="9" s="1"/>
  <c r="U318" i="9" s="1"/>
  <c r="W318" i="9" s="1"/>
  <c r="Y318" i="9" s="1"/>
  <c r="AA318" i="9" s="1"/>
  <c r="AC318" i="9" s="1"/>
  <c r="AE318" i="9" s="1"/>
  <c r="AG318" i="9" s="1"/>
  <c r="AI318" i="9" s="1"/>
  <c r="AK318" i="9" s="1"/>
  <c r="AM318" i="9" s="1"/>
  <c r="AN318" i="9" s="1"/>
  <c r="E319" i="9"/>
  <c r="G319" i="9" s="1"/>
  <c r="I319" i="9" s="1"/>
  <c r="K319" i="9" s="1"/>
  <c r="M319" i="9" s="1"/>
  <c r="O319" i="9" s="1"/>
  <c r="Q319" i="9" s="1"/>
  <c r="S319" i="9" s="1"/>
  <c r="U319" i="9" s="1"/>
  <c r="W319" i="9" s="1"/>
  <c r="Y319" i="9" s="1"/>
  <c r="AA319" i="9" s="1"/>
  <c r="AC319" i="9" s="1"/>
  <c r="AE319" i="9" s="1"/>
  <c r="AG319" i="9" s="1"/>
  <c r="AI319" i="9" s="1"/>
  <c r="AK319" i="9" s="1"/>
  <c r="AM319" i="9" s="1"/>
  <c r="AN319" i="9" s="1"/>
  <c r="E320" i="9"/>
  <c r="G320" i="9" s="1"/>
  <c r="I320" i="9" s="1"/>
  <c r="K320" i="9" s="1"/>
  <c r="M320" i="9" s="1"/>
  <c r="O320" i="9" s="1"/>
  <c r="Q320" i="9" s="1"/>
  <c r="S320" i="9" s="1"/>
  <c r="U320" i="9" s="1"/>
  <c r="W320" i="9" s="1"/>
  <c r="Y320" i="9" s="1"/>
  <c r="AA320" i="9" s="1"/>
  <c r="AC320" i="9" s="1"/>
  <c r="AE320" i="9" s="1"/>
  <c r="AG320" i="9" s="1"/>
  <c r="AI320" i="9" s="1"/>
  <c r="AK320" i="9" s="1"/>
  <c r="AM320" i="9" s="1"/>
  <c r="AN320" i="9" s="1"/>
  <c r="E321" i="9"/>
  <c r="G321" i="9" s="1"/>
  <c r="I321" i="9" s="1"/>
  <c r="K321" i="9" s="1"/>
  <c r="M321" i="9" s="1"/>
  <c r="O321" i="9" s="1"/>
  <c r="Q321" i="9" s="1"/>
  <c r="S321" i="9" s="1"/>
  <c r="U321" i="9" s="1"/>
  <c r="W321" i="9" s="1"/>
  <c r="Y321" i="9" s="1"/>
  <c r="AA321" i="9" s="1"/>
  <c r="AC321" i="9" s="1"/>
  <c r="AE321" i="9" s="1"/>
  <c r="AG321" i="9" s="1"/>
  <c r="AI321" i="9" s="1"/>
  <c r="AK321" i="9" s="1"/>
  <c r="AM321" i="9" s="1"/>
  <c r="AN321" i="9" s="1"/>
  <c r="E322" i="9"/>
  <c r="G322" i="9" s="1"/>
  <c r="I322" i="9" s="1"/>
  <c r="K322" i="9" s="1"/>
  <c r="M322" i="9" s="1"/>
  <c r="O322" i="9" s="1"/>
  <c r="Q322" i="9" s="1"/>
  <c r="S322" i="9" s="1"/>
  <c r="U322" i="9" s="1"/>
  <c r="W322" i="9" s="1"/>
  <c r="Y322" i="9" s="1"/>
  <c r="AA322" i="9" s="1"/>
  <c r="AC322" i="9" s="1"/>
  <c r="AE322" i="9" s="1"/>
  <c r="AG322" i="9" s="1"/>
  <c r="AI322" i="9" s="1"/>
  <c r="AK322" i="9" s="1"/>
  <c r="AM322" i="9" s="1"/>
  <c r="AN322" i="9" s="1"/>
  <c r="E323" i="9"/>
  <c r="G323" i="9" s="1"/>
  <c r="I323" i="9" s="1"/>
  <c r="K323" i="9" s="1"/>
  <c r="M323" i="9" s="1"/>
  <c r="O323" i="9" s="1"/>
  <c r="Q323" i="9" s="1"/>
  <c r="S323" i="9" s="1"/>
  <c r="U323" i="9" s="1"/>
  <c r="W323" i="9" s="1"/>
  <c r="Y323" i="9" s="1"/>
  <c r="AA323" i="9" s="1"/>
  <c r="AC323" i="9" s="1"/>
  <c r="AE323" i="9" s="1"/>
  <c r="AG323" i="9" s="1"/>
  <c r="AI323" i="9" s="1"/>
  <c r="AK323" i="9" s="1"/>
  <c r="AM323" i="9" s="1"/>
  <c r="AN323" i="9" s="1"/>
  <c r="E324" i="9"/>
  <c r="G324" i="9" s="1"/>
  <c r="I324" i="9" s="1"/>
  <c r="K324" i="9" s="1"/>
  <c r="M324" i="9" s="1"/>
  <c r="O324" i="9" s="1"/>
  <c r="Q324" i="9" s="1"/>
  <c r="S324" i="9" s="1"/>
  <c r="U324" i="9" s="1"/>
  <c r="W324" i="9" s="1"/>
  <c r="Y324" i="9" s="1"/>
  <c r="AA324" i="9" s="1"/>
  <c r="AC324" i="9" s="1"/>
  <c r="AE324" i="9" s="1"/>
  <c r="AG324" i="9" s="1"/>
  <c r="AI324" i="9" s="1"/>
  <c r="AK324" i="9" s="1"/>
  <c r="E325" i="9"/>
  <c r="G325" i="9" s="1"/>
  <c r="I325" i="9" s="1"/>
  <c r="K325" i="9" s="1"/>
  <c r="M325" i="9" s="1"/>
  <c r="O325" i="9" s="1"/>
  <c r="Q325" i="9" s="1"/>
  <c r="S325" i="9" s="1"/>
  <c r="U325" i="9" s="1"/>
  <c r="W325" i="9" s="1"/>
  <c r="Y325" i="9" s="1"/>
  <c r="AA325" i="9" s="1"/>
  <c r="AC325" i="9" s="1"/>
  <c r="AE325" i="9" s="1"/>
  <c r="AG325" i="9" s="1"/>
  <c r="AI325" i="9" s="1"/>
  <c r="AK325" i="9" s="1"/>
  <c r="E326" i="9"/>
  <c r="G326" i="9" s="1"/>
  <c r="I326" i="9" s="1"/>
  <c r="K326" i="9" s="1"/>
  <c r="M326" i="9" s="1"/>
  <c r="O326" i="9" s="1"/>
  <c r="Q326" i="9" s="1"/>
  <c r="S326" i="9" s="1"/>
  <c r="U326" i="9" s="1"/>
  <c r="W326" i="9" s="1"/>
  <c r="Y326" i="9" s="1"/>
  <c r="AA326" i="9" s="1"/>
  <c r="AC326" i="9" s="1"/>
  <c r="AE326" i="9" s="1"/>
  <c r="AG326" i="9" s="1"/>
  <c r="AI326" i="9" s="1"/>
  <c r="AK326" i="9" s="1"/>
  <c r="E327" i="9"/>
  <c r="G327" i="9" s="1"/>
  <c r="I327" i="9" s="1"/>
  <c r="K327" i="9" s="1"/>
  <c r="M327" i="9" s="1"/>
  <c r="O327" i="9" s="1"/>
  <c r="Q327" i="9" s="1"/>
  <c r="S327" i="9" s="1"/>
  <c r="U327" i="9" s="1"/>
  <c r="W327" i="9" s="1"/>
  <c r="Y327" i="9" s="1"/>
  <c r="AA327" i="9" s="1"/>
  <c r="AC327" i="9" s="1"/>
  <c r="AE327" i="9" s="1"/>
  <c r="AG327" i="9" s="1"/>
  <c r="AI327" i="9" s="1"/>
  <c r="AK327" i="9" s="1"/>
  <c r="AM327" i="9" s="1"/>
  <c r="E328" i="9"/>
  <c r="G328" i="9" s="1"/>
  <c r="I328" i="9" s="1"/>
  <c r="K328" i="9" s="1"/>
  <c r="M328" i="9" s="1"/>
  <c r="O328" i="9" s="1"/>
  <c r="Q328" i="9" s="1"/>
  <c r="S328" i="9" s="1"/>
  <c r="U328" i="9" s="1"/>
  <c r="W328" i="9" s="1"/>
  <c r="Y328" i="9" s="1"/>
  <c r="AA328" i="9" s="1"/>
  <c r="AC328" i="9" s="1"/>
  <c r="AE328" i="9" s="1"/>
  <c r="AG328" i="9" s="1"/>
  <c r="AI328" i="9" s="1"/>
  <c r="AK328" i="9" s="1"/>
  <c r="AM328" i="9" s="1"/>
  <c r="AN328" i="9" s="1"/>
  <c r="E329" i="9"/>
  <c r="G329" i="9" s="1"/>
  <c r="I329" i="9" s="1"/>
  <c r="K329" i="9" s="1"/>
  <c r="M329" i="9" s="1"/>
  <c r="O329" i="9" s="1"/>
  <c r="Q329" i="9" s="1"/>
  <c r="S329" i="9" s="1"/>
  <c r="U329" i="9" s="1"/>
  <c r="W329" i="9" s="1"/>
  <c r="Y329" i="9" s="1"/>
  <c r="AA329" i="9" s="1"/>
  <c r="AC329" i="9" s="1"/>
  <c r="AE329" i="9" s="1"/>
  <c r="AG329" i="9" s="1"/>
  <c r="AI329" i="9" s="1"/>
  <c r="AK329" i="9" s="1"/>
  <c r="AM329" i="9" s="1"/>
  <c r="AN329" i="9" s="1"/>
  <c r="E330" i="9"/>
  <c r="G330" i="9" s="1"/>
  <c r="I330" i="9" s="1"/>
  <c r="K330" i="9" s="1"/>
  <c r="M330" i="9" s="1"/>
  <c r="O330" i="9" s="1"/>
  <c r="Q330" i="9" s="1"/>
  <c r="S330" i="9" s="1"/>
  <c r="U330" i="9" s="1"/>
  <c r="W330" i="9" s="1"/>
  <c r="Y330" i="9" s="1"/>
  <c r="AA330" i="9" s="1"/>
  <c r="AC330" i="9" s="1"/>
  <c r="AE330" i="9" s="1"/>
  <c r="AG330" i="9" s="1"/>
  <c r="AI330" i="9" s="1"/>
  <c r="AK330" i="9" s="1"/>
  <c r="AM330" i="9" s="1"/>
  <c r="AN330" i="9" s="1"/>
  <c r="E331" i="9"/>
  <c r="G331" i="9" s="1"/>
  <c r="I331" i="9" s="1"/>
  <c r="K331" i="9" s="1"/>
  <c r="M331" i="9" s="1"/>
  <c r="O331" i="9" s="1"/>
  <c r="Q331" i="9" s="1"/>
  <c r="S331" i="9" s="1"/>
  <c r="U331" i="9" s="1"/>
  <c r="W331" i="9" s="1"/>
  <c r="Y331" i="9" s="1"/>
  <c r="AA331" i="9" s="1"/>
  <c r="AC331" i="9" s="1"/>
  <c r="AE331" i="9" s="1"/>
  <c r="AG331" i="9" s="1"/>
  <c r="AI331" i="9" s="1"/>
  <c r="AK331" i="9" s="1"/>
  <c r="E332" i="9"/>
  <c r="G332" i="9" s="1"/>
  <c r="I332" i="9" s="1"/>
  <c r="K332" i="9" s="1"/>
  <c r="M332" i="9" s="1"/>
  <c r="O332" i="9" s="1"/>
  <c r="Q332" i="9" s="1"/>
  <c r="S332" i="9" s="1"/>
  <c r="U332" i="9" s="1"/>
  <c r="W332" i="9" s="1"/>
  <c r="Y332" i="9" s="1"/>
  <c r="AA332" i="9" s="1"/>
  <c r="AC332" i="9" s="1"/>
  <c r="AE332" i="9" s="1"/>
  <c r="AG332" i="9" s="1"/>
  <c r="AI332" i="9" s="1"/>
  <c r="AK332" i="9" s="1"/>
  <c r="AM332" i="9" s="1"/>
  <c r="AN332" i="9" s="1"/>
  <c r="E333" i="9"/>
  <c r="G333" i="9" s="1"/>
  <c r="I333" i="9" s="1"/>
  <c r="K333" i="9" s="1"/>
  <c r="M333" i="9" s="1"/>
  <c r="O333" i="9" s="1"/>
  <c r="Q333" i="9" s="1"/>
  <c r="S333" i="9" s="1"/>
  <c r="U333" i="9" s="1"/>
  <c r="W333" i="9" s="1"/>
  <c r="Y333" i="9" s="1"/>
  <c r="AA333" i="9" s="1"/>
  <c r="AC333" i="9" s="1"/>
  <c r="AE333" i="9" s="1"/>
  <c r="AG333" i="9" s="1"/>
  <c r="AI333" i="9" s="1"/>
  <c r="AK333" i="9" s="1"/>
  <c r="AM333" i="9" s="1"/>
  <c r="AN333" i="9" s="1"/>
  <c r="E334" i="9"/>
  <c r="G334" i="9" s="1"/>
  <c r="I334" i="9" s="1"/>
  <c r="K334" i="9" s="1"/>
  <c r="M334" i="9" s="1"/>
  <c r="O334" i="9" s="1"/>
  <c r="Q334" i="9" s="1"/>
  <c r="S334" i="9" s="1"/>
  <c r="U334" i="9" s="1"/>
  <c r="W334" i="9" s="1"/>
  <c r="Y334" i="9" s="1"/>
  <c r="AA334" i="9" s="1"/>
  <c r="AC334" i="9" s="1"/>
  <c r="AE334" i="9" s="1"/>
  <c r="AG334" i="9" s="1"/>
  <c r="AI334" i="9" s="1"/>
  <c r="AK334" i="9" s="1"/>
  <c r="AM334" i="9" s="1"/>
  <c r="AN334" i="9" s="1"/>
  <c r="E335" i="9"/>
  <c r="G335" i="9" s="1"/>
  <c r="I335" i="9" s="1"/>
  <c r="K335" i="9" s="1"/>
  <c r="M335" i="9" s="1"/>
  <c r="O335" i="9" s="1"/>
  <c r="Q335" i="9" s="1"/>
  <c r="S335" i="9" s="1"/>
  <c r="U335" i="9" s="1"/>
  <c r="W335" i="9" s="1"/>
  <c r="Y335" i="9" s="1"/>
  <c r="AA335" i="9" s="1"/>
  <c r="AC335" i="9" s="1"/>
  <c r="AE335" i="9" s="1"/>
  <c r="AG335" i="9" s="1"/>
  <c r="AI335" i="9" s="1"/>
  <c r="AK335" i="9" s="1"/>
  <c r="E336" i="9"/>
  <c r="G336" i="9" s="1"/>
  <c r="I336" i="9" s="1"/>
  <c r="K336" i="9" s="1"/>
  <c r="M336" i="9" s="1"/>
  <c r="O336" i="9" s="1"/>
  <c r="Q336" i="9" s="1"/>
  <c r="S336" i="9" s="1"/>
  <c r="U336" i="9" s="1"/>
  <c r="W336" i="9" s="1"/>
  <c r="Y336" i="9" s="1"/>
  <c r="AA336" i="9" s="1"/>
  <c r="AC336" i="9" s="1"/>
  <c r="AE336" i="9" s="1"/>
  <c r="AG336" i="9" s="1"/>
  <c r="AI336" i="9" s="1"/>
  <c r="AK336" i="9" s="1"/>
  <c r="E337" i="9"/>
  <c r="G337" i="9" s="1"/>
  <c r="I337" i="9" s="1"/>
  <c r="K337" i="9" s="1"/>
  <c r="M337" i="9" s="1"/>
  <c r="O337" i="9" s="1"/>
  <c r="Q337" i="9" s="1"/>
  <c r="S337" i="9" s="1"/>
  <c r="U337" i="9" s="1"/>
  <c r="W337" i="9" s="1"/>
  <c r="Y337" i="9" s="1"/>
  <c r="AA337" i="9" s="1"/>
  <c r="AC337" i="9" s="1"/>
  <c r="AE337" i="9" s="1"/>
  <c r="AG337" i="9" s="1"/>
  <c r="AI337" i="9" s="1"/>
  <c r="AK337" i="9" s="1"/>
  <c r="E338" i="9"/>
  <c r="G338" i="9" s="1"/>
  <c r="I338" i="9" s="1"/>
  <c r="K338" i="9" s="1"/>
  <c r="M338" i="9" s="1"/>
  <c r="O338" i="9" s="1"/>
  <c r="Q338" i="9" s="1"/>
  <c r="S338" i="9" s="1"/>
  <c r="U338" i="9" s="1"/>
  <c r="W338" i="9" s="1"/>
  <c r="Y338" i="9" s="1"/>
  <c r="AA338" i="9" s="1"/>
  <c r="AC338" i="9" s="1"/>
  <c r="AE338" i="9" s="1"/>
  <c r="AG338" i="9" s="1"/>
  <c r="AI338" i="9" s="1"/>
  <c r="AK338" i="9" s="1"/>
  <c r="AM338" i="9" s="1"/>
  <c r="E339" i="9"/>
  <c r="G339" i="9" s="1"/>
  <c r="I339" i="9" s="1"/>
  <c r="K339" i="9" s="1"/>
  <c r="M339" i="9" s="1"/>
  <c r="O339" i="9" s="1"/>
  <c r="Q339" i="9" s="1"/>
  <c r="S339" i="9" s="1"/>
  <c r="U339" i="9" s="1"/>
  <c r="W339" i="9" s="1"/>
  <c r="Y339" i="9" s="1"/>
  <c r="AA339" i="9" s="1"/>
  <c r="AC339" i="9" s="1"/>
  <c r="AE339" i="9" s="1"/>
  <c r="AG339" i="9" s="1"/>
  <c r="AI339" i="9" s="1"/>
  <c r="AK339" i="9" s="1"/>
  <c r="AM339" i="9" s="1"/>
  <c r="AN339" i="9" s="1"/>
  <c r="E340" i="9"/>
  <c r="G340" i="9" s="1"/>
  <c r="I340" i="9" s="1"/>
  <c r="K340" i="9" s="1"/>
  <c r="M340" i="9" s="1"/>
  <c r="O340" i="9" s="1"/>
  <c r="Q340" i="9" s="1"/>
  <c r="S340" i="9" s="1"/>
  <c r="U340" i="9" s="1"/>
  <c r="W340" i="9" s="1"/>
  <c r="Y340" i="9" s="1"/>
  <c r="AA340" i="9" s="1"/>
  <c r="AC340" i="9" s="1"/>
  <c r="AE340" i="9" s="1"/>
  <c r="AG340" i="9" s="1"/>
  <c r="AI340" i="9" s="1"/>
  <c r="AK340" i="9" s="1"/>
  <c r="AM340" i="9" s="1"/>
  <c r="AN340" i="9" s="1"/>
  <c r="E341" i="9"/>
  <c r="G341" i="9" s="1"/>
  <c r="I341" i="9" s="1"/>
  <c r="K341" i="9" s="1"/>
  <c r="M341" i="9" s="1"/>
  <c r="O341" i="9" s="1"/>
  <c r="Q341" i="9" s="1"/>
  <c r="S341" i="9" s="1"/>
  <c r="U341" i="9" s="1"/>
  <c r="W341" i="9" s="1"/>
  <c r="Y341" i="9" s="1"/>
  <c r="AA341" i="9" s="1"/>
  <c r="AC341" i="9" s="1"/>
  <c r="AE341" i="9" s="1"/>
  <c r="AG341" i="9" s="1"/>
  <c r="AI341" i="9" s="1"/>
  <c r="AK341" i="9" s="1"/>
  <c r="AM341" i="9" s="1"/>
  <c r="AN341" i="9" s="1"/>
  <c r="E342" i="9"/>
  <c r="G342" i="9" s="1"/>
  <c r="I342" i="9" s="1"/>
  <c r="K342" i="9" s="1"/>
  <c r="M342" i="9" s="1"/>
  <c r="O342" i="9" s="1"/>
  <c r="Q342" i="9" s="1"/>
  <c r="S342" i="9" s="1"/>
  <c r="U342" i="9" s="1"/>
  <c r="W342" i="9" s="1"/>
  <c r="Y342" i="9" s="1"/>
  <c r="AA342" i="9" s="1"/>
  <c r="AC342" i="9" s="1"/>
  <c r="AE342" i="9" s="1"/>
  <c r="AG342" i="9" s="1"/>
  <c r="AI342" i="9" s="1"/>
  <c r="AK342" i="9" s="1"/>
  <c r="AM342" i="9" s="1"/>
  <c r="AN342" i="9" s="1"/>
  <c r="E343" i="9"/>
  <c r="G343" i="9" s="1"/>
  <c r="I343" i="9" s="1"/>
  <c r="K343" i="9" s="1"/>
  <c r="M343" i="9" s="1"/>
  <c r="O343" i="9" s="1"/>
  <c r="Q343" i="9" s="1"/>
  <c r="S343" i="9" s="1"/>
  <c r="U343" i="9" s="1"/>
  <c r="W343" i="9" s="1"/>
  <c r="Y343" i="9" s="1"/>
  <c r="AA343" i="9" s="1"/>
  <c r="AC343" i="9" s="1"/>
  <c r="AE343" i="9" s="1"/>
  <c r="AG343" i="9" s="1"/>
  <c r="AI343" i="9" s="1"/>
  <c r="AK343" i="9" s="1"/>
  <c r="AM343" i="9" s="1"/>
  <c r="AN343" i="9" s="1"/>
  <c r="E344" i="9"/>
  <c r="G344" i="9" s="1"/>
  <c r="I344" i="9" s="1"/>
  <c r="K344" i="9" s="1"/>
  <c r="M344" i="9" s="1"/>
  <c r="O344" i="9" s="1"/>
  <c r="Q344" i="9" s="1"/>
  <c r="S344" i="9" s="1"/>
  <c r="U344" i="9" s="1"/>
  <c r="W344" i="9" s="1"/>
  <c r="Y344" i="9" s="1"/>
  <c r="AA344" i="9" s="1"/>
  <c r="AC344" i="9" s="1"/>
  <c r="AE344" i="9" s="1"/>
  <c r="AG344" i="9" s="1"/>
  <c r="AI344" i="9" s="1"/>
  <c r="AK344" i="9" s="1"/>
  <c r="E345" i="9"/>
  <c r="G345" i="9" s="1"/>
  <c r="I345" i="9" s="1"/>
  <c r="K345" i="9" s="1"/>
  <c r="M345" i="9" s="1"/>
  <c r="O345" i="9" s="1"/>
  <c r="Q345" i="9" s="1"/>
  <c r="S345" i="9" s="1"/>
  <c r="U345" i="9" s="1"/>
  <c r="W345" i="9" s="1"/>
  <c r="Y345" i="9" s="1"/>
  <c r="AA345" i="9" s="1"/>
  <c r="AC345" i="9" s="1"/>
  <c r="AE345" i="9" s="1"/>
  <c r="AG345" i="9" s="1"/>
  <c r="AI345" i="9" s="1"/>
  <c r="AK345" i="9" s="1"/>
  <c r="E346" i="9"/>
  <c r="G346" i="9" s="1"/>
  <c r="I346" i="9" s="1"/>
  <c r="K346" i="9" s="1"/>
  <c r="M346" i="9" s="1"/>
  <c r="O346" i="9" s="1"/>
  <c r="Q346" i="9" s="1"/>
  <c r="S346" i="9" s="1"/>
  <c r="U346" i="9" s="1"/>
  <c r="W346" i="9" s="1"/>
  <c r="Y346" i="9" s="1"/>
  <c r="AA346" i="9" s="1"/>
  <c r="AC346" i="9" s="1"/>
  <c r="AE346" i="9" s="1"/>
  <c r="AG346" i="9" s="1"/>
  <c r="AI346" i="9" s="1"/>
  <c r="AK346" i="9" s="1"/>
  <c r="E347" i="9"/>
  <c r="G347" i="9" s="1"/>
  <c r="I347" i="9" s="1"/>
  <c r="K347" i="9" s="1"/>
  <c r="M347" i="9" s="1"/>
  <c r="O347" i="9" s="1"/>
  <c r="Q347" i="9" s="1"/>
  <c r="S347" i="9" s="1"/>
  <c r="U347" i="9" s="1"/>
  <c r="W347" i="9" s="1"/>
  <c r="Y347" i="9" s="1"/>
  <c r="AA347" i="9" s="1"/>
  <c r="AC347" i="9" s="1"/>
  <c r="AE347" i="9" s="1"/>
  <c r="AG347" i="9" s="1"/>
  <c r="AI347" i="9" s="1"/>
  <c r="AK347" i="9" s="1"/>
  <c r="E348" i="9"/>
  <c r="G348" i="9" s="1"/>
  <c r="I348" i="9" s="1"/>
  <c r="K348" i="9" s="1"/>
  <c r="M348" i="9" s="1"/>
  <c r="O348" i="9" s="1"/>
  <c r="Q348" i="9" s="1"/>
  <c r="S348" i="9" s="1"/>
  <c r="U348" i="9" s="1"/>
  <c r="W348" i="9" s="1"/>
  <c r="Y348" i="9" s="1"/>
  <c r="AA348" i="9" s="1"/>
  <c r="AC348" i="9" s="1"/>
  <c r="AE348" i="9" s="1"/>
  <c r="AG348" i="9" s="1"/>
  <c r="AI348" i="9" s="1"/>
  <c r="AK348" i="9" s="1"/>
  <c r="E349" i="9"/>
  <c r="G349" i="9" s="1"/>
  <c r="I349" i="9" s="1"/>
  <c r="K349" i="9" s="1"/>
  <c r="M349" i="9" s="1"/>
  <c r="O349" i="9" s="1"/>
  <c r="Q349" i="9" s="1"/>
  <c r="S349" i="9" s="1"/>
  <c r="U349" i="9" s="1"/>
  <c r="W349" i="9" s="1"/>
  <c r="Y349" i="9" s="1"/>
  <c r="AA349" i="9" s="1"/>
  <c r="AC349" i="9" s="1"/>
  <c r="AE349" i="9" s="1"/>
  <c r="AG349" i="9" s="1"/>
  <c r="AI349" i="9" s="1"/>
  <c r="AK349" i="9" s="1"/>
  <c r="E350" i="9"/>
  <c r="G350" i="9" s="1"/>
  <c r="I350" i="9" s="1"/>
  <c r="K350" i="9" s="1"/>
  <c r="M350" i="9" s="1"/>
  <c r="O350" i="9" s="1"/>
  <c r="Q350" i="9" s="1"/>
  <c r="S350" i="9" s="1"/>
  <c r="U350" i="9" s="1"/>
  <c r="W350" i="9" s="1"/>
  <c r="Y350" i="9" s="1"/>
  <c r="AA350" i="9" s="1"/>
  <c r="AC350" i="9" s="1"/>
  <c r="AE350" i="9" s="1"/>
  <c r="AG350" i="9" s="1"/>
  <c r="AI350" i="9" s="1"/>
  <c r="AK350" i="9" s="1"/>
  <c r="E351" i="9"/>
  <c r="G351" i="9" s="1"/>
  <c r="I351" i="9" s="1"/>
  <c r="K351" i="9" s="1"/>
  <c r="M351" i="9" s="1"/>
  <c r="O351" i="9" s="1"/>
  <c r="Q351" i="9" s="1"/>
  <c r="S351" i="9" s="1"/>
  <c r="U351" i="9" s="1"/>
  <c r="W351" i="9" s="1"/>
  <c r="Y351" i="9" s="1"/>
  <c r="AA351" i="9" s="1"/>
  <c r="AC351" i="9" s="1"/>
  <c r="AE351" i="9" s="1"/>
  <c r="AG351" i="9" s="1"/>
  <c r="AI351" i="9" s="1"/>
  <c r="AK351" i="9" s="1"/>
  <c r="AM351" i="9" s="1"/>
  <c r="AN351" i="9" s="1"/>
  <c r="E352" i="9"/>
  <c r="G352" i="9" s="1"/>
  <c r="I352" i="9" s="1"/>
  <c r="K352" i="9" s="1"/>
  <c r="M352" i="9" s="1"/>
  <c r="O352" i="9" s="1"/>
  <c r="Q352" i="9" s="1"/>
  <c r="S352" i="9" s="1"/>
  <c r="U352" i="9" s="1"/>
  <c r="W352" i="9" s="1"/>
  <c r="Y352" i="9" s="1"/>
  <c r="AA352" i="9" s="1"/>
  <c r="AC352" i="9" s="1"/>
  <c r="AE352" i="9" s="1"/>
  <c r="AG352" i="9" s="1"/>
  <c r="AI352" i="9" s="1"/>
  <c r="AK352" i="9" s="1"/>
  <c r="AM352" i="9" s="1"/>
  <c r="AN352" i="9" s="1"/>
  <c r="E353" i="9"/>
  <c r="G353" i="9" s="1"/>
  <c r="I353" i="9" s="1"/>
  <c r="K353" i="9" s="1"/>
  <c r="M353" i="9" s="1"/>
  <c r="O353" i="9" s="1"/>
  <c r="Q353" i="9" s="1"/>
  <c r="S353" i="9" s="1"/>
  <c r="U353" i="9" s="1"/>
  <c r="W353" i="9" s="1"/>
  <c r="Y353" i="9" s="1"/>
  <c r="AA353" i="9" s="1"/>
  <c r="AC353" i="9" s="1"/>
  <c r="AE353" i="9" s="1"/>
  <c r="AG353" i="9" s="1"/>
  <c r="AI353" i="9" s="1"/>
  <c r="AK353" i="9" s="1"/>
  <c r="AM353" i="9" s="1"/>
  <c r="AN353" i="9" s="1"/>
  <c r="E354" i="9"/>
  <c r="G354" i="9" s="1"/>
  <c r="I354" i="9" s="1"/>
  <c r="K354" i="9" s="1"/>
  <c r="M354" i="9" s="1"/>
  <c r="O354" i="9" s="1"/>
  <c r="Q354" i="9" s="1"/>
  <c r="S354" i="9" s="1"/>
  <c r="U354" i="9" s="1"/>
  <c r="W354" i="9" s="1"/>
  <c r="Y354" i="9" s="1"/>
  <c r="AA354" i="9" s="1"/>
  <c r="AC354" i="9" s="1"/>
  <c r="AE354" i="9" s="1"/>
  <c r="AG354" i="9" s="1"/>
  <c r="AI354" i="9" s="1"/>
  <c r="AK354" i="9" s="1"/>
  <c r="AM354" i="9" s="1"/>
  <c r="AN354" i="9" s="1"/>
  <c r="E355" i="9"/>
  <c r="G355" i="9" s="1"/>
  <c r="I355" i="9" s="1"/>
  <c r="K355" i="9" s="1"/>
  <c r="M355" i="9" s="1"/>
  <c r="O355" i="9" s="1"/>
  <c r="Q355" i="9" s="1"/>
  <c r="S355" i="9" s="1"/>
  <c r="U355" i="9" s="1"/>
  <c r="W355" i="9" s="1"/>
  <c r="Y355" i="9" s="1"/>
  <c r="AA355" i="9" s="1"/>
  <c r="AC355" i="9" s="1"/>
  <c r="AE355" i="9" s="1"/>
  <c r="AG355" i="9" s="1"/>
  <c r="AI355" i="9" s="1"/>
  <c r="AK355" i="9" s="1"/>
  <c r="E356" i="9"/>
  <c r="G356" i="9" s="1"/>
  <c r="I356" i="9" s="1"/>
  <c r="K356" i="9" s="1"/>
  <c r="M356" i="9" s="1"/>
  <c r="O356" i="9" s="1"/>
  <c r="Q356" i="9" s="1"/>
  <c r="S356" i="9" s="1"/>
  <c r="U356" i="9" s="1"/>
  <c r="W356" i="9" s="1"/>
  <c r="Y356" i="9" s="1"/>
  <c r="AA356" i="9" s="1"/>
  <c r="AC356" i="9" s="1"/>
  <c r="AE356" i="9" s="1"/>
  <c r="AG356" i="9" s="1"/>
  <c r="AI356" i="9" s="1"/>
  <c r="AK356" i="9" s="1"/>
  <c r="AM356" i="9" s="1"/>
  <c r="AN356" i="9" s="1"/>
  <c r="E357" i="9"/>
  <c r="G357" i="9" s="1"/>
  <c r="I357" i="9" s="1"/>
  <c r="K357" i="9" s="1"/>
  <c r="M357" i="9" s="1"/>
  <c r="O357" i="9" s="1"/>
  <c r="Q357" i="9" s="1"/>
  <c r="S357" i="9" s="1"/>
  <c r="U357" i="9" s="1"/>
  <c r="W357" i="9" s="1"/>
  <c r="Y357" i="9" s="1"/>
  <c r="AA357" i="9" s="1"/>
  <c r="AC357" i="9" s="1"/>
  <c r="AE357" i="9" s="1"/>
  <c r="AG357" i="9" s="1"/>
  <c r="AI357" i="9" s="1"/>
  <c r="AK357" i="9" s="1"/>
  <c r="E358" i="9"/>
  <c r="G358" i="9" s="1"/>
  <c r="I358" i="9" s="1"/>
  <c r="K358" i="9" s="1"/>
  <c r="M358" i="9" s="1"/>
  <c r="O358" i="9" s="1"/>
  <c r="Q358" i="9" s="1"/>
  <c r="S358" i="9" s="1"/>
  <c r="U358" i="9" s="1"/>
  <c r="W358" i="9" s="1"/>
  <c r="Y358" i="9" s="1"/>
  <c r="AA358" i="9" s="1"/>
  <c r="AC358" i="9" s="1"/>
  <c r="AE358" i="9" s="1"/>
  <c r="AG358" i="9" s="1"/>
  <c r="AI358" i="9" s="1"/>
  <c r="AK358" i="9" s="1"/>
  <c r="AM358" i="9" s="1"/>
  <c r="AN358" i="9" s="1"/>
  <c r="E359" i="9"/>
  <c r="G359" i="9" s="1"/>
  <c r="I359" i="9" s="1"/>
  <c r="K359" i="9" s="1"/>
  <c r="M359" i="9" s="1"/>
  <c r="O359" i="9" s="1"/>
  <c r="Q359" i="9" s="1"/>
  <c r="S359" i="9" s="1"/>
  <c r="U359" i="9" s="1"/>
  <c r="W359" i="9" s="1"/>
  <c r="Y359" i="9" s="1"/>
  <c r="AA359" i="9" s="1"/>
  <c r="AC359" i="9" s="1"/>
  <c r="AE359" i="9" s="1"/>
  <c r="AG359" i="9" s="1"/>
  <c r="AI359" i="9" s="1"/>
  <c r="AK359" i="9" s="1"/>
  <c r="E360" i="9"/>
  <c r="G360" i="9" s="1"/>
  <c r="I360" i="9" s="1"/>
  <c r="K360" i="9" s="1"/>
  <c r="M360" i="9" s="1"/>
  <c r="O360" i="9" s="1"/>
  <c r="Q360" i="9" s="1"/>
  <c r="S360" i="9" s="1"/>
  <c r="U360" i="9" s="1"/>
  <c r="W360" i="9" s="1"/>
  <c r="Y360" i="9" s="1"/>
  <c r="AA360" i="9" s="1"/>
  <c r="AC360" i="9" s="1"/>
  <c r="AE360" i="9" s="1"/>
  <c r="AG360" i="9" s="1"/>
  <c r="AI360" i="9" s="1"/>
  <c r="AK360" i="9" s="1"/>
  <c r="E361" i="9"/>
  <c r="G361" i="9" s="1"/>
  <c r="I361" i="9" s="1"/>
  <c r="K361" i="9" s="1"/>
  <c r="M361" i="9" s="1"/>
  <c r="O361" i="9" s="1"/>
  <c r="Q361" i="9" s="1"/>
  <c r="S361" i="9" s="1"/>
  <c r="U361" i="9" s="1"/>
  <c r="W361" i="9" s="1"/>
  <c r="Y361" i="9" s="1"/>
  <c r="AA361" i="9" s="1"/>
  <c r="AC361" i="9" s="1"/>
  <c r="AE361" i="9" s="1"/>
  <c r="AG361" i="9" s="1"/>
  <c r="AI361" i="9" s="1"/>
  <c r="AK361" i="9" s="1"/>
  <c r="E362" i="9"/>
  <c r="G362" i="9" s="1"/>
  <c r="I362" i="9" s="1"/>
  <c r="K362" i="9" s="1"/>
  <c r="M362" i="9" s="1"/>
  <c r="O362" i="9" s="1"/>
  <c r="Q362" i="9" s="1"/>
  <c r="S362" i="9" s="1"/>
  <c r="U362" i="9" s="1"/>
  <c r="W362" i="9" s="1"/>
  <c r="Y362" i="9" s="1"/>
  <c r="AA362" i="9" s="1"/>
  <c r="AC362" i="9" s="1"/>
  <c r="AE362" i="9" s="1"/>
  <c r="AG362" i="9" s="1"/>
  <c r="AI362" i="9" s="1"/>
  <c r="AK362" i="9" s="1"/>
  <c r="AM362" i="9" s="1"/>
  <c r="AN362" i="9" s="1"/>
  <c r="E363" i="9"/>
  <c r="G363" i="9" s="1"/>
  <c r="I363" i="9" s="1"/>
  <c r="K363" i="9" s="1"/>
  <c r="M363" i="9" s="1"/>
  <c r="O363" i="9" s="1"/>
  <c r="Q363" i="9" s="1"/>
  <c r="S363" i="9" s="1"/>
  <c r="U363" i="9" s="1"/>
  <c r="W363" i="9" s="1"/>
  <c r="Y363" i="9" s="1"/>
  <c r="AA363" i="9" s="1"/>
  <c r="AC363" i="9" s="1"/>
  <c r="AE363" i="9" s="1"/>
  <c r="AG363" i="9" s="1"/>
  <c r="AI363" i="9" s="1"/>
  <c r="AK363" i="9" s="1"/>
  <c r="AM363" i="9" s="1"/>
  <c r="AN363" i="9" s="1"/>
  <c r="E364" i="9"/>
  <c r="G364" i="9" s="1"/>
  <c r="I364" i="9" s="1"/>
  <c r="K364" i="9" s="1"/>
  <c r="M364" i="9" s="1"/>
  <c r="O364" i="9" s="1"/>
  <c r="Q364" i="9" s="1"/>
  <c r="S364" i="9" s="1"/>
  <c r="U364" i="9" s="1"/>
  <c r="W364" i="9" s="1"/>
  <c r="Y364" i="9" s="1"/>
  <c r="AA364" i="9" s="1"/>
  <c r="AC364" i="9" s="1"/>
  <c r="AE364" i="9" s="1"/>
  <c r="AG364" i="9" s="1"/>
  <c r="AI364" i="9" s="1"/>
  <c r="AK364" i="9" s="1"/>
  <c r="AM364" i="9" s="1"/>
  <c r="AN364" i="9" s="1"/>
  <c r="E365" i="9"/>
  <c r="G365" i="9" s="1"/>
  <c r="I365" i="9" s="1"/>
  <c r="K365" i="9" s="1"/>
  <c r="M365" i="9" s="1"/>
  <c r="O365" i="9" s="1"/>
  <c r="Q365" i="9" s="1"/>
  <c r="S365" i="9" s="1"/>
  <c r="U365" i="9" s="1"/>
  <c r="W365" i="9" s="1"/>
  <c r="Y365" i="9" s="1"/>
  <c r="AA365" i="9" s="1"/>
  <c r="AC365" i="9" s="1"/>
  <c r="AE365" i="9" s="1"/>
  <c r="AG365" i="9" s="1"/>
  <c r="AI365" i="9" s="1"/>
  <c r="AK365" i="9" s="1"/>
  <c r="AM365" i="9" s="1"/>
  <c r="AN365" i="9" s="1"/>
  <c r="E366" i="9"/>
  <c r="G366" i="9" s="1"/>
  <c r="I366" i="9" s="1"/>
  <c r="K366" i="9" s="1"/>
  <c r="M366" i="9" s="1"/>
  <c r="O366" i="9" s="1"/>
  <c r="Q366" i="9" s="1"/>
  <c r="S366" i="9" s="1"/>
  <c r="U366" i="9" s="1"/>
  <c r="W366" i="9" s="1"/>
  <c r="Y366" i="9" s="1"/>
  <c r="AA366" i="9" s="1"/>
  <c r="AC366" i="9" s="1"/>
  <c r="AE366" i="9" s="1"/>
  <c r="AG366" i="9" s="1"/>
  <c r="AI366" i="9" s="1"/>
  <c r="AK366" i="9" s="1"/>
  <c r="AM366" i="9" s="1"/>
  <c r="AN366" i="9" s="1"/>
  <c r="E367" i="9"/>
  <c r="G367" i="9" s="1"/>
  <c r="I367" i="9" s="1"/>
  <c r="K367" i="9" s="1"/>
  <c r="M367" i="9" s="1"/>
  <c r="O367" i="9" s="1"/>
  <c r="Q367" i="9" s="1"/>
  <c r="S367" i="9" s="1"/>
  <c r="U367" i="9" s="1"/>
  <c r="W367" i="9" s="1"/>
  <c r="Y367" i="9" s="1"/>
  <c r="AA367" i="9" s="1"/>
  <c r="AC367" i="9" s="1"/>
  <c r="AE367" i="9" s="1"/>
  <c r="AG367" i="9" s="1"/>
  <c r="AI367" i="9" s="1"/>
  <c r="AK367" i="9" s="1"/>
  <c r="AM367" i="9" s="1"/>
  <c r="AN367" i="9" s="1"/>
  <c r="E368" i="9"/>
  <c r="G368" i="9" s="1"/>
  <c r="I368" i="9" s="1"/>
  <c r="K368" i="9" s="1"/>
  <c r="M368" i="9" s="1"/>
  <c r="O368" i="9" s="1"/>
  <c r="Q368" i="9" s="1"/>
  <c r="S368" i="9" s="1"/>
  <c r="U368" i="9" s="1"/>
  <c r="W368" i="9" s="1"/>
  <c r="Y368" i="9" s="1"/>
  <c r="AA368" i="9" s="1"/>
  <c r="AC368" i="9" s="1"/>
  <c r="AE368" i="9" s="1"/>
  <c r="AG368" i="9" s="1"/>
  <c r="AI368" i="9" s="1"/>
  <c r="AK368" i="9" s="1"/>
  <c r="AM368" i="9" s="1"/>
  <c r="AN368" i="9" s="1"/>
  <c r="E369" i="9"/>
  <c r="G369" i="9" s="1"/>
  <c r="I369" i="9" s="1"/>
  <c r="K369" i="9" s="1"/>
  <c r="M369" i="9" s="1"/>
  <c r="O369" i="9" s="1"/>
  <c r="Q369" i="9" s="1"/>
  <c r="S369" i="9" s="1"/>
  <c r="U369" i="9" s="1"/>
  <c r="W369" i="9" s="1"/>
  <c r="Y369" i="9" s="1"/>
  <c r="AA369" i="9" s="1"/>
  <c r="AC369" i="9" s="1"/>
  <c r="AE369" i="9" s="1"/>
  <c r="AG369" i="9" s="1"/>
  <c r="AI369" i="9" s="1"/>
  <c r="AK369" i="9" s="1"/>
  <c r="AM369" i="9" s="1"/>
  <c r="AN369" i="9" s="1"/>
  <c r="E370" i="9"/>
  <c r="G370" i="9" s="1"/>
  <c r="I370" i="9" s="1"/>
  <c r="K370" i="9" s="1"/>
  <c r="M370" i="9" s="1"/>
  <c r="O370" i="9" s="1"/>
  <c r="Q370" i="9" s="1"/>
  <c r="S370" i="9" s="1"/>
  <c r="U370" i="9" s="1"/>
  <c r="W370" i="9" s="1"/>
  <c r="Y370" i="9" s="1"/>
  <c r="AA370" i="9" s="1"/>
  <c r="AC370" i="9" s="1"/>
  <c r="AE370" i="9" s="1"/>
  <c r="AG370" i="9" s="1"/>
  <c r="AI370" i="9" s="1"/>
  <c r="AK370" i="9" s="1"/>
  <c r="AM370" i="9" s="1"/>
  <c r="AN370" i="9" s="1"/>
  <c r="E371" i="9"/>
  <c r="G371" i="9" s="1"/>
  <c r="I371" i="9" s="1"/>
  <c r="K371" i="9" s="1"/>
  <c r="M371" i="9" s="1"/>
  <c r="O371" i="9" s="1"/>
  <c r="Q371" i="9" s="1"/>
  <c r="S371" i="9" s="1"/>
  <c r="U371" i="9" s="1"/>
  <c r="W371" i="9" s="1"/>
  <c r="Y371" i="9" s="1"/>
  <c r="AA371" i="9" s="1"/>
  <c r="AC371" i="9" s="1"/>
  <c r="AE371" i="9" s="1"/>
  <c r="AG371" i="9" s="1"/>
  <c r="AI371" i="9" s="1"/>
  <c r="AK371" i="9" s="1"/>
  <c r="AM371" i="9" s="1"/>
  <c r="AN371" i="9" s="1"/>
  <c r="E372" i="9"/>
  <c r="G372" i="9" s="1"/>
  <c r="I372" i="9" s="1"/>
  <c r="K372" i="9" s="1"/>
  <c r="M372" i="9" s="1"/>
  <c r="O372" i="9" s="1"/>
  <c r="Q372" i="9" s="1"/>
  <c r="S372" i="9" s="1"/>
  <c r="U372" i="9" s="1"/>
  <c r="W372" i="9" s="1"/>
  <c r="Y372" i="9" s="1"/>
  <c r="AA372" i="9" s="1"/>
  <c r="AC372" i="9" s="1"/>
  <c r="AE372" i="9" s="1"/>
  <c r="AG372" i="9" s="1"/>
  <c r="AI372" i="9" s="1"/>
  <c r="AK372" i="9" s="1"/>
  <c r="E373" i="9"/>
  <c r="G373" i="9" s="1"/>
  <c r="I373" i="9" s="1"/>
  <c r="K373" i="9" s="1"/>
  <c r="M373" i="9" s="1"/>
  <c r="O373" i="9" s="1"/>
  <c r="Q373" i="9" s="1"/>
  <c r="S373" i="9" s="1"/>
  <c r="U373" i="9" s="1"/>
  <c r="W373" i="9" s="1"/>
  <c r="Y373" i="9" s="1"/>
  <c r="AA373" i="9" s="1"/>
  <c r="AC373" i="9" s="1"/>
  <c r="AE373" i="9" s="1"/>
  <c r="AG373" i="9" s="1"/>
  <c r="AI373" i="9" s="1"/>
  <c r="AK373" i="9" s="1"/>
  <c r="E374" i="9"/>
  <c r="G374" i="9" s="1"/>
  <c r="I374" i="9" s="1"/>
  <c r="K374" i="9" s="1"/>
  <c r="M374" i="9" s="1"/>
  <c r="O374" i="9" s="1"/>
  <c r="Q374" i="9" s="1"/>
  <c r="S374" i="9" s="1"/>
  <c r="U374" i="9" s="1"/>
  <c r="W374" i="9" s="1"/>
  <c r="Y374" i="9" s="1"/>
  <c r="AA374" i="9" s="1"/>
  <c r="AC374" i="9" s="1"/>
  <c r="AE374" i="9" s="1"/>
  <c r="AG374" i="9" s="1"/>
  <c r="AI374" i="9" s="1"/>
  <c r="AK374" i="9" s="1"/>
  <c r="E375" i="9"/>
  <c r="G375" i="9" s="1"/>
  <c r="I375" i="9" s="1"/>
  <c r="K375" i="9" s="1"/>
  <c r="M375" i="9" s="1"/>
  <c r="O375" i="9" s="1"/>
  <c r="Q375" i="9" s="1"/>
  <c r="S375" i="9" s="1"/>
  <c r="U375" i="9" s="1"/>
  <c r="W375" i="9" s="1"/>
  <c r="Y375" i="9" s="1"/>
  <c r="AA375" i="9" s="1"/>
  <c r="AC375" i="9" s="1"/>
  <c r="AE375" i="9" s="1"/>
  <c r="AG375" i="9" s="1"/>
  <c r="AI375" i="9" s="1"/>
  <c r="AK375" i="9" s="1"/>
  <c r="AM375" i="9" s="1"/>
  <c r="AN375" i="9" s="1"/>
  <c r="E376" i="9"/>
  <c r="G376" i="9" s="1"/>
  <c r="I376" i="9" s="1"/>
  <c r="K376" i="9" s="1"/>
  <c r="M376" i="9" s="1"/>
  <c r="O376" i="9" s="1"/>
  <c r="Q376" i="9" s="1"/>
  <c r="S376" i="9" s="1"/>
  <c r="U376" i="9" s="1"/>
  <c r="W376" i="9" s="1"/>
  <c r="Y376" i="9" s="1"/>
  <c r="AA376" i="9" s="1"/>
  <c r="AC376" i="9" s="1"/>
  <c r="AE376" i="9" s="1"/>
  <c r="AG376" i="9" s="1"/>
  <c r="AI376" i="9" s="1"/>
  <c r="AK376" i="9" s="1"/>
  <c r="AM376" i="9" s="1"/>
  <c r="AN376" i="9" s="1"/>
  <c r="E377" i="9"/>
  <c r="G377" i="9" s="1"/>
  <c r="I377" i="9" s="1"/>
  <c r="K377" i="9" s="1"/>
  <c r="M377" i="9" s="1"/>
  <c r="O377" i="9" s="1"/>
  <c r="Q377" i="9" s="1"/>
  <c r="S377" i="9" s="1"/>
  <c r="U377" i="9" s="1"/>
  <c r="W377" i="9" s="1"/>
  <c r="Y377" i="9" s="1"/>
  <c r="AA377" i="9" s="1"/>
  <c r="AC377" i="9" s="1"/>
  <c r="AE377" i="9" s="1"/>
  <c r="AG377" i="9" s="1"/>
  <c r="AI377" i="9" s="1"/>
  <c r="AK377" i="9" s="1"/>
  <c r="AM377" i="9" s="1"/>
  <c r="AN377" i="9" s="1"/>
  <c r="E378" i="9"/>
  <c r="G378" i="9" s="1"/>
  <c r="I378" i="9" s="1"/>
  <c r="K378" i="9" s="1"/>
  <c r="M378" i="9" s="1"/>
  <c r="O378" i="9" s="1"/>
  <c r="Q378" i="9" s="1"/>
  <c r="S378" i="9" s="1"/>
  <c r="U378" i="9" s="1"/>
  <c r="W378" i="9" s="1"/>
  <c r="Y378" i="9" s="1"/>
  <c r="AA378" i="9" s="1"/>
  <c r="AC378" i="9" s="1"/>
  <c r="AE378" i="9" s="1"/>
  <c r="AG378" i="9" s="1"/>
  <c r="AI378" i="9" s="1"/>
  <c r="AK378" i="9" s="1"/>
  <c r="AM378" i="9" s="1"/>
  <c r="AN378" i="9" s="1"/>
  <c r="E379" i="9"/>
  <c r="G379" i="9" s="1"/>
  <c r="I379" i="9" s="1"/>
  <c r="K379" i="9" s="1"/>
  <c r="M379" i="9" s="1"/>
  <c r="O379" i="9" s="1"/>
  <c r="Q379" i="9" s="1"/>
  <c r="S379" i="9" s="1"/>
  <c r="U379" i="9" s="1"/>
  <c r="W379" i="9" s="1"/>
  <c r="Y379" i="9" s="1"/>
  <c r="AA379" i="9" s="1"/>
  <c r="AC379" i="9" s="1"/>
  <c r="AE379" i="9" s="1"/>
  <c r="AG379" i="9" s="1"/>
  <c r="AI379" i="9" s="1"/>
  <c r="AK379" i="9" s="1"/>
  <c r="AM379" i="9" s="1"/>
  <c r="AN379" i="9" s="1"/>
  <c r="E380" i="9"/>
  <c r="G380" i="9" s="1"/>
  <c r="I380" i="9" s="1"/>
  <c r="K380" i="9" s="1"/>
  <c r="M380" i="9" s="1"/>
  <c r="O380" i="9" s="1"/>
  <c r="Q380" i="9" s="1"/>
  <c r="S380" i="9" s="1"/>
  <c r="U380" i="9" s="1"/>
  <c r="W380" i="9" s="1"/>
  <c r="Y380" i="9" s="1"/>
  <c r="AA380" i="9" s="1"/>
  <c r="AC380" i="9" s="1"/>
  <c r="AE380" i="9" s="1"/>
  <c r="AG380" i="9" s="1"/>
  <c r="AI380" i="9" s="1"/>
  <c r="AK380" i="9" s="1"/>
  <c r="AM380" i="9" s="1"/>
  <c r="AN380" i="9" s="1"/>
  <c r="E381" i="9"/>
  <c r="G381" i="9" s="1"/>
  <c r="I381" i="9" s="1"/>
  <c r="K381" i="9" s="1"/>
  <c r="M381" i="9" s="1"/>
  <c r="O381" i="9" s="1"/>
  <c r="Q381" i="9" s="1"/>
  <c r="S381" i="9" s="1"/>
  <c r="U381" i="9" s="1"/>
  <c r="W381" i="9" s="1"/>
  <c r="Y381" i="9" s="1"/>
  <c r="AA381" i="9" s="1"/>
  <c r="AC381" i="9" s="1"/>
  <c r="AE381" i="9" s="1"/>
  <c r="AG381" i="9" s="1"/>
  <c r="AI381" i="9" s="1"/>
  <c r="AK381" i="9" s="1"/>
  <c r="E382" i="9"/>
  <c r="G382" i="9" s="1"/>
  <c r="I382" i="9" s="1"/>
  <c r="K382" i="9" s="1"/>
  <c r="M382" i="9" s="1"/>
  <c r="O382" i="9" s="1"/>
  <c r="Q382" i="9" s="1"/>
  <c r="S382" i="9" s="1"/>
  <c r="U382" i="9" s="1"/>
  <c r="W382" i="9" s="1"/>
  <c r="Y382" i="9" s="1"/>
  <c r="AA382" i="9" s="1"/>
  <c r="AC382" i="9" s="1"/>
  <c r="AE382" i="9" s="1"/>
  <c r="AG382" i="9" s="1"/>
  <c r="AI382" i="9" s="1"/>
  <c r="AK382" i="9" s="1"/>
  <c r="E383" i="9"/>
  <c r="G383" i="9" s="1"/>
  <c r="I383" i="9" s="1"/>
  <c r="K383" i="9" s="1"/>
  <c r="M383" i="9" s="1"/>
  <c r="O383" i="9" s="1"/>
  <c r="Q383" i="9" s="1"/>
  <c r="S383" i="9" s="1"/>
  <c r="U383" i="9" s="1"/>
  <c r="W383" i="9" s="1"/>
  <c r="Y383" i="9" s="1"/>
  <c r="AA383" i="9" s="1"/>
  <c r="AC383" i="9" s="1"/>
  <c r="AE383" i="9" s="1"/>
  <c r="AG383" i="9" s="1"/>
  <c r="AI383" i="9" s="1"/>
  <c r="AK383" i="9" s="1"/>
  <c r="E384" i="9"/>
  <c r="G384" i="9" s="1"/>
  <c r="I384" i="9" s="1"/>
  <c r="K384" i="9" s="1"/>
  <c r="M384" i="9" s="1"/>
  <c r="O384" i="9" s="1"/>
  <c r="Q384" i="9" s="1"/>
  <c r="S384" i="9" s="1"/>
  <c r="U384" i="9" s="1"/>
  <c r="W384" i="9" s="1"/>
  <c r="Y384" i="9" s="1"/>
  <c r="AA384" i="9" s="1"/>
  <c r="AC384" i="9" s="1"/>
  <c r="AE384" i="9" s="1"/>
  <c r="AG384" i="9" s="1"/>
  <c r="AI384" i="9" s="1"/>
  <c r="AK384" i="9" s="1"/>
  <c r="E385" i="9"/>
  <c r="G385" i="9" s="1"/>
  <c r="I385" i="9" s="1"/>
  <c r="K385" i="9" s="1"/>
  <c r="M385" i="9" s="1"/>
  <c r="O385" i="9" s="1"/>
  <c r="Q385" i="9" s="1"/>
  <c r="S385" i="9" s="1"/>
  <c r="U385" i="9" s="1"/>
  <c r="W385" i="9" s="1"/>
  <c r="Y385" i="9" s="1"/>
  <c r="AA385" i="9" s="1"/>
  <c r="AC385" i="9" s="1"/>
  <c r="AE385" i="9" s="1"/>
  <c r="AG385" i="9" s="1"/>
  <c r="AI385" i="9" s="1"/>
  <c r="AK385" i="9" s="1"/>
  <c r="E386" i="9"/>
  <c r="G386" i="9" s="1"/>
  <c r="I386" i="9" s="1"/>
  <c r="K386" i="9" s="1"/>
  <c r="M386" i="9" s="1"/>
  <c r="O386" i="9" s="1"/>
  <c r="Q386" i="9" s="1"/>
  <c r="S386" i="9" s="1"/>
  <c r="U386" i="9" s="1"/>
  <c r="W386" i="9" s="1"/>
  <c r="Y386" i="9" s="1"/>
  <c r="AA386" i="9" s="1"/>
  <c r="AC386" i="9" s="1"/>
  <c r="AE386" i="9" s="1"/>
  <c r="AG386" i="9" s="1"/>
  <c r="AI386" i="9" s="1"/>
  <c r="AK386" i="9" s="1"/>
  <c r="AM386" i="9" s="1"/>
  <c r="E387" i="9"/>
  <c r="G387" i="9" s="1"/>
  <c r="I387" i="9" s="1"/>
  <c r="K387" i="9" s="1"/>
  <c r="M387" i="9" s="1"/>
  <c r="O387" i="9" s="1"/>
  <c r="Q387" i="9" s="1"/>
  <c r="S387" i="9" s="1"/>
  <c r="U387" i="9" s="1"/>
  <c r="W387" i="9" s="1"/>
  <c r="Y387" i="9" s="1"/>
  <c r="AA387" i="9" s="1"/>
  <c r="AC387" i="9" s="1"/>
  <c r="AE387" i="9" s="1"/>
  <c r="AG387" i="9" s="1"/>
  <c r="AI387" i="9" s="1"/>
  <c r="AK387" i="9" s="1"/>
  <c r="AM387" i="9" s="1"/>
  <c r="AN387" i="9" s="1"/>
  <c r="E388" i="9"/>
  <c r="G388" i="9" s="1"/>
  <c r="I388" i="9" s="1"/>
  <c r="K388" i="9" s="1"/>
  <c r="M388" i="9" s="1"/>
  <c r="O388" i="9" s="1"/>
  <c r="Q388" i="9" s="1"/>
  <c r="S388" i="9" s="1"/>
  <c r="U388" i="9" s="1"/>
  <c r="W388" i="9" s="1"/>
  <c r="Y388" i="9" s="1"/>
  <c r="AA388" i="9" s="1"/>
  <c r="AC388" i="9" s="1"/>
  <c r="AE388" i="9" s="1"/>
  <c r="AG388" i="9" s="1"/>
  <c r="AI388" i="9" s="1"/>
  <c r="AK388" i="9" s="1"/>
  <c r="AM388" i="9" s="1"/>
  <c r="AN388" i="9" s="1"/>
  <c r="E389" i="9"/>
  <c r="G389" i="9" s="1"/>
  <c r="I389" i="9" s="1"/>
  <c r="K389" i="9" s="1"/>
  <c r="M389" i="9" s="1"/>
  <c r="O389" i="9" s="1"/>
  <c r="Q389" i="9" s="1"/>
  <c r="S389" i="9" s="1"/>
  <c r="U389" i="9" s="1"/>
  <c r="W389" i="9" s="1"/>
  <c r="Y389" i="9" s="1"/>
  <c r="AA389" i="9" s="1"/>
  <c r="AC389" i="9" s="1"/>
  <c r="AE389" i="9" s="1"/>
  <c r="AG389" i="9" s="1"/>
  <c r="AI389" i="9" s="1"/>
  <c r="AK389" i="9" s="1"/>
  <c r="AM389" i="9" s="1"/>
  <c r="AN389" i="9" s="1"/>
  <c r="E390" i="9"/>
  <c r="G390" i="9" s="1"/>
  <c r="I390" i="9" s="1"/>
  <c r="K390" i="9" s="1"/>
  <c r="M390" i="9" s="1"/>
  <c r="O390" i="9" s="1"/>
  <c r="Q390" i="9" s="1"/>
  <c r="S390" i="9" s="1"/>
  <c r="U390" i="9" s="1"/>
  <c r="W390" i="9" s="1"/>
  <c r="Y390" i="9" s="1"/>
  <c r="AA390" i="9" s="1"/>
  <c r="AC390" i="9" s="1"/>
  <c r="AE390" i="9" s="1"/>
  <c r="AG390" i="9" s="1"/>
  <c r="AI390" i="9" s="1"/>
  <c r="AK390" i="9" s="1"/>
  <c r="AM390" i="9" s="1"/>
  <c r="AN390" i="9" s="1"/>
  <c r="E391" i="9"/>
  <c r="G391" i="9" s="1"/>
  <c r="I391" i="9" s="1"/>
  <c r="K391" i="9" s="1"/>
  <c r="M391" i="9" s="1"/>
  <c r="O391" i="9" s="1"/>
  <c r="Q391" i="9" s="1"/>
  <c r="S391" i="9" s="1"/>
  <c r="U391" i="9" s="1"/>
  <c r="W391" i="9" s="1"/>
  <c r="Y391" i="9" s="1"/>
  <c r="AA391" i="9" s="1"/>
  <c r="AC391" i="9" s="1"/>
  <c r="AE391" i="9" s="1"/>
  <c r="AG391" i="9" s="1"/>
  <c r="AI391" i="9" s="1"/>
  <c r="AK391" i="9" s="1"/>
  <c r="AM391" i="9" s="1"/>
  <c r="AN391" i="9" s="1"/>
  <c r="E392" i="9"/>
  <c r="G392" i="9" s="1"/>
  <c r="I392" i="9" s="1"/>
  <c r="K392" i="9" s="1"/>
  <c r="M392" i="9" s="1"/>
  <c r="O392" i="9" s="1"/>
  <c r="Q392" i="9" s="1"/>
  <c r="S392" i="9" s="1"/>
  <c r="U392" i="9" s="1"/>
  <c r="W392" i="9" s="1"/>
  <c r="Y392" i="9" s="1"/>
  <c r="AA392" i="9" s="1"/>
  <c r="AC392" i="9" s="1"/>
  <c r="AE392" i="9" s="1"/>
  <c r="AG392" i="9" s="1"/>
  <c r="AI392" i="9" s="1"/>
  <c r="AK392" i="9" s="1"/>
  <c r="AM392" i="9" s="1"/>
  <c r="AN392" i="9" s="1"/>
  <c r="E393" i="9"/>
  <c r="G393" i="9" s="1"/>
  <c r="I393" i="9" s="1"/>
  <c r="K393" i="9" s="1"/>
  <c r="M393" i="9" s="1"/>
  <c r="O393" i="9" s="1"/>
  <c r="Q393" i="9" s="1"/>
  <c r="S393" i="9" s="1"/>
  <c r="U393" i="9" s="1"/>
  <c r="W393" i="9" s="1"/>
  <c r="Y393" i="9" s="1"/>
  <c r="AA393" i="9" s="1"/>
  <c r="AC393" i="9" s="1"/>
  <c r="AE393" i="9" s="1"/>
  <c r="AG393" i="9" s="1"/>
  <c r="AI393" i="9" s="1"/>
  <c r="AK393" i="9" s="1"/>
  <c r="AM393" i="9" s="1"/>
  <c r="AN393" i="9" s="1"/>
  <c r="E394" i="9"/>
  <c r="G394" i="9" s="1"/>
  <c r="I394" i="9" s="1"/>
  <c r="K394" i="9" s="1"/>
  <c r="M394" i="9" s="1"/>
  <c r="O394" i="9" s="1"/>
  <c r="Q394" i="9" s="1"/>
  <c r="S394" i="9" s="1"/>
  <c r="U394" i="9" s="1"/>
  <c r="W394" i="9" s="1"/>
  <c r="Y394" i="9" s="1"/>
  <c r="AA394" i="9" s="1"/>
  <c r="AC394" i="9" s="1"/>
  <c r="AE394" i="9" s="1"/>
  <c r="AG394" i="9" s="1"/>
  <c r="AI394" i="9" s="1"/>
  <c r="AK394" i="9" s="1"/>
  <c r="AM394" i="9" s="1"/>
  <c r="AN394" i="9" s="1"/>
  <c r="E395" i="9"/>
  <c r="G395" i="9" s="1"/>
  <c r="I395" i="9" s="1"/>
  <c r="K395" i="9" s="1"/>
  <c r="M395" i="9" s="1"/>
  <c r="O395" i="9" s="1"/>
  <c r="Q395" i="9" s="1"/>
  <c r="S395" i="9" s="1"/>
  <c r="U395" i="9" s="1"/>
  <c r="W395" i="9" s="1"/>
  <c r="Y395" i="9" s="1"/>
  <c r="AA395" i="9" s="1"/>
  <c r="AC395" i="9" s="1"/>
  <c r="AE395" i="9" s="1"/>
  <c r="AG395" i="9" s="1"/>
  <c r="AI395" i="9" s="1"/>
  <c r="AK395" i="9" s="1"/>
  <c r="AM395" i="9" s="1"/>
  <c r="AN395" i="9" s="1"/>
  <c r="E396" i="9"/>
  <c r="G396" i="9" s="1"/>
  <c r="I396" i="9" s="1"/>
  <c r="K396" i="9" s="1"/>
  <c r="M396" i="9" s="1"/>
  <c r="O396" i="9" s="1"/>
  <c r="Q396" i="9" s="1"/>
  <c r="S396" i="9" s="1"/>
  <c r="U396" i="9" s="1"/>
  <c r="W396" i="9" s="1"/>
  <c r="Y396" i="9" s="1"/>
  <c r="AA396" i="9" s="1"/>
  <c r="AC396" i="9" s="1"/>
  <c r="AE396" i="9" s="1"/>
  <c r="AG396" i="9" s="1"/>
  <c r="AI396" i="9" s="1"/>
  <c r="AK396" i="9" s="1"/>
  <c r="E397" i="9"/>
  <c r="G397" i="9" s="1"/>
  <c r="I397" i="9" s="1"/>
  <c r="K397" i="9" s="1"/>
  <c r="M397" i="9" s="1"/>
  <c r="O397" i="9" s="1"/>
  <c r="Q397" i="9" s="1"/>
  <c r="S397" i="9" s="1"/>
  <c r="U397" i="9" s="1"/>
  <c r="W397" i="9" s="1"/>
  <c r="Y397" i="9" s="1"/>
  <c r="AA397" i="9" s="1"/>
  <c r="AC397" i="9" s="1"/>
  <c r="AE397" i="9" s="1"/>
  <c r="AG397" i="9" s="1"/>
  <c r="AI397" i="9" s="1"/>
  <c r="AK397" i="9" s="1"/>
  <c r="E398" i="9"/>
  <c r="G398" i="9" s="1"/>
  <c r="I398" i="9" s="1"/>
  <c r="K398" i="9" s="1"/>
  <c r="M398" i="9" s="1"/>
  <c r="O398" i="9" s="1"/>
  <c r="Q398" i="9" s="1"/>
  <c r="S398" i="9" s="1"/>
  <c r="U398" i="9" s="1"/>
  <c r="W398" i="9" s="1"/>
  <c r="Y398" i="9" s="1"/>
  <c r="AA398" i="9" s="1"/>
  <c r="AC398" i="9" s="1"/>
  <c r="AE398" i="9" s="1"/>
  <c r="AG398" i="9" s="1"/>
  <c r="AI398" i="9" s="1"/>
  <c r="AK398" i="9" s="1"/>
  <c r="E399" i="9"/>
  <c r="G399" i="9" s="1"/>
  <c r="I399" i="9" s="1"/>
  <c r="K399" i="9" s="1"/>
  <c r="M399" i="9" s="1"/>
  <c r="O399" i="9" s="1"/>
  <c r="Q399" i="9" s="1"/>
  <c r="S399" i="9" s="1"/>
  <c r="U399" i="9" s="1"/>
  <c r="W399" i="9" s="1"/>
  <c r="Y399" i="9" s="1"/>
  <c r="AA399" i="9" s="1"/>
  <c r="AC399" i="9" s="1"/>
  <c r="AE399" i="9" s="1"/>
  <c r="AG399" i="9" s="1"/>
  <c r="AI399" i="9" s="1"/>
  <c r="AK399" i="9" s="1"/>
  <c r="AM399" i="9" s="1"/>
  <c r="AN399" i="9" s="1"/>
  <c r="E400" i="9"/>
  <c r="G400" i="9" s="1"/>
  <c r="I400" i="9" s="1"/>
  <c r="K400" i="9" s="1"/>
  <c r="M400" i="9" s="1"/>
  <c r="O400" i="9" s="1"/>
  <c r="Q400" i="9" s="1"/>
  <c r="S400" i="9" s="1"/>
  <c r="U400" i="9" s="1"/>
  <c r="W400" i="9" s="1"/>
  <c r="Y400" i="9" s="1"/>
  <c r="AA400" i="9" s="1"/>
  <c r="AC400" i="9" s="1"/>
  <c r="AE400" i="9" s="1"/>
  <c r="AG400" i="9" s="1"/>
  <c r="AI400" i="9" s="1"/>
  <c r="AK400" i="9" s="1"/>
  <c r="AM400" i="9" s="1"/>
  <c r="AN400" i="9" s="1"/>
  <c r="E401" i="9"/>
  <c r="G401" i="9" s="1"/>
  <c r="I401" i="9" s="1"/>
  <c r="K401" i="9" s="1"/>
  <c r="M401" i="9" s="1"/>
  <c r="O401" i="9" s="1"/>
  <c r="Q401" i="9" s="1"/>
  <c r="S401" i="9" s="1"/>
  <c r="U401" i="9" s="1"/>
  <c r="W401" i="9" s="1"/>
  <c r="Y401" i="9" s="1"/>
  <c r="AA401" i="9" s="1"/>
  <c r="AC401" i="9" s="1"/>
  <c r="AE401" i="9" s="1"/>
  <c r="AG401" i="9" s="1"/>
  <c r="AI401" i="9" s="1"/>
  <c r="AK401" i="9" s="1"/>
  <c r="AM401" i="9" s="1"/>
  <c r="AN401" i="9" s="1"/>
  <c r="E402" i="9"/>
  <c r="G402" i="9" s="1"/>
  <c r="I402" i="9" s="1"/>
  <c r="K402" i="9" s="1"/>
  <c r="M402" i="9" s="1"/>
  <c r="O402" i="9" s="1"/>
  <c r="Q402" i="9" s="1"/>
  <c r="S402" i="9" s="1"/>
  <c r="U402" i="9" s="1"/>
  <c r="W402" i="9" s="1"/>
  <c r="Y402" i="9" s="1"/>
  <c r="AA402" i="9" s="1"/>
  <c r="AC402" i="9" s="1"/>
  <c r="AE402" i="9" s="1"/>
  <c r="AG402" i="9" s="1"/>
  <c r="AI402" i="9" s="1"/>
  <c r="AK402" i="9" s="1"/>
  <c r="AM402" i="9" s="1"/>
  <c r="AN402" i="9" s="1"/>
  <c r="E403" i="9"/>
  <c r="G403" i="9" s="1"/>
  <c r="I403" i="9" s="1"/>
  <c r="K403" i="9" s="1"/>
  <c r="M403" i="9" s="1"/>
  <c r="O403" i="9" s="1"/>
  <c r="Q403" i="9" s="1"/>
  <c r="S403" i="9" s="1"/>
  <c r="U403" i="9" s="1"/>
  <c r="W403" i="9" s="1"/>
  <c r="Y403" i="9" s="1"/>
  <c r="AA403" i="9" s="1"/>
  <c r="AC403" i="9" s="1"/>
  <c r="AE403" i="9" s="1"/>
  <c r="AG403" i="9" s="1"/>
  <c r="AI403" i="9" s="1"/>
  <c r="AK403" i="9" s="1"/>
  <c r="AM403" i="9" s="1"/>
  <c r="AN403" i="9" s="1"/>
  <c r="E404" i="9"/>
  <c r="G404" i="9" s="1"/>
  <c r="I404" i="9" s="1"/>
  <c r="K404" i="9" s="1"/>
  <c r="M404" i="9" s="1"/>
  <c r="O404" i="9" s="1"/>
  <c r="Q404" i="9" s="1"/>
  <c r="S404" i="9" s="1"/>
  <c r="U404" i="9" s="1"/>
  <c r="W404" i="9" s="1"/>
  <c r="Y404" i="9" s="1"/>
  <c r="AA404" i="9" s="1"/>
  <c r="AC404" i="9" s="1"/>
  <c r="AE404" i="9" s="1"/>
  <c r="AG404" i="9" s="1"/>
  <c r="AI404" i="9" s="1"/>
  <c r="AK404" i="9" s="1"/>
  <c r="AM404" i="9" s="1"/>
  <c r="AN404" i="9" s="1"/>
  <c r="E405" i="9"/>
  <c r="G405" i="9" s="1"/>
  <c r="I405" i="9" s="1"/>
  <c r="K405" i="9" s="1"/>
  <c r="M405" i="9" s="1"/>
  <c r="O405" i="9" s="1"/>
  <c r="Q405" i="9" s="1"/>
  <c r="S405" i="9" s="1"/>
  <c r="U405" i="9" s="1"/>
  <c r="W405" i="9" s="1"/>
  <c r="Y405" i="9" s="1"/>
  <c r="AA405" i="9" s="1"/>
  <c r="AC405" i="9" s="1"/>
  <c r="AE405" i="9" s="1"/>
  <c r="AG405" i="9" s="1"/>
  <c r="AI405" i="9" s="1"/>
  <c r="AK405" i="9" s="1"/>
  <c r="AM405" i="9" s="1"/>
  <c r="AN405" i="9" s="1"/>
  <c r="E406" i="9"/>
  <c r="G406" i="9" s="1"/>
  <c r="I406" i="9" s="1"/>
  <c r="K406" i="9" s="1"/>
  <c r="M406" i="9" s="1"/>
  <c r="O406" i="9" s="1"/>
  <c r="Q406" i="9" s="1"/>
  <c r="S406" i="9" s="1"/>
  <c r="U406" i="9" s="1"/>
  <c r="W406" i="9" s="1"/>
  <c r="Y406" i="9" s="1"/>
  <c r="AA406" i="9" s="1"/>
  <c r="AC406" i="9" s="1"/>
  <c r="AE406" i="9" s="1"/>
  <c r="AG406" i="9" s="1"/>
  <c r="AI406" i="9" s="1"/>
  <c r="AK406" i="9" s="1"/>
  <c r="AM406" i="9" s="1"/>
  <c r="AN406" i="9" s="1"/>
  <c r="E407" i="9"/>
  <c r="G407" i="9" s="1"/>
  <c r="I407" i="9" s="1"/>
  <c r="K407" i="9" s="1"/>
  <c r="M407" i="9" s="1"/>
  <c r="O407" i="9" s="1"/>
  <c r="Q407" i="9" s="1"/>
  <c r="S407" i="9" s="1"/>
  <c r="U407" i="9" s="1"/>
  <c r="W407" i="9" s="1"/>
  <c r="Y407" i="9" s="1"/>
  <c r="AA407" i="9" s="1"/>
  <c r="AC407" i="9" s="1"/>
  <c r="AE407" i="9" s="1"/>
  <c r="AG407" i="9" s="1"/>
  <c r="AI407" i="9" s="1"/>
  <c r="AK407" i="9" s="1"/>
  <c r="E408" i="9"/>
  <c r="G408" i="9" s="1"/>
  <c r="I408" i="9" s="1"/>
  <c r="K408" i="9" s="1"/>
  <c r="M408" i="9" s="1"/>
  <c r="O408" i="9" s="1"/>
  <c r="Q408" i="9" s="1"/>
  <c r="S408" i="9" s="1"/>
  <c r="U408" i="9" s="1"/>
  <c r="W408" i="9" s="1"/>
  <c r="Y408" i="9" s="1"/>
  <c r="AA408" i="9" s="1"/>
  <c r="AC408" i="9" s="1"/>
  <c r="AE408" i="9" s="1"/>
  <c r="AG408" i="9" s="1"/>
  <c r="AI408" i="9" s="1"/>
  <c r="AK408" i="9" s="1"/>
  <c r="E409" i="9"/>
  <c r="G409" i="9" s="1"/>
  <c r="I409" i="9" s="1"/>
  <c r="K409" i="9" s="1"/>
  <c r="M409" i="9" s="1"/>
  <c r="O409" i="9" s="1"/>
  <c r="Q409" i="9" s="1"/>
  <c r="S409" i="9" s="1"/>
  <c r="U409" i="9" s="1"/>
  <c r="W409" i="9" s="1"/>
  <c r="Y409" i="9" s="1"/>
  <c r="AA409" i="9" s="1"/>
  <c r="AC409" i="9" s="1"/>
  <c r="AE409" i="9" s="1"/>
  <c r="AG409" i="9" s="1"/>
  <c r="AI409" i="9" s="1"/>
  <c r="AK409" i="9" s="1"/>
  <c r="E410" i="9"/>
  <c r="G410" i="9" s="1"/>
  <c r="I410" i="9" s="1"/>
  <c r="K410" i="9" s="1"/>
  <c r="M410" i="9" s="1"/>
  <c r="O410" i="9" s="1"/>
  <c r="Q410" i="9" s="1"/>
  <c r="S410" i="9" s="1"/>
  <c r="U410" i="9" s="1"/>
  <c r="W410" i="9" s="1"/>
  <c r="Y410" i="9" s="1"/>
  <c r="AA410" i="9" s="1"/>
  <c r="AC410" i="9" s="1"/>
  <c r="AE410" i="9" s="1"/>
  <c r="AG410" i="9" s="1"/>
  <c r="AI410" i="9" s="1"/>
  <c r="AK410" i="9" s="1"/>
  <c r="AM410" i="9" s="1"/>
  <c r="AN410" i="9" s="1"/>
  <c r="E411" i="9"/>
  <c r="G411" i="9" s="1"/>
  <c r="I411" i="9" s="1"/>
  <c r="K411" i="9" s="1"/>
  <c r="M411" i="9" s="1"/>
  <c r="O411" i="9" s="1"/>
  <c r="Q411" i="9" s="1"/>
  <c r="S411" i="9" s="1"/>
  <c r="U411" i="9" s="1"/>
  <c r="W411" i="9" s="1"/>
  <c r="Y411" i="9" s="1"/>
  <c r="AA411" i="9" s="1"/>
  <c r="AC411" i="9" s="1"/>
  <c r="AE411" i="9" s="1"/>
  <c r="AG411" i="9" s="1"/>
  <c r="AI411" i="9" s="1"/>
  <c r="AK411" i="9" s="1"/>
  <c r="AM411" i="9" s="1"/>
  <c r="AN411" i="9" s="1"/>
  <c r="E3" i="9"/>
  <c r="G3" i="9" s="1"/>
  <c r="I3" i="9" s="1"/>
  <c r="K3" i="9" s="1"/>
  <c r="M3" i="9" s="1"/>
  <c r="O3" i="9" s="1"/>
  <c r="Q3" i="9" s="1"/>
  <c r="S3" i="9" s="1"/>
  <c r="U3" i="9" s="1"/>
  <c r="W3" i="9" s="1"/>
  <c r="Y3" i="9" s="1"/>
  <c r="AA3" i="9" s="1"/>
  <c r="AC3" i="9" s="1"/>
  <c r="AE3" i="9" s="1"/>
  <c r="AG3" i="9" s="1"/>
  <c r="AI3" i="9" s="1"/>
  <c r="AK3" i="9" s="1"/>
  <c r="AM3" i="9" s="1"/>
  <c r="AB3" i="8"/>
  <c r="AB4" i="8"/>
  <c r="AB5" i="8"/>
  <c r="AB6" i="8"/>
  <c r="AB7" i="8"/>
  <c r="AB8" i="8"/>
  <c r="AB9" i="8"/>
  <c r="AB10" i="8"/>
  <c r="AB11" i="8"/>
  <c r="AB12" i="8"/>
  <c r="AB13" i="8"/>
  <c r="AB14" i="8"/>
  <c r="AB15" i="8"/>
  <c r="AB16" i="8"/>
  <c r="AB17" i="8"/>
  <c r="AB18" i="8"/>
  <c r="AB19" i="8"/>
  <c r="AB20" i="8"/>
  <c r="AB21" i="8"/>
  <c r="AB22" i="8"/>
  <c r="AB23" i="8"/>
  <c r="AB24" i="8"/>
  <c r="AB25" i="8"/>
  <c r="AB26" i="8"/>
  <c r="AB27" i="8"/>
  <c r="AB28" i="8"/>
  <c r="AB29" i="8"/>
  <c r="AB30" i="8"/>
  <c r="AB31" i="8"/>
  <c r="AB32" i="8"/>
  <c r="AB33" i="8"/>
  <c r="AB34" i="8"/>
  <c r="AB35" i="8"/>
  <c r="AB36" i="8"/>
  <c r="AB37" i="8"/>
  <c r="AB38" i="8"/>
  <c r="AB39" i="8"/>
  <c r="AB40" i="8"/>
  <c r="AB41" i="8"/>
  <c r="AB42" i="8"/>
  <c r="AB43" i="8"/>
  <c r="AB44" i="8"/>
  <c r="AB45" i="8"/>
  <c r="AB46" i="8"/>
  <c r="AB47" i="8"/>
  <c r="AB48" i="8"/>
  <c r="AB49" i="8"/>
  <c r="AB50" i="8"/>
  <c r="AB51" i="8"/>
  <c r="AB52" i="8"/>
  <c r="AB53" i="8"/>
  <c r="AB54" i="8"/>
  <c r="AB55" i="8"/>
  <c r="AB56" i="8"/>
  <c r="AB57" i="8"/>
  <c r="AB58" i="8"/>
  <c r="AB59" i="8"/>
  <c r="AB60" i="8"/>
  <c r="AB61" i="8"/>
  <c r="AB62" i="8"/>
  <c r="AB63" i="8"/>
  <c r="AB64" i="8"/>
  <c r="AB65" i="8"/>
  <c r="AB66" i="8"/>
  <c r="AB67" i="8"/>
  <c r="AB68" i="8"/>
  <c r="AB69" i="8"/>
  <c r="AB70" i="8"/>
  <c r="AB71" i="8"/>
  <c r="AB72" i="8"/>
  <c r="AB73" i="8"/>
  <c r="AB74" i="8"/>
  <c r="AB75" i="8"/>
  <c r="AB76" i="8"/>
  <c r="AB77" i="8"/>
  <c r="AB78" i="8"/>
  <c r="AB79" i="8"/>
  <c r="AB80" i="8"/>
  <c r="AB81" i="8"/>
  <c r="AB82" i="8"/>
  <c r="AB83" i="8"/>
  <c r="AB84" i="8"/>
  <c r="AB85" i="8"/>
  <c r="AB86" i="8"/>
  <c r="AB87" i="8"/>
  <c r="AB88" i="8"/>
  <c r="AB89" i="8"/>
  <c r="AB90" i="8"/>
  <c r="AB91" i="8"/>
  <c r="AB92" i="8"/>
  <c r="AB93" i="8"/>
  <c r="AB94" i="8"/>
  <c r="AB95" i="8"/>
  <c r="AB96" i="8"/>
  <c r="AB97" i="8"/>
  <c r="AB98" i="8"/>
  <c r="AB99" i="8"/>
  <c r="AB100" i="8"/>
  <c r="AB101" i="8"/>
  <c r="AB102" i="8"/>
  <c r="AB103" i="8"/>
  <c r="AB104" i="8"/>
  <c r="AB105" i="8"/>
  <c r="AB106" i="8"/>
  <c r="AB107" i="8"/>
  <c r="AB108" i="8"/>
  <c r="AB109" i="8"/>
  <c r="AB110" i="8"/>
  <c r="AB111" i="8"/>
  <c r="AB112" i="8"/>
  <c r="AB113" i="8"/>
  <c r="AB114" i="8"/>
  <c r="AB115" i="8"/>
  <c r="AB116" i="8"/>
  <c r="AB117" i="8"/>
  <c r="AB118" i="8"/>
  <c r="AB119" i="8"/>
  <c r="AB120" i="8"/>
  <c r="AB121" i="8"/>
  <c r="AB122" i="8"/>
  <c r="AB123" i="8"/>
  <c r="AB124" i="8"/>
  <c r="AB125" i="8"/>
  <c r="AB126" i="8"/>
  <c r="AB127" i="8"/>
  <c r="AB128" i="8"/>
  <c r="AB129" i="8"/>
  <c r="AB130" i="8"/>
  <c r="AB131" i="8"/>
  <c r="AB132" i="8"/>
  <c r="AB133" i="8"/>
  <c r="AB134" i="8"/>
  <c r="AB135" i="8"/>
  <c r="AB136" i="8"/>
  <c r="AB137" i="8"/>
  <c r="AB138" i="8"/>
  <c r="AB139" i="8"/>
  <c r="AB140" i="8"/>
  <c r="AB141" i="8"/>
  <c r="AB142" i="8"/>
  <c r="AB143" i="8"/>
  <c r="AB144" i="8"/>
  <c r="AB145" i="8"/>
  <c r="AB146" i="8"/>
  <c r="AB147" i="8"/>
  <c r="AB148" i="8"/>
  <c r="AB149" i="8"/>
  <c r="AB150" i="8"/>
  <c r="AB151" i="8"/>
  <c r="AB152" i="8"/>
  <c r="AB153" i="8"/>
  <c r="AB154" i="8"/>
  <c r="AB155" i="8"/>
  <c r="AB156" i="8"/>
  <c r="AB157" i="8"/>
  <c r="AB158" i="8"/>
  <c r="AB159" i="8"/>
  <c r="AB160" i="8"/>
  <c r="AB161" i="8"/>
  <c r="AB162" i="8"/>
  <c r="AB163" i="8"/>
  <c r="AB164" i="8"/>
  <c r="AB165" i="8"/>
  <c r="AB166" i="8"/>
  <c r="AB167" i="8"/>
  <c r="AB168" i="8"/>
  <c r="AB169" i="8"/>
  <c r="AB170" i="8"/>
  <c r="AB171" i="8"/>
  <c r="AB172" i="8"/>
  <c r="AB173" i="8"/>
  <c r="AB174" i="8"/>
  <c r="AB175" i="8"/>
  <c r="AB176" i="8"/>
  <c r="AB177" i="8"/>
  <c r="AB178" i="8"/>
  <c r="AB179" i="8"/>
  <c r="AB180" i="8"/>
  <c r="AB181" i="8"/>
  <c r="AB182" i="8"/>
  <c r="AB183" i="8"/>
  <c r="AB184" i="8"/>
  <c r="AB185" i="8"/>
  <c r="AB186" i="8"/>
  <c r="AB187" i="8"/>
  <c r="AB188" i="8"/>
  <c r="AB189" i="8"/>
  <c r="AB190" i="8"/>
  <c r="AB191" i="8"/>
  <c r="AB192" i="8"/>
  <c r="AB193" i="8"/>
  <c r="AB194" i="8"/>
  <c r="AB195" i="8"/>
  <c r="AB196" i="8"/>
  <c r="AB197" i="8"/>
  <c r="AB198" i="8"/>
  <c r="AB199" i="8"/>
  <c r="AB200" i="8"/>
  <c r="AB201" i="8"/>
  <c r="AB202" i="8"/>
  <c r="AB203" i="8"/>
  <c r="AB204" i="8"/>
  <c r="AB205" i="8"/>
  <c r="AB206" i="8"/>
  <c r="AB207" i="8"/>
  <c r="AB208" i="8"/>
  <c r="AB209" i="8"/>
  <c r="AB210" i="8"/>
  <c r="AB211" i="8"/>
  <c r="AB212" i="8"/>
  <c r="AB213" i="8"/>
  <c r="AB214" i="8"/>
  <c r="AB215" i="8"/>
  <c r="AB216" i="8"/>
  <c r="AB217" i="8"/>
  <c r="AB218" i="8"/>
  <c r="AB219" i="8"/>
  <c r="AB220" i="8"/>
  <c r="AB221" i="8"/>
  <c r="AB222" i="8"/>
  <c r="AB223" i="8"/>
  <c r="AB224" i="8"/>
  <c r="AB225" i="8"/>
  <c r="AB226" i="8"/>
  <c r="AB227" i="8"/>
  <c r="AB228" i="8"/>
  <c r="AB229" i="8"/>
  <c r="AB230" i="8"/>
  <c r="AB231" i="8"/>
  <c r="AB232" i="8"/>
  <c r="AB233" i="8"/>
  <c r="AB234" i="8"/>
  <c r="AB235" i="8"/>
  <c r="AB236" i="8"/>
  <c r="AB237" i="8"/>
  <c r="AB238" i="8"/>
  <c r="AB239" i="8"/>
  <c r="AB240" i="8"/>
  <c r="AB241" i="8"/>
  <c r="AB242" i="8"/>
  <c r="AB243" i="8"/>
  <c r="AB244" i="8"/>
  <c r="AB245" i="8"/>
  <c r="AB246" i="8"/>
  <c r="AB247" i="8"/>
  <c r="AB248" i="8"/>
  <c r="AB249" i="8"/>
  <c r="AB250" i="8"/>
  <c r="AB251" i="8"/>
  <c r="AB252" i="8"/>
  <c r="AB253" i="8"/>
  <c r="AB254" i="8"/>
  <c r="AB255" i="8"/>
  <c r="AB256" i="8"/>
  <c r="AB257" i="8"/>
  <c r="AB258" i="8"/>
  <c r="AB259" i="8"/>
  <c r="AB260" i="8"/>
  <c r="AB261" i="8"/>
  <c r="AB262" i="8"/>
  <c r="AB263" i="8"/>
  <c r="AB264" i="8"/>
  <c r="AB265" i="8"/>
  <c r="AB266" i="8"/>
  <c r="AB267" i="8"/>
  <c r="AB268" i="8"/>
  <c r="AB269" i="8"/>
  <c r="AB270" i="8"/>
  <c r="AB271" i="8"/>
  <c r="AB272" i="8"/>
  <c r="AB273" i="8"/>
  <c r="AB274" i="8"/>
  <c r="AB275" i="8"/>
  <c r="AB276" i="8"/>
  <c r="AB277" i="8"/>
  <c r="AB278" i="8"/>
  <c r="AB279" i="8"/>
  <c r="AB280" i="8"/>
  <c r="AB281" i="8"/>
  <c r="AB282" i="8"/>
  <c r="AB283" i="8"/>
  <c r="AB284" i="8"/>
  <c r="AB285" i="8"/>
  <c r="AB286" i="8"/>
  <c r="AB287" i="8"/>
  <c r="AB288" i="8"/>
  <c r="AB289" i="8"/>
  <c r="AB290" i="8"/>
  <c r="AB291" i="8"/>
  <c r="AB292" i="8"/>
  <c r="AB293" i="8"/>
  <c r="AB294" i="8"/>
  <c r="AB295" i="8"/>
  <c r="AB296" i="8"/>
  <c r="AB297" i="8"/>
  <c r="AB298" i="8"/>
  <c r="AB299" i="8"/>
  <c r="AB300" i="8"/>
  <c r="AB301" i="8"/>
  <c r="AB302" i="8"/>
  <c r="AB303" i="8"/>
  <c r="AB304" i="8"/>
  <c r="AB305" i="8"/>
  <c r="AB306" i="8"/>
  <c r="AB307" i="8"/>
  <c r="AB308" i="8"/>
  <c r="AB309" i="8"/>
  <c r="AB310" i="8"/>
  <c r="AB311" i="8"/>
  <c r="AB312" i="8"/>
  <c r="AB313" i="8"/>
  <c r="AB314" i="8"/>
  <c r="AB315" i="8"/>
  <c r="AB316" i="8"/>
  <c r="AB317" i="8"/>
  <c r="AB318" i="8"/>
  <c r="AB319" i="8"/>
  <c r="AB320" i="8"/>
  <c r="AB321" i="8"/>
  <c r="AB322" i="8"/>
  <c r="AB323" i="8"/>
  <c r="AB324" i="8"/>
  <c r="AB325" i="8"/>
  <c r="AB326" i="8"/>
  <c r="AB327" i="8"/>
  <c r="AB328" i="8"/>
  <c r="AB329" i="8"/>
  <c r="AB330" i="8"/>
  <c r="AB331" i="8"/>
  <c r="AB332" i="8"/>
  <c r="AB333" i="8"/>
  <c r="AB334" i="8"/>
  <c r="AB335" i="8"/>
  <c r="AB336" i="8"/>
  <c r="AB337" i="8"/>
  <c r="AB338" i="8"/>
  <c r="AB339" i="8"/>
  <c r="AB340" i="8"/>
  <c r="AB341" i="8"/>
  <c r="AB342" i="8"/>
  <c r="AB343" i="8"/>
  <c r="AB344" i="8"/>
  <c r="AB345" i="8"/>
  <c r="AB346" i="8"/>
  <c r="AB347" i="8"/>
  <c r="AB348" i="8"/>
  <c r="AB349" i="8"/>
  <c r="AB350" i="8"/>
  <c r="AB351" i="8"/>
  <c r="AB352" i="8"/>
  <c r="AB353" i="8"/>
  <c r="AB354" i="8"/>
  <c r="AB355" i="8"/>
  <c r="AB356" i="8"/>
  <c r="AB357" i="8"/>
  <c r="AB358" i="8"/>
  <c r="AB359" i="8"/>
  <c r="AB360" i="8"/>
  <c r="AB361" i="8"/>
  <c r="AB362" i="8"/>
  <c r="AB363" i="8"/>
  <c r="AB364" i="8"/>
  <c r="AB365" i="8"/>
  <c r="AB366" i="8"/>
  <c r="AB367" i="8"/>
  <c r="AB368" i="8"/>
  <c r="AB369" i="8"/>
  <c r="AB370" i="8"/>
  <c r="AB371" i="8"/>
  <c r="AB372" i="8"/>
  <c r="AB373" i="8"/>
  <c r="AB374" i="8"/>
  <c r="AB375" i="8"/>
  <c r="AB376" i="8"/>
  <c r="AB377" i="8"/>
  <c r="AB378" i="8"/>
  <c r="AB379" i="8"/>
  <c r="AB380" i="8"/>
  <c r="AB381" i="8"/>
  <c r="AB382" i="8"/>
  <c r="AB383" i="8"/>
  <c r="AB384" i="8"/>
  <c r="AB385" i="8"/>
  <c r="AB386" i="8"/>
  <c r="AB387" i="8"/>
  <c r="AB388" i="8"/>
  <c r="AB389" i="8"/>
  <c r="AB390" i="8"/>
  <c r="AB391" i="8"/>
  <c r="AB392" i="8"/>
  <c r="AB393" i="8"/>
  <c r="AB394" i="8"/>
  <c r="AB395" i="8"/>
  <c r="AB396" i="8"/>
  <c r="AB397" i="8"/>
  <c r="AB398" i="8"/>
  <c r="AB399" i="8"/>
  <c r="AB400" i="8"/>
  <c r="AB401" i="8"/>
  <c r="AB402" i="8"/>
  <c r="AB403" i="8"/>
  <c r="AB404" i="8"/>
  <c r="AB405" i="8"/>
  <c r="AB406" i="8"/>
  <c r="AB407" i="8"/>
  <c r="AB408" i="8"/>
  <c r="AB409" i="8"/>
  <c r="AB410" i="8"/>
  <c r="Z3" i="8"/>
  <c r="Z4" i="8"/>
  <c r="Z5" i="8"/>
  <c r="Z6" i="8"/>
  <c r="Z7" i="8"/>
  <c r="Z8" i="8"/>
  <c r="Z9" i="8"/>
  <c r="Z10" i="8"/>
  <c r="Z11" i="8"/>
  <c r="Z12" i="8"/>
  <c r="Z13" i="8"/>
  <c r="Z14" i="8"/>
  <c r="Z15" i="8"/>
  <c r="Z16" i="8"/>
  <c r="Z17" i="8"/>
  <c r="Z18" i="8"/>
  <c r="Z19" i="8"/>
  <c r="Z20" i="8"/>
  <c r="Z21" i="8"/>
  <c r="Z22" i="8"/>
  <c r="Z23" i="8"/>
  <c r="Z24" i="8"/>
  <c r="Z25" i="8"/>
  <c r="Z26" i="8"/>
  <c r="Z27" i="8"/>
  <c r="Z28" i="8"/>
  <c r="Z29" i="8"/>
  <c r="Z30" i="8"/>
  <c r="Z31" i="8"/>
  <c r="Z32" i="8"/>
  <c r="Z33" i="8"/>
  <c r="Z34" i="8"/>
  <c r="Z35" i="8"/>
  <c r="Z36" i="8"/>
  <c r="Z37" i="8"/>
  <c r="Z38" i="8"/>
  <c r="Z39" i="8"/>
  <c r="Z40" i="8"/>
  <c r="Z41" i="8"/>
  <c r="Z42" i="8"/>
  <c r="Z43" i="8"/>
  <c r="Z44" i="8"/>
  <c r="Z45" i="8"/>
  <c r="Z46" i="8"/>
  <c r="Z47" i="8"/>
  <c r="Z48" i="8"/>
  <c r="Z49" i="8"/>
  <c r="Z50" i="8"/>
  <c r="Z51" i="8"/>
  <c r="Z52" i="8"/>
  <c r="Z53" i="8"/>
  <c r="Z54" i="8"/>
  <c r="Z55" i="8"/>
  <c r="Z56" i="8"/>
  <c r="Z57" i="8"/>
  <c r="Z58" i="8"/>
  <c r="Z59" i="8"/>
  <c r="Z60" i="8"/>
  <c r="Z61" i="8"/>
  <c r="Z62" i="8"/>
  <c r="Z63" i="8"/>
  <c r="Z64" i="8"/>
  <c r="Z65" i="8"/>
  <c r="Z66" i="8"/>
  <c r="Z67" i="8"/>
  <c r="Z68" i="8"/>
  <c r="Z69" i="8"/>
  <c r="Z70" i="8"/>
  <c r="Z71" i="8"/>
  <c r="Z72" i="8"/>
  <c r="Z73" i="8"/>
  <c r="Z74" i="8"/>
  <c r="Z75" i="8"/>
  <c r="Z76" i="8"/>
  <c r="Z77" i="8"/>
  <c r="Z78" i="8"/>
  <c r="Z79" i="8"/>
  <c r="Z80" i="8"/>
  <c r="Z81" i="8"/>
  <c r="Z82" i="8"/>
  <c r="Z83" i="8"/>
  <c r="Z84" i="8"/>
  <c r="Z85" i="8"/>
  <c r="Z86" i="8"/>
  <c r="Z87" i="8"/>
  <c r="Z88" i="8"/>
  <c r="Z89" i="8"/>
  <c r="Z90" i="8"/>
  <c r="Z91" i="8"/>
  <c r="Z92" i="8"/>
  <c r="Z93" i="8"/>
  <c r="Z94" i="8"/>
  <c r="Z95" i="8"/>
  <c r="Z96" i="8"/>
  <c r="Z97" i="8"/>
  <c r="Z98" i="8"/>
  <c r="Z99" i="8"/>
  <c r="Z100" i="8"/>
  <c r="Z101" i="8"/>
  <c r="Z102" i="8"/>
  <c r="Z103" i="8"/>
  <c r="Z104" i="8"/>
  <c r="Z105" i="8"/>
  <c r="Z106" i="8"/>
  <c r="Z107" i="8"/>
  <c r="Z108" i="8"/>
  <c r="Z109" i="8"/>
  <c r="Z110" i="8"/>
  <c r="Z111" i="8"/>
  <c r="Z112" i="8"/>
  <c r="Z113" i="8"/>
  <c r="Z114" i="8"/>
  <c r="Z115" i="8"/>
  <c r="Z116" i="8"/>
  <c r="Z117" i="8"/>
  <c r="Z118" i="8"/>
  <c r="Z119" i="8"/>
  <c r="Z120" i="8"/>
  <c r="Z121" i="8"/>
  <c r="Z122" i="8"/>
  <c r="Z123" i="8"/>
  <c r="Z124" i="8"/>
  <c r="Z125" i="8"/>
  <c r="Z126" i="8"/>
  <c r="Z127" i="8"/>
  <c r="Z128" i="8"/>
  <c r="Z129" i="8"/>
  <c r="Z130" i="8"/>
  <c r="Z131" i="8"/>
  <c r="Z132" i="8"/>
  <c r="Z133" i="8"/>
  <c r="Z134" i="8"/>
  <c r="Z135" i="8"/>
  <c r="Z136" i="8"/>
  <c r="Z137" i="8"/>
  <c r="Z138" i="8"/>
  <c r="Z139" i="8"/>
  <c r="Z140" i="8"/>
  <c r="Z141" i="8"/>
  <c r="Z142" i="8"/>
  <c r="Z143" i="8"/>
  <c r="Z144" i="8"/>
  <c r="Z145" i="8"/>
  <c r="Z146" i="8"/>
  <c r="Z147" i="8"/>
  <c r="Z148" i="8"/>
  <c r="Z149" i="8"/>
  <c r="Z150" i="8"/>
  <c r="Z151" i="8"/>
  <c r="Z152" i="8"/>
  <c r="Z153" i="8"/>
  <c r="Z154" i="8"/>
  <c r="Z155" i="8"/>
  <c r="Z156" i="8"/>
  <c r="Z157" i="8"/>
  <c r="Z158" i="8"/>
  <c r="Z159" i="8"/>
  <c r="Z160" i="8"/>
  <c r="Z161" i="8"/>
  <c r="Z162" i="8"/>
  <c r="Z163" i="8"/>
  <c r="Z164" i="8"/>
  <c r="Z165" i="8"/>
  <c r="Z166" i="8"/>
  <c r="Z167" i="8"/>
  <c r="Z168" i="8"/>
  <c r="Z169" i="8"/>
  <c r="Z170" i="8"/>
  <c r="Z171" i="8"/>
  <c r="Z172" i="8"/>
  <c r="Z173" i="8"/>
  <c r="Z174" i="8"/>
  <c r="Z175" i="8"/>
  <c r="Z176" i="8"/>
  <c r="Z177" i="8"/>
  <c r="Z178" i="8"/>
  <c r="Z179" i="8"/>
  <c r="Z180" i="8"/>
  <c r="Z181" i="8"/>
  <c r="Z182" i="8"/>
  <c r="Z183" i="8"/>
  <c r="Z184" i="8"/>
  <c r="Z185" i="8"/>
  <c r="Z186" i="8"/>
  <c r="Z187" i="8"/>
  <c r="Z188" i="8"/>
  <c r="Z189" i="8"/>
  <c r="Z190" i="8"/>
  <c r="Z191" i="8"/>
  <c r="Z192" i="8"/>
  <c r="Z193" i="8"/>
  <c r="Z194" i="8"/>
  <c r="Z195" i="8"/>
  <c r="Z196" i="8"/>
  <c r="Z197" i="8"/>
  <c r="Z198" i="8"/>
  <c r="Z199" i="8"/>
  <c r="Z200" i="8"/>
  <c r="Z201" i="8"/>
  <c r="Z202" i="8"/>
  <c r="Z203" i="8"/>
  <c r="Z204" i="8"/>
  <c r="Z205" i="8"/>
  <c r="Z206" i="8"/>
  <c r="Z207" i="8"/>
  <c r="Z208" i="8"/>
  <c r="Z209" i="8"/>
  <c r="Z210" i="8"/>
  <c r="Z211" i="8"/>
  <c r="Z212" i="8"/>
  <c r="Z213" i="8"/>
  <c r="Z214" i="8"/>
  <c r="Z215" i="8"/>
  <c r="Z216" i="8"/>
  <c r="Z217" i="8"/>
  <c r="Z218" i="8"/>
  <c r="Z219" i="8"/>
  <c r="Z220" i="8"/>
  <c r="Z221" i="8"/>
  <c r="Z222" i="8"/>
  <c r="Z223" i="8"/>
  <c r="Z224" i="8"/>
  <c r="Z225" i="8"/>
  <c r="Z226" i="8"/>
  <c r="Z227" i="8"/>
  <c r="Z228" i="8"/>
  <c r="Z229" i="8"/>
  <c r="Z230" i="8"/>
  <c r="Z231" i="8"/>
  <c r="Z232" i="8"/>
  <c r="Z233" i="8"/>
  <c r="Z234" i="8"/>
  <c r="Z235" i="8"/>
  <c r="Z236" i="8"/>
  <c r="Z237" i="8"/>
  <c r="Z238" i="8"/>
  <c r="Z239" i="8"/>
  <c r="Z240" i="8"/>
  <c r="Z241" i="8"/>
  <c r="Z242" i="8"/>
  <c r="Z243" i="8"/>
  <c r="Z244" i="8"/>
  <c r="Z245" i="8"/>
  <c r="Z246" i="8"/>
  <c r="Z247" i="8"/>
  <c r="Z248" i="8"/>
  <c r="Z249" i="8"/>
  <c r="Z250" i="8"/>
  <c r="Z251" i="8"/>
  <c r="Z252" i="8"/>
  <c r="Z253" i="8"/>
  <c r="Z254" i="8"/>
  <c r="Z255" i="8"/>
  <c r="Z256" i="8"/>
  <c r="Z257" i="8"/>
  <c r="Z258" i="8"/>
  <c r="Z259" i="8"/>
  <c r="Z260" i="8"/>
  <c r="Z261" i="8"/>
  <c r="Z262" i="8"/>
  <c r="Z263" i="8"/>
  <c r="Z264" i="8"/>
  <c r="Z265" i="8"/>
  <c r="Z266" i="8"/>
  <c r="Z267" i="8"/>
  <c r="Z268" i="8"/>
  <c r="Z269" i="8"/>
  <c r="Z270" i="8"/>
  <c r="Z271" i="8"/>
  <c r="Z272" i="8"/>
  <c r="Z273" i="8"/>
  <c r="Z274" i="8"/>
  <c r="Z275" i="8"/>
  <c r="Z276" i="8"/>
  <c r="Z277" i="8"/>
  <c r="Z278" i="8"/>
  <c r="Z279" i="8"/>
  <c r="Z280" i="8"/>
  <c r="Z281" i="8"/>
  <c r="Z282" i="8"/>
  <c r="Z283" i="8"/>
  <c r="Z284" i="8"/>
  <c r="Z285" i="8"/>
  <c r="Z286" i="8"/>
  <c r="Z287" i="8"/>
  <c r="Z288" i="8"/>
  <c r="Z289" i="8"/>
  <c r="Z290" i="8"/>
  <c r="Z291" i="8"/>
  <c r="Z292" i="8"/>
  <c r="Z293" i="8"/>
  <c r="Z294" i="8"/>
  <c r="Z295" i="8"/>
  <c r="Z296" i="8"/>
  <c r="Z297" i="8"/>
  <c r="Z298" i="8"/>
  <c r="Z299" i="8"/>
  <c r="Z300" i="8"/>
  <c r="Z301" i="8"/>
  <c r="Z302" i="8"/>
  <c r="Z303" i="8"/>
  <c r="Z304" i="8"/>
  <c r="Z305" i="8"/>
  <c r="Z306" i="8"/>
  <c r="Z307" i="8"/>
  <c r="Z308" i="8"/>
  <c r="Z309" i="8"/>
  <c r="Z310" i="8"/>
  <c r="Z311" i="8"/>
  <c r="Z312" i="8"/>
  <c r="Z313" i="8"/>
  <c r="Z314" i="8"/>
  <c r="Z315" i="8"/>
  <c r="Z316" i="8"/>
  <c r="Z317" i="8"/>
  <c r="Z318" i="8"/>
  <c r="Z319" i="8"/>
  <c r="Z320" i="8"/>
  <c r="Z321" i="8"/>
  <c r="Z322" i="8"/>
  <c r="Z323" i="8"/>
  <c r="Z324" i="8"/>
  <c r="Z325" i="8"/>
  <c r="Z326" i="8"/>
  <c r="Z327" i="8"/>
  <c r="Z328" i="8"/>
  <c r="Z329" i="8"/>
  <c r="Z330" i="8"/>
  <c r="Z331" i="8"/>
  <c r="Z332" i="8"/>
  <c r="Z333" i="8"/>
  <c r="Z334" i="8"/>
  <c r="Z335" i="8"/>
  <c r="Z336" i="8"/>
  <c r="Z337" i="8"/>
  <c r="Z338" i="8"/>
  <c r="Z339" i="8"/>
  <c r="Z340" i="8"/>
  <c r="Z341" i="8"/>
  <c r="Z342" i="8"/>
  <c r="Z343" i="8"/>
  <c r="Z344" i="8"/>
  <c r="Z345" i="8"/>
  <c r="Z346" i="8"/>
  <c r="Z347" i="8"/>
  <c r="Z348" i="8"/>
  <c r="Z349" i="8"/>
  <c r="Z350" i="8"/>
  <c r="Z351" i="8"/>
  <c r="Z352" i="8"/>
  <c r="Z353" i="8"/>
  <c r="Z354" i="8"/>
  <c r="Z355" i="8"/>
  <c r="Z356" i="8"/>
  <c r="Z357" i="8"/>
  <c r="Z358" i="8"/>
  <c r="Z359" i="8"/>
  <c r="Z360" i="8"/>
  <c r="Z361" i="8"/>
  <c r="Z362" i="8"/>
  <c r="Z363" i="8"/>
  <c r="Z364" i="8"/>
  <c r="Z365" i="8"/>
  <c r="Z366" i="8"/>
  <c r="Z367" i="8"/>
  <c r="Z368" i="8"/>
  <c r="Z369" i="8"/>
  <c r="Z370" i="8"/>
  <c r="Z371" i="8"/>
  <c r="Z372" i="8"/>
  <c r="Z373" i="8"/>
  <c r="Z374" i="8"/>
  <c r="Z375" i="8"/>
  <c r="Z376" i="8"/>
  <c r="Z377" i="8"/>
  <c r="Z378" i="8"/>
  <c r="Z379" i="8"/>
  <c r="Z380" i="8"/>
  <c r="Z381" i="8"/>
  <c r="Z382" i="8"/>
  <c r="Z383" i="8"/>
  <c r="Z384" i="8"/>
  <c r="Z385" i="8"/>
  <c r="Z386" i="8"/>
  <c r="Z387" i="8"/>
  <c r="Z388" i="8"/>
  <c r="Z389" i="8"/>
  <c r="Z390" i="8"/>
  <c r="Z391" i="8"/>
  <c r="Z392" i="8"/>
  <c r="Z393" i="8"/>
  <c r="Z394" i="8"/>
  <c r="Z395" i="8"/>
  <c r="Z396" i="8"/>
  <c r="Z397" i="8"/>
  <c r="Z398" i="8"/>
  <c r="Z399" i="8"/>
  <c r="Z400" i="8"/>
  <c r="Z401" i="8"/>
  <c r="Z402" i="8"/>
  <c r="Z403" i="8"/>
  <c r="Z404" i="8"/>
  <c r="Z405" i="8"/>
  <c r="Z406" i="8"/>
  <c r="Z407" i="8"/>
  <c r="Z408" i="8"/>
  <c r="Z409" i="8"/>
  <c r="Z410" i="8"/>
  <c r="U4" i="8"/>
  <c r="U5" i="8"/>
  <c r="U7" i="8"/>
  <c r="U9" i="8"/>
  <c r="U6" i="8"/>
  <c r="U10" i="8"/>
  <c r="U12" i="8"/>
  <c r="U8" i="8"/>
  <c r="U11" i="8"/>
  <c r="U13" i="8"/>
  <c r="U16" i="8"/>
  <c r="U14" i="8"/>
  <c r="U27" i="8"/>
  <c r="U20" i="8"/>
  <c r="U24" i="8"/>
  <c r="U39" i="8"/>
  <c r="U18" i="8"/>
  <c r="U26" i="8"/>
  <c r="U21" i="8"/>
  <c r="U22" i="8"/>
  <c r="U3" i="8"/>
  <c r="X7" i="8" s="1"/>
  <c r="U25" i="8"/>
  <c r="X18" i="8" s="1"/>
  <c r="U19" i="8"/>
  <c r="U62" i="8"/>
  <c r="U49" i="8"/>
  <c r="U23" i="8"/>
  <c r="U15" i="8"/>
  <c r="U53" i="8"/>
  <c r="U28" i="8"/>
  <c r="U82" i="8"/>
  <c r="U17" i="8"/>
  <c r="U43" i="8"/>
  <c r="U33" i="8"/>
  <c r="U36" i="8"/>
  <c r="U48" i="8"/>
  <c r="U35" i="8"/>
  <c r="U34" i="8"/>
  <c r="U45" i="8"/>
  <c r="U272" i="8"/>
  <c r="U29" i="8"/>
  <c r="U38" i="8"/>
  <c r="U31" i="8"/>
  <c r="U32" i="8"/>
  <c r="U84" i="8"/>
  <c r="U273" i="8"/>
  <c r="U30" i="8"/>
  <c r="X295" i="8" s="1"/>
  <c r="U274" i="8"/>
  <c r="U59" i="8"/>
  <c r="U51" i="8"/>
  <c r="U60" i="8"/>
  <c r="U88" i="8"/>
  <c r="U50" i="8"/>
  <c r="U111" i="8"/>
  <c r="U56" i="8"/>
  <c r="U96" i="8"/>
  <c r="U58" i="8"/>
  <c r="X58" i="8" s="1"/>
  <c r="U47" i="8"/>
  <c r="U99" i="8"/>
  <c r="U66" i="8"/>
  <c r="U130" i="8"/>
  <c r="U90" i="8"/>
  <c r="U54" i="8"/>
  <c r="U132" i="8"/>
  <c r="U133" i="8"/>
  <c r="U134" i="8"/>
  <c r="U87" i="8"/>
  <c r="U61" i="8"/>
  <c r="U135" i="8"/>
  <c r="U92" i="8"/>
  <c r="U150" i="8"/>
  <c r="X150" i="8" s="1"/>
  <c r="U151" i="8"/>
  <c r="U102" i="8"/>
  <c r="U42" i="8"/>
  <c r="U232" i="8"/>
  <c r="U275" i="8"/>
  <c r="U97" i="8"/>
  <c r="U98" i="8"/>
  <c r="U120" i="8"/>
  <c r="U52" i="8"/>
  <c r="U110" i="8"/>
  <c r="U129" i="8"/>
  <c r="U123" i="8"/>
  <c r="U85" i="8"/>
  <c r="U124" i="8"/>
  <c r="U109" i="8"/>
  <c r="U108" i="8"/>
  <c r="U104" i="8"/>
  <c r="U101" i="8"/>
  <c r="U122" i="8"/>
  <c r="U136" i="8"/>
  <c r="U144" i="8"/>
  <c r="U179" i="8"/>
  <c r="U276" i="8"/>
  <c r="U277" i="8"/>
  <c r="U278" i="8"/>
  <c r="U279" i="8"/>
  <c r="U125" i="8"/>
  <c r="U280" i="8"/>
  <c r="U126" i="8"/>
  <c r="U281" i="8"/>
  <c r="U115" i="8"/>
  <c r="U282" i="8"/>
  <c r="U127" i="8"/>
  <c r="U139" i="8"/>
  <c r="U198" i="8"/>
  <c r="U57" i="8"/>
  <c r="U119" i="8"/>
  <c r="U195" i="8"/>
  <c r="U283" i="8"/>
  <c r="U284" i="8"/>
  <c r="U285" i="8"/>
  <c r="U286" i="8"/>
  <c r="U165" i="8"/>
  <c r="U68" i="8"/>
  <c r="U69" i="8"/>
  <c r="U70" i="8"/>
  <c r="U71" i="8"/>
  <c r="U72" i="8"/>
  <c r="U73" i="8"/>
  <c r="U74" i="8"/>
  <c r="U75" i="8"/>
  <c r="U76" i="8"/>
  <c r="U77" i="8"/>
  <c r="U78" i="8"/>
  <c r="U79" i="8"/>
  <c r="U80" i="8"/>
  <c r="U81" i="8"/>
  <c r="U162" i="8"/>
  <c r="U170" i="8"/>
  <c r="U219" i="8"/>
  <c r="U188" i="8"/>
  <c r="U149" i="8"/>
  <c r="U148" i="8"/>
  <c r="U152" i="8"/>
  <c r="U287" i="8"/>
  <c r="U288" i="8"/>
  <c r="U289" i="8"/>
  <c r="U290" i="8"/>
  <c r="U159" i="8"/>
  <c r="U178" i="8"/>
  <c r="U168" i="8"/>
  <c r="U291" i="8"/>
  <c r="U137" i="8"/>
  <c r="U199" i="8"/>
  <c r="U187" i="8"/>
  <c r="U93" i="8"/>
  <c r="U143" i="8"/>
  <c r="U189" i="8"/>
  <c r="U55" i="8"/>
  <c r="U248" i="8"/>
  <c r="U114" i="8"/>
  <c r="U218" i="8"/>
  <c r="U160" i="8"/>
  <c r="U157" i="8"/>
  <c r="U292" i="8"/>
  <c r="U293" i="8"/>
  <c r="U294" i="8"/>
  <c r="U207" i="8"/>
  <c r="U171" i="8"/>
  <c r="U172" i="8"/>
  <c r="U169" i="8"/>
  <c r="U156" i="8"/>
  <c r="U201" i="8"/>
  <c r="U158" i="8"/>
  <c r="U173" i="8"/>
  <c r="U145" i="8"/>
  <c r="X145" i="8" s="1"/>
  <c r="U118" i="8"/>
  <c r="U177" i="8"/>
  <c r="U176" i="8"/>
  <c r="U213" i="8"/>
  <c r="U295" i="8"/>
  <c r="U296" i="8"/>
  <c r="U297" i="8"/>
  <c r="U298" i="8"/>
  <c r="U299" i="8"/>
  <c r="U67" i="8"/>
  <c r="U202" i="8"/>
  <c r="U142" i="8"/>
  <c r="U121" i="8"/>
  <c r="U238" i="8"/>
  <c r="U191" i="8"/>
  <c r="U300" i="8"/>
  <c r="U65" i="8"/>
  <c r="U209" i="8"/>
  <c r="U250" i="8"/>
  <c r="U301" i="8"/>
  <c r="U302" i="8"/>
  <c r="U303" i="8"/>
  <c r="U220" i="8"/>
  <c r="U203" i="8"/>
  <c r="X203" i="8" s="1"/>
  <c r="U163" i="8"/>
  <c r="U229" i="8"/>
  <c r="U304" i="8"/>
  <c r="U237" i="8"/>
  <c r="U206" i="8"/>
  <c r="U175" i="8"/>
  <c r="U239" i="8"/>
  <c r="U227" i="8"/>
  <c r="U305" i="8"/>
  <c r="U107" i="8"/>
  <c r="U251" i="8"/>
  <c r="U224" i="8"/>
  <c r="U233" i="8"/>
  <c r="U231" i="8"/>
  <c r="U194" i="8"/>
  <c r="U236" i="8"/>
  <c r="U306" i="8"/>
  <c r="U307" i="8"/>
  <c r="U308" i="8"/>
  <c r="U164" i="8"/>
  <c r="U131" i="8"/>
  <c r="U225" i="8"/>
  <c r="U243" i="8"/>
  <c r="U215" i="8"/>
  <c r="U210" i="8"/>
  <c r="U234" i="8"/>
  <c r="U309" i="8"/>
  <c r="U310" i="8"/>
  <c r="U240" i="8"/>
  <c r="U200" i="8"/>
  <c r="U311" i="8"/>
  <c r="U312" i="8"/>
  <c r="U313" i="8"/>
  <c r="X313" i="8" s="1"/>
  <c r="U314" i="8"/>
  <c r="X314" i="8" s="1"/>
  <c r="U315" i="8"/>
  <c r="U316" i="8"/>
  <c r="U317" i="8"/>
  <c r="U208" i="8"/>
  <c r="U256" i="8"/>
  <c r="U204" i="8"/>
  <c r="U196" i="8"/>
  <c r="U223" i="8"/>
  <c r="U211" i="8"/>
  <c r="U226" i="8"/>
  <c r="U257" i="8"/>
  <c r="U318" i="8"/>
  <c r="U319" i="8"/>
  <c r="U320" i="8"/>
  <c r="U321" i="8"/>
  <c r="U322" i="8"/>
  <c r="U323" i="8"/>
  <c r="U192" i="8"/>
  <c r="U230" i="8"/>
  <c r="U249" i="8"/>
  <c r="U241" i="8"/>
  <c r="U252" i="8"/>
  <c r="U324" i="8"/>
  <c r="U325" i="8"/>
  <c r="U326" i="8"/>
  <c r="U327" i="8"/>
  <c r="U328" i="8"/>
  <c r="U329" i="8"/>
  <c r="U330" i="8"/>
  <c r="U331" i="8"/>
  <c r="U332" i="8"/>
  <c r="U333" i="8"/>
  <c r="U334" i="8"/>
  <c r="U335" i="8"/>
  <c r="U336" i="8"/>
  <c r="U337" i="8"/>
  <c r="U338" i="8"/>
  <c r="U339" i="8"/>
  <c r="U340" i="8"/>
  <c r="U341" i="8"/>
  <c r="U342" i="8"/>
  <c r="U343" i="8"/>
  <c r="U166" i="8"/>
  <c r="U217" i="8"/>
  <c r="U140" i="8"/>
  <c r="U141" i="8"/>
  <c r="U344" i="8"/>
  <c r="U63" i="8"/>
  <c r="X63" i="8" s="1"/>
  <c r="U147" i="8"/>
  <c r="U345" i="8"/>
  <c r="U212" i="8"/>
  <c r="U346" i="8"/>
  <c r="U347" i="8"/>
  <c r="U263" i="8"/>
  <c r="U348" i="8"/>
  <c r="U349" i="8"/>
  <c r="U247" i="8"/>
  <c r="U91" i="8"/>
  <c r="U350" i="8"/>
  <c r="U351" i="8"/>
  <c r="U214" i="8"/>
  <c r="U205" i="8"/>
  <c r="U216" i="8"/>
  <c r="U193" i="8"/>
  <c r="U235" i="8"/>
  <c r="U228" i="8"/>
  <c r="U253" i="8"/>
  <c r="U86" i="8"/>
  <c r="U167" i="8"/>
  <c r="U41" i="8"/>
  <c r="U254" i="8"/>
  <c r="U221" i="8"/>
  <c r="U258" i="8"/>
  <c r="X258" i="8" s="1"/>
  <c r="U103" i="8"/>
  <c r="U128" i="8"/>
  <c r="U37" i="8"/>
  <c r="U267" i="8"/>
  <c r="U105" i="8"/>
  <c r="U94" i="8"/>
  <c r="U180" i="8"/>
  <c r="U352" i="8"/>
  <c r="U146" i="8"/>
  <c r="U353" i="8"/>
  <c r="U46" i="8"/>
  <c r="U354" i="8"/>
  <c r="U89" i="8"/>
  <c r="U112" i="8"/>
  <c r="U83" i="8"/>
  <c r="U138" i="8"/>
  <c r="U355" i="8"/>
  <c r="U255" i="8"/>
  <c r="U153" i="8"/>
  <c r="U100" i="8"/>
  <c r="U174" i="8"/>
  <c r="U222" i="8"/>
  <c r="X222" i="8" s="1"/>
  <c r="U64" i="8"/>
  <c r="X64" i="8" s="1"/>
  <c r="U161" i="8"/>
  <c r="U154" i="8"/>
  <c r="U356" i="8"/>
  <c r="U259" i="8"/>
  <c r="U95" i="8"/>
  <c r="U357" i="8"/>
  <c r="U358" i="8"/>
  <c r="U106" i="8"/>
  <c r="U185" i="8"/>
  <c r="U181" i="8"/>
  <c r="U113" i="8"/>
  <c r="U359" i="8"/>
  <c r="U360" i="8"/>
  <c r="U268" i="8"/>
  <c r="U242" i="8"/>
  <c r="U361" i="8"/>
  <c r="U362" i="8"/>
  <c r="U363" i="8"/>
  <c r="U364" i="8"/>
  <c r="U365" i="8"/>
  <c r="U366" i="8"/>
  <c r="U116" i="8"/>
  <c r="U117" i="8"/>
  <c r="U182" i="8"/>
  <c r="U183" i="8"/>
  <c r="X183" i="8" s="1"/>
  <c r="U184" i="8"/>
  <c r="U367" i="8"/>
  <c r="U368" i="8"/>
  <c r="U155" i="8"/>
  <c r="U369" i="8"/>
  <c r="U370" i="8"/>
  <c r="U371" i="8"/>
  <c r="U44" i="8"/>
  <c r="U40" i="8"/>
  <c r="U372" i="8"/>
  <c r="U373" i="8"/>
  <c r="U374" i="8"/>
  <c r="U375" i="8"/>
  <c r="U376" i="8"/>
  <c r="U377" i="8"/>
  <c r="U186" i="8"/>
  <c r="U260" i="8"/>
  <c r="U264" i="8"/>
  <c r="U265" i="8"/>
  <c r="U269" i="8"/>
  <c r="U378" i="8"/>
  <c r="U379" i="8"/>
  <c r="U244" i="8"/>
  <c r="U197" i="8"/>
  <c r="U380" i="8"/>
  <c r="U381" i="8"/>
  <c r="U190" i="8"/>
  <c r="U266" i="8"/>
  <c r="U261" i="8"/>
  <c r="U270" i="8"/>
  <c r="U382" i="8"/>
  <c r="U383" i="8"/>
  <c r="U384" i="8"/>
  <c r="U385" i="8"/>
  <c r="U386" i="8"/>
  <c r="U387" i="8"/>
  <c r="X387" i="8" s="1"/>
  <c r="U388" i="8"/>
  <c r="U389" i="8"/>
  <c r="U390" i="8"/>
  <c r="U391" i="8"/>
  <c r="U392" i="8"/>
  <c r="U393" i="8"/>
  <c r="U394" i="8"/>
  <c r="U395" i="8"/>
  <c r="U396" i="8"/>
  <c r="U397" i="8"/>
  <c r="U398" i="8"/>
  <c r="U399" i="8"/>
  <c r="U271" i="8"/>
  <c r="U400" i="8"/>
  <c r="U262" i="8"/>
  <c r="U401" i="8"/>
  <c r="U402" i="8"/>
  <c r="U403" i="8"/>
  <c r="U245" i="8"/>
  <c r="U246" i="8"/>
  <c r="U404" i="8"/>
  <c r="U405" i="8"/>
  <c r="U406" i="8"/>
  <c r="U407" i="8"/>
  <c r="U408" i="8"/>
  <c r="U409" i="8"/>
  <c r="U410" i="8"/>
  <c r="U2" i="8"/>
  <c r="W110" i="8"/>
  <c r="W237" i="8"/>
  <c r="W239" i="8"/>
  <c r="W107" i="8"/>
  <c r="W234" i="8"/>
  <c r="W322" i="8"/>
  <c r="W346" i="8"/>
  <c r="W193" i="8"/>
  <c r="W355" i="8"/>
  <c r="V4" i="8"/>
  <c r="W4" i="8" s="1"/>
  <c r="V5" i="8"/>
  <c r="W5" i="8" s="1"/>
  <c r="V7" i="8"/>
  <c r="W7" i="8" s="1"/>
  <c r="V9" i="8"/>
  <c r="W9" i="8" s="1"/>
  <c r="V6" i="8"/>
  <c r="W6" i="8" s="1"/>
  <c r="V10" i="8"/>
  <c r="W10" i="8" s="1"/>
  <c r="V12" i="8"/>
  <c r="W12" i="8" s="1"/>
  <c r="V8" i="8"/>
  <c r="W8" i="8" s="1"/>
  <c r="V11" i="8"/>
  <c r="W11" i="8" s="1"/>
  <c r="V13" i="8"/>
  <c r="W13" i="8" s="1"/>
  <c r="V16" i="8"/>
  <c r="W16" i="8" s="1"/>
  <c r="V14" i="8"/>
  <c r="W14" i="8" s="1"/>
  <c r="V27" i="8"/>
  <c r="W27" i="8" s="1"/>
  <c r="V20" i="8"/>
  <c r="W20" i="8" s="1"/>
  <c r="V24" i="8"/>
  <c r="W24" i="8" s="1"/>
  <c r="V39" i="8"/>
  <c r="W39" i="8" s="1"/>
  <c r="V18" i="8"/>
  <c r="W18" i="8" s="1"/>
  <c r="V26" i="8"/>
  <c r="W26" i="8" s="1"/>
  <c r="V21" i="8"/>
  <c r="W21" i="8" s="1"/>
  <c r="V22" i="8"/>
  <c r="W22" i="8" s="1"/>
  <c r="V3" i="8"/>
  <c r="W3" i="8" s="1"/>
  <c r="V25" i="8"/>
  <c r="W25" i="8" s="1"/>
  <c r="V19" i="8"/>
  <c r="W19" i="8" s="1"/>
  <c r="V62" i="8"/>
  <c r="W62" i="8" s="1"/>
  <c r="V49" i="8"/>
  <c r="W49" i="8" s="1"/>
  <c r="V23" i="8"/>
  <c r="W23" i="8" s="1"/>
  <c r="V15" i="8"/>
  <c r="W15" i="8" s="1"/>
  <c r="V53" i="8"/>
  <c r="W53" i="8" s="1"/>
  <c r="V28" i="8"/>
  <c r="W28" i="8" s="1"/>
  <c r="V82" i="8"/>
  <c r="W82" i="8" s="1"/>
  <c r="V17" i="8"/>
  <c r="W17" i="8" s="1"/>
  <c r="V43" i="8"/>
  <c r="W43" i="8" s="1"/>
  <c r="V33" i="8"/>
  <c r="W33" i="8" s="1"/>
  <c r="V36" i="8"/>
  <c r="W36" i="8" s="1"/>
  <c r="V48" i="8"/>
  <c r="W48" i="8" s="1"/>
  <c r="V35" i="8"/>
  <c r="W35" i="8" s="1"/>
  <c r="V34" i="8"/>
  <c r="W34" i="8" s="1"/>
  <c r="V45" i="8"/>
  <c r="W45" i="8" s="1"/>
  <c r="V272" i="8"/>
  <c r="W272" i="8" s="1"/>
  <c r="V29" i="8"/>
  <c r="W29" i="8" s="1"/>
  <c r="V38" i="8"/>
  <c r="W38" i="8" s="1"/>
  <c r="V31" i="8"/>
  <c r="W31" i="8" s="1"/>
  <c r="V32" i="8"/>
  <c r="W32" i="8" s="1"/>
  <c r="V84" i="8"/>
  <c r="W84" i="8" s="1"/>
  <c r="V273" i="8"/>
  <c r="W273" i="8" s="1"/>
  <c r="V30" i="8"/>
  <c r="W30" i="8" s="1"/>
  <c r="V274" i="8"/>
  <c r="W274" i="8" s="1"/>
  <c r="V59" i="8"/>
  <c r="W59" i="8" s="1"/>
  <c r="V51" i="8"/>
  <c r="W51" i="8" s="1"/>
  <c r="V60" i="8"/>
  <c r="W60" i="8" s="1"/>
  <c r="V88" i="8"/>
  <c r="W88" i="8" s="1"/>
  <c r="V50" i="8"/>
  <c r="W50" i="8" s="1"/>
  <c r="V111" i="8"/>
  <c r="W111" i="8" s="1"/>
  <c r="V56" i="8"/>
  <c r="W56" i="8" s="1"/>
  <c r="V96" i="8"/>
  <c r="W96" i="8" s="1"/>
  <c r="V58" i="8"/>
  <c r="W58" i="8" s="1"/>
  <c r="V47" i="8"/>
  <c r="W47" i="8" s="1"/>
  <c r="V99" i="8"/>
  <c r="W99" i="8" s="1"/>
  <c r="V66" i="8"/>
  <c r="W66" i="8" s="1"/>
  <c r="V130" i="8"/>
  <c r="W130" i="8" s="1"/>
  <c r="V90" i="8"/>
  <c r="W90" i="8" s="1"/>
  <c r="V54" i="8"/>
  <c r="W54" i="8" s="1"/>
  <c r="V132" i="8"/>
  <c r="W132" i="8" s="1"/>
  <c r="V133" i="8"/>
  <c r="W133" i="8" s="1"/>
  <c r="V134" i="8"/>
  <c r="W134" i="8" s="1"/>
  <c r="V87" i="8"/>
  <c r="W87" i="8" s="1"/>
  <c r="V61" i="8"/>
  <c r="W61" i="8" s="1"/>
  <c r="V135" i="8"/>
  <c r="W135" i="8" s="1"/>
  <c r="V92" i="8"/>
  <c r="W92" i="8" s="1"/>
  <c r="V150" i="8"/>
  <c r="W150" i="8" s="1"/>
  <c r="V151" i="8"/>
  <c r="W151" i="8" s="1"/>
  <c r="V102" i="8"/>
  <c r="W102" i="8" s="1"/>
  <c r="V42" i="8"/>
  <c r="W42" i="8" s="1"/>
  <c r="V232" i="8"/>
  <c r="W232" i="8" s="1"/>
  <c r="V275" i="8"/>
  <c r="W275" i="8" s="1"/>
  <c r="V97" i="8"/>
  <c r="W97" i="8" s="1"/>
  <c r="V98" i="8"/>
  <c r="W98" i="8" s="1"/>
  <c r="V120" i="8"/>
  <c r="W120" i="8" s="1"/>
  <c r="V52" i="8"/>
  <c r="W52" i="8" s="1"/>
  <c r="V110" i="8"/>
  <c r="V129" i="8"/>
  <c r="W129" i="8" s="1"/>
  <c r="V123" i="8"/>
  <c r="W123" i="8" s="1"/>
  <c r="V85" i="8"/>
  <c r="W85" i="8" s="1"/>
  <c r="V124" i="8"/>
  <c r="W124" i="8" s="1"/>
  <c r="V109" i="8"/>
  <c r="W109" i="8" s="1"/>
  <c r="V108" i="8"/>
  <c r="W108" i="8" s="1"/>
  <c r="V104" i="8"/>
  <c r="W104" i="8" s="1"/>
  <c r="V101" i="8"/>
  <c r="W101" i="8" s="1"/>
  <c r="V122" i="8"/>
  <c r="W122" i="8" s="1"/>
  <c r="V136" i="8"/>
  <c r="W136" i="8" s="1"/>
  <c r="V144" i="8"/>
  <c r="W144" i="8" s="1"/>
  <c r="V179" i="8"/>
  <c r="W179" i="8" s="1"/>
  <c r="V276" i="8"/>
  <c r="W276" i="8" s="1"/>
  <c r="V277" i="8"/>
  <c r="W277" i="8" s="1"/>
  <c r="V278" i="8"/>
  <c r="W278" i="8" s="1"/>
  <c r="V279" i="8"/>
  <c r="W279" i="8" s="1"/>
  <c r="V125" i="8"/>
  <c r="W125" i="8" s="1"/>
  <c r="V280" i="8"/>
  <c r="W280" i="8" s="1"/>
  <c r="V126" i="8"/>
  <c r="W126" i="8" s="1"/>
  <c r="V281" i="8"/>
  <c r="W281" i="8" s="1"/>
  <c r="V115" i="8"/>
  <c r="W115" i="8" s="1"/>
  <c r="V282" i="8"/>
  <c r="W282" i="8" s="1"/>
  <c r="V127" i="8"/>
  <c r="W127" i="8" s="1"/>
  <c r="V139" i="8"/>
  <c r="W139" i="8" s="1"/>
  <c r="V198" i="8"/>
  <c r="W198" i="8" s="1"/>
  <c r="V57" i="8"/>
  <c r="W57" i="8" s="1"/>
  <c r="V119" i="8"/>
  <c r="W119" i="8" s="1"/>
  <c r="V195" i="8"/>
  <c r="W195" i="8" s="1"/>
  <c r="V283" i="8"/>
  <c r="W283" i="8" s="1"/>
  <c r="V284" i="8"/>
  <c r="W284" i="8" s="1"/>
  <c r="V285" i="8"/>
  <c r="W285" i="8" s="1"/>
  <c r="V286" i="8"/>
  <c r="W286" i="8" s="1"/>
  <c r="V165" i="8"/>
  <c r="W165" i="8" s="1"/>
  <c r="V68" i="8"/>
  <c r="W68" i="8" s="1"/>
  <c r="V69" i="8"/>
  <c r="W69" i="8" s="1"/>
  <c r="V70" i="8"/>
  <c r="W70" i="8" s="1"/>
  <c r="V71" i="8"/>
  <c r="W71" i="8" s="1"/>
  <c r="V72" i="8"/>
  <c r="W72" i="8" s="1"/>
  <c r="V73" i="8"/>
  <c r="W73" i="8" s="1"/>
  <c r="V74" i="8"/>
  <c r="W74" i="8" s="1"/>
  <c r="V75" i="8"/>
  <c r="W75" i="8" s="1"/>
  <c r="V76" i="8"/>
  <c r="W76" i="8" s="1"/>
  <c r="V77" i="8"/>
  <c r="W77" i="8" s="1"/>
  <c r="V78" i="8"/>
  <c r="W78" i="8" s="1"/>
  <c r="V79" i="8"/>
  <c r="W79" i="8" s="1"/>
  <c r="V80" i="8"/>
  <c r="W80" i="8" s="1"/>
  <c r="V81" i="8"/>
  <c r="W81" i="8" s="1"/>
  <c r="V162" i="8"/>
  <c r="W162" i="8" s="1"/>
  <c r="V170" i="8"/>
  <c r="W170" i="8" s="1"/>
  <c r="V219" i="8"/>
  <c r="W219" i="8" s="1"/>
  <c r="V188" i="8"/>
  <c r="W188" i="8" s="1"/>
  <c r="V149" i="8"/>
  <c r="W149" i="8" s="1"/>
  <c r="V148" i="8"/>
  <c r="W148" i="8" s="1"/>
  <c r="V152" i="8"/>
  <c r="W152" i="8" s="1"/>
  <c r="V287" i="8"/>
  <c r="W287" i="8" s="1"/>
  <c r="V288" i="8"/>
  <c r="W288" i="8" s="1"/>
  <c r="V289" i="8"/>
  <c r="W289" i="8" s="1"/>
  <c r="V290" i="8"/>
  <c r="W290" i="8" s="1"/>
  <c r="V159" i="8"/>
  <c r="W159" i="8" s="1"/>
  <c r="V178" i="8"/>
  <c r="W178" i="8" s="1"/>
  <c r="V168" i="8"/>
  <c r="W168" i="8" s="1"/>
  <c r="V291" i="8"/>
  <c r="W291" i="8" s="1"/>
  <c r="V137" i="8"/>
  <c r="W137" i="8" s="1"/>
  <c r="V199" i="8"/>
  <c r="W199" i="8" s="1"/>
  <c r="V187" i="8"/>
  <c r="W187" i="8" s="1"/>
  <c r="V93" i="8"/>
  <c r="W93" i="8" s="1"/>
  <c r="V143" i="8"/>
  <c r="W143" i="8" s="1"/>
  <c r="V189" i="8"/>
  <c r="W189" i="8" s="1"/>
  <c r="V55" i="8"/>
  <c r="W55" i="8" s="1"/>
  <c r="V248" i="8"/>
  <c r="W248" i="8" s="1"/>
  <c r="V114" i="8"/>
  <c r="W114" i="8" s="1"/>
  <c r="V218" i="8"/>
  <c r="W218" i="8" s="1"/>
  <c r="V160" i="8"/>
  <c r="W160" i="8" s="1"/>
  <c r="V157" i="8"/>
  <c r="W157" i="8" s="1"/>
  <c r="V292" i="8"/>
  <c r="W292" i="8" s="1"/>
  <c r="V293" i="8"/>
  <c r="W293" i="8" s="1"/>
  <c r="V294" i="8"/>
  <c r="W294" i="8" s="1"/>
  <c r="V207" i="8"/>
  <c r="W207" i="8" s="1"/>
  <c r="V171" i="8"/>
  <c r="W171" i="8" s="1"/>
  <c r="V172" i="8"/>
  <c r="W172" i="8" s="1"/>
  <c r="V169" i="8"/>
  <c r="W169" i="8" s="1"/>
  <c r="V156" i="8"/>
  <c r="W156" i="8" s="1"/>
  <c r="V201" i="8"/>
  <c r="W201" i="8" s="1"/>
  <c r="V158" i="8"/>
  <c r="W158" i="8" s="1"/>
  <c r="V173" i="8"/>
  <c r="W173" i="8" s="1"/>
  <c r="V145" i="8"/>
  <c r="W145" i="8" s="1"/>
  <c r="V118" i="8"/>
  <c r="W118" i="8" s="1"/>
  <c r="V177" i="8"/>
  <c r="W177" i="8" s="1"/>
  <c r="V176" i="8"/>
  <c r="W176" i="8" s="1"/>
  <c r="V213" i="8"/>
  <c r="W213" i="8" s="1"/>
  <c r="V295" i="8"/>
  <c r="W295" i="8" s="1"/>
  <c r="V296" i="8"/>
  <c r="W296" i="8" s="1"/>
  <c r="V297" i="8"/>
  <c r="W297" i="8" s="1"/>
  <c r="V298" i="8"/>
  <c r="W298" i="8" s="1"/>
  <c r="V299" i="8"/>
  <c r="W299" i="8" s="1"/>
  <c r="V67" i="8"/>
  <c r="W67" i="8" s="1"/>
  <c r="V202" i="8"/>
  <c r="W202" i="8" s="1"/>
  <c r="V142" i="8"/>
  <c r="W142" i="8" s="1"/>
  <c r="V121" i="8"/>
  <c r="W121" i="8" s="1"/>
  <c r="V238" i="8"/>
  <c r="W238" i="8" s="1"/>
  <c r="V191" i="8"/>
  <c r="W191" i="8" s="1"/>
  <c r="V300" i="8"/>
  <c r="W300" i="8" s="1"/>
  <c r="V65" i="8"/>
  <c r="W65" i="8" s="1"/>
  <c r="V209" i="8"/>
  <c r="W209" i="8" s="1"/>
  <c r="V250" i="8"/>
  <c r="W250" i="8" s="1"/>
  <c r="V301" i="8"/>
  <c r="W301" i="8" s="1"/>
  <c r="V302" i="8"/>
  <c r="W302" i="8" s="1"/>
  <c r="V303" i="8"/>
  <c r="W303" i="8" s="1"/>
  <c r="V220" i="8"/>
  <c r="W220" i="8" s="1"/>
  <c r="V203" i="8"/>
  <c r="W203" i="8" s="1"/>
  <c r="V163" i="8"/>
  <c r="W163" i="8" s="1"/>
  <c r="V229" i="8"/>
  <c r="W229" i="8" s="1"/>
  <c r="V304" i="8"/>
  <c r="W304" i="8" s="1"/>
  <c r="V237" i="8"/>
  <c r="V206" i="8"/>
  <c r="W206" i="8" s="1"/>
  <c r="V175" i="8"/>
  <c r="W175" i="8" s="1"/>
  <c r="V239" i="8"/>
  <c r="V227" i="8"/>
  <c r="W227" i="8" s="1"/>
  <c r="V305" i="8"/>
  <c r="W305" i="8" s="1"/>
  <c r="V107" i="8"/>
  <c r="V251" i="8"/>
  <c r="W251" i="8" s="1"/>
  <c r="V224" i="8"/>
  <c r="W224" i="8" s="1"/>
  <c r="V233" i="8"/>
  <c r="W233" i="8" s="1"/>
  <c r="V231" i="8"/>
  <c r="W231" i="8" s="1"/>
  <c r="V194" i="8"/>
  <c r="W194" i="8" s="1"/>
  <c r="V236" i="8"/>
  <c r="W236" i="8" s="1"/>
  <c r="V306" i="8"/>
  <c r="W306" i="8" s="1"/>
  <c r="V307" i="8"/>
  <c r="W307" i="8" s="1"/>
  <c r="V308" i="8"/>
  <c r="W308" i="8" s="1"/>
  <c r="V164" i="8"/>
  <c r="W164" i="8" s="1"/>
  <c r="V131" i="8"/>
  <c r="W131" i="8" s="1"/>
  <c r="V225" i="8"/>
  <c r="W225" i="8" s="1"/>
  <c r="V243" i="8"/>
  <c r="W243" i="8" s="1"/>
  <c r="V215" i="8"/>
  <c r="W215" i="8" s="1"/>
  <c r="V210" i="8"/>
  <c r="W210" i="8" s="1"/>
  <c r="V234" i="8"/>
  <c r="V309" i="8"/>
  <c r="W309" i="8" s="1"/>
  <c r="V310" i="8"/>
  <c r="W310" i="8" s="1"/>
  <c r="V240" i="8"/>
  <c r="W240" i="8" s="1"/>
  <c r="V200" i="8"/>
  <c r="W200" i="8" s="1"/>
  <c r="V311" i="8"/>
  <c r="W311" i="8" s="1"/>
  <c r="V312" i="8"/>
  <c r="W312" i="8" s="1"/>
  <c r="V313" i="8"/>
  <c r="W313" i="8" s="1"/>
  <c r="V314" i="8"/>
  <c r="W314" i="8" s="1"/>
  <c r="V315" i="8"/>
  <c r="W315" i="8" s="1"/>
  <c r="V316" i="8"/>
  <c r="W316" i="8" s="1"/>
  <c r="V317" i="8"/>
  <c r="W317" i="8" s="1"/>
  <c r="V208" i="8"/>
  <c r="W208" i="8" s="1"/>
  <c r="V256" i="8"/>
  <c r="W256" i="8" s="1"/>
  <c r="V204" i="8"/>
  <c r="W204" i="8" s="1"/>
  <c r="V196" i="8"/>
  <c r="W196" i="8" s="1"/>
  <c r="V223" i="8"/>
  <c r="W223" i="8" s="1"/>
  <c r="V211" i="8"/>
  <c r="W211" i="8" s="1"/>
  <c r="V226" i="8"/>
  <c r="W226" i="8" s="1"/>
  <c r="V257" i="8"/>
  <c r="W257" i="8" s="1"/>
  <c r="V318" i="8"/>
  <c r="W318" i="8" s="1"/>
  <c r="V319" i="8"/>
  <c r="W319" i="8" s="1"/>
  <c r="V320" i="8"/>
  <c r="W320" i="8" s="1"/>
  <c r="V321" i="8"/>
  <c r="W321" i="8" s="1"/>
  <c r="V322" i="8"/>
  <c r="V323" i="8"/>
  <c r="W323" i="8" s="1"/>
  <c r="V192" i="8"/>
  <c r="W192" i="8" s="1"/>
  <c r="V230" i="8"/>
  <c r="W230" i="8" s="1"/>
  <c r="V249" i="8"/>
  <c r="W249" i="8" s="1"/>
  <c r="V241" i="8"/>
  <c r="W241" i="8" s="1"/>
  <c r="V252" i="8"/>
  <c r="W252" i="8" s="1"/>
  <c r="V324" i="8"/>
  <c r="W324" i="8" s="1"/>
  <c r="V325" i="8"/>
  <c r="W325" i="8" s="1"/>
  <c r="V326" i="8"/>
  <c r="W326" i="8" s="1"/>
  <c r="V327" i="8"/>
  <c r="W327" i="8" s="1"/>
  <c r="V328" i="8"/>
  <c r="W328" i="8" s="1"/>
  <c r="V329" i="8"/>
  <c r="W329" i="8" s="1"/>
  <c r="V330" i="8"/>
  <c r="W330" i="8" s="1"/>
  <c r="V331" i="8"/>
  <c r="W331" i="8" s="1"/>
  <c r="V332" i="8"/>
  <c r="W332" i="8" s="1"/>
  <c r="V333" i="8"/>
  <c r="W333" i="8" s="1"/>
  <c r="V334" i="8"/>
  <c r="W334" i="8" s="1"/>
  <c r="V335" i="8"/>
  <c r="W335" i="8" s="1"/>
  <c r="V336" i="8"/>
  <c r="W336" i="8" s="1"/>
  <c r="V337" i="8"/>
  <c r="W337" i="8" s="1"/>
  <c r="V338" i="8"/>
  <c r="W338" i="8" s="1"/>
  <c r="V339" i="8"/>
  <c r="W339" i="8" s="1"/>
  <c r="V340" i="8"/>
  <c r="W340" i="8" s="1"/>
  <c r="V341" i="8"/>
  <c r="W341" i="8" s="1"/>
  <c r="V342" i="8"/>
  <c r="W342" i="8" s="1"/>
  <c r="V343" i="8"/>
  <c r="W343" i="8" s="1"/>
  <c r="V166" i="8"/>
  <c r="W166" i="8" s="1"/>
  <c r="V217" i="8"/>
  <c r="W217" i="8" s="1"/>
  <c r="V140" i="8"/>
  <c r="W140" i="8" s="1"/>
  <c r="V141" i="8"/>
  <c r="W141" i="8" s="1"/>
  <c r="V344" i="8"/>
  <c r="W344" i="8" s="1"/>
  <c r="V63" i="8"/>
  <c r="W63" i="8" s="1"/>
  <c r="V147" i="8"/>
  <c r="W147" i="8" s="1"/>
  <c r="V345" i="8"/>
  <c r="W345" i="8" s="1"/>
  <c r="V212" i="8"/>
  <c r="W212" i="8" s="1"/>
  <c r="V346" i="8"/>
  <c r="V347" i="8"/>
  <c r="W347" i="8" s="1"/>
  <c r="V263" i="8"/>
  <c r="W263" i="8" s="1"/>
  <c r="V348" i="8"/>
  <c r="W348" i="8" s="1"/>
  <c r="V349" i="8"/>
  <c r="W349" i="8" s="1"/>
  <c r="V247" i="8"/>
  <c r="W247" i="8" s="1"/>
  <c r="V91" i="8"/>
  <c r="W91" i="8" s="1"/>
  <c r="V350" i="8"/>
  <c r="W350" i="8" s="1"/>
  <c r="V351" i="8"/>
  <c r="W351" i="8" s="1"/>
  <c r="V214" i="8"/>
  <c r="W214" i="8" s="1"/>
  <c r="V205" i="8"/>
  <c r="W205" i="8" s="1"/>
  <c r="V216" i="8"/>
  <c r="W216" i="8" s="1"/>
  <c r="V193" i="8"/>
  <c r="V235" i="8"/>
  <c r="W235" i="8" s="1"/>
  <c r="V228" i="8"/>
  <c r="W228" i="8" s="1"/>
  <c r="V253" i="8"/>
  <c r="W253" i="8" s="1"/>
  <c r="V86" i="8"/>
  <c r="W86" i="8" s="1"/>
  <c r="V167" i="8"/>
  <c r="W167" i="8" s="1"/>
  <c r="V41" i="8"/>
  <c r="W41" i="8" s="1"/>
  <c r="V254" i="8"/>
  <c r="W254" i="8" s="1"/>
  <c r="V221" i="8"/>
  <c r="W221" i="8" s="1"/>
  <c r="V258" i="8"/>
  <c r="W258" i="8" s="1"/>
  <c r="V103" i="8"/>
  <c r="W103" i="8" s="1"/>
  <c r="V128" i="8"/>
  <c r="W128" i="8" s="1"/>
  <c r="V37" i="8"/>
  <c r="W37" i="8" s="1"/>
  <c r="V267" i="8"/>
  <c r="W267" i="8" s="1"/>
  <c r="V105" i="8"/>
  <c r="W105" i="8" s="1"/>
  <c r="V94" i="8"/>
  <c r="W94" i="8" s="1"/>
  <c r="V180" i="8"/>
  <c r="W180" i="8" s="1"/>
  <c r="V352" i="8"/>
  <c r="W352" i="8" s="1"/>
  <c r="V146" i="8"/>
  <c r="W146" i="8" s="1"/>
  <c r="V353" i="8"/>
  <c r="W353" i="8" s="1"/>
  <c r="V46" i="8"/>
  <c r="W46" i="8" s="1"/>
  <c r="V354" i="8"/>
  <c r="W354" i="8" s="1"/>
  <c r="V89" i="8"/>
  <c r="W89" i="8" s="1"/>
  <c r="V112" i="8"/>
  <c r="W112" i="8" s="1"/>
  <c r="V83" i="8"/>
  <c r="W83" i="8" s="1"/>
  <c r="V138" i="8"/>
  <c r="W138" i="8" s="1"/>
  <c r="V355" i="8"/>
  <c r="V255" i="8"/>
  <c r="W255" i="8" s="1"/>
  <c r="V153" i="8"/>
  <c r="W153" i="8" s="1"/>
  <c r="V100" i="8"/>
  <c r="W100" i="8" s="1"/>
  <c r="V174" i="8"/>
  <c r="W174" i="8" s="1"/>
  <c r="V222" i="8"/>
  <c r="W222" i="8" s="1"/>
  <c r="V64" i="8"/>
  <c r="W64" i="8" s="1"/>
  <c r="V161" i="8"/>
  <c r="W161" i="8" s="1"/>
  <c r="V154" i="8"/>
  <c r="W154" i="8" s="1"/>
  <c r="V356" i="8"/>
  <c r="W356" i="8" s="1"/>
  <c r="V259" i="8"/>
  <c r="W259" i="8" s="1"/>
  <c r="V95" i="8"/>
  <c r="W95" i="8" s="1"/>
  <c r="V357" i="8"/>
  <c r="W357" i="8" s="1"/>
  <c r="V358" i="8"/>
  <c r="W358" i="8" s="1"/>
  <c r="V106" i="8"/>
  <c r="W106" i="8" s="1"/>
  <c r="V185" i="8"/>
  <c r="W185" i="8" s="1"/>
  <c r="V181" i="8"/>
  <c r="W181" i="8" s="1"/>
  <c r="V113" i="8"/>
  <c r="W113" i="8" s="1"/>
  <c r="V359" i="8"/>
  <c r="W359" i="8" s="1"/>
  <c r="V360" i="8"/>
  <c r="W360" i="8" s="1"/>
  <c r="V268" i="8"/>
  <c r="W268" i="8" s="1"/>
  <c r="V242" i="8"/>
  <c r="W242" i="8" s="1"/>
  <c r="V361" i="8"/>
  <c r="W361" i="8" s="1"/>
  <c r="V362" i="8"/>
  <c r="W362" i="8" s="1"/>
  <c r="V363" i="8"/>
  <c r="W363" i="8" s="1"/>
  <c r="V364" i="8"/>
  <c r="W364" i="8" s="1"/>
  <c r="V365" i="8"/>
  <c r="W365" i="8" s="1"/>
  <c r="V366" i="8"/>
  <c r="W366" i="8" s="1"/>
  <c r="V116" i="8"/>
  <c r="W116" i="8" s="1"/>
  <c r="V117" i="8"/>
  <c r="W117" i="8" s="1"/>
  <c r="V182" i="8"/>
  <c r="W182" i="8" s="1"/>
  <c r="V183" i="8"/>
  <c r="W183" i="8" s="1"/>
  <c r="V184" i="8"/>
  <c r="W184" i="8" s="1"/>
  <c r="V367" i="8"/>
  <c r="W367" i="8" s="1"/>
  <c r="V368" i="8"/>
  <c r="W368" i="8" s="1"/>
  <c r="V155" i="8"/>
  <c r="W155" i="8" s="1"/>
  <c r="V369" i="8"/>
  <c r="W369" i="8" s="1"/>
  <c r="V370" i="8"/>
  <c r="W370" i="8" s="1"/>
  <c r="V371" i="8"/>
  <c r="W371" i="8" s="1"/>
  <c r="V44" i="8"/>
  <c r="W44" i="8" s="1"/>
  <c r="V40" i="8"/>
  <c r="W40" i="8" s="1"/>
  <c r="V372" i="8"/>
  <c r="W372" i="8" s="1"/>
  <c r="V373" i="8"/>
  <c r="W373" i="8" s="1"/>
  <c r="V374" i="8"/>
  <c r="W374" i="8" s="1"/>
  <c r="V375" i="8"/>
  <c r="W375" i="8" s="1"/>
  <c r="V376" i="8"/>
  <c r="W376" i="8" s="1"/>
  <c r="V377" i="8"/>
  <c r="W377" i="8" s="1"/>
  <c r="V186" i="8"/>
  <c r="W186" i="8" s="1"/>
  <c r="V260" i="8"/>
  <c r="W260" i="8" s="1"/>
  <c r="V264" i="8"/>
  <c r="W264" i="8" s="1"/>
  <c r="V265" i="8"/>
  <c r="W265" i="8" s="1"/>
  <c r="V269" i="8"/>
  <c r="W269" i="8" s="1"/>
  <c r="V378" i="8"/>
  <c r="W378" i="8" s="1"/>
  <c r="V379" i="8"/>
  <c r="W379" i="8" s="1"/>
  <c r="V244" i="8"/>
  <c r="W244" i="8" s="1"/>
  <c r="V197" i="8"/>
  <c r="W197" i="8" s="1"/>
  <c r="V380" i="8"/>
  <c r="W380" i="8" s="1"/>
  <c r="V381" i="8"/>
  <c r="W381" i="8" s="1"/>
  <c r="V190" i="8"/>
  <c r="W190" i="8" s="1"/>
  <c r="V266" i="8"/>
  <c r="W266" i="8" s="1"/>
  <c r="V261" i="8"/>
  <c r="W261" i="8" s="1"/>
  <c r="V270" i="8"/>
  <c r="W270" i="8" s="1"/>
  <c r="V382" i="8"/>
  <c r="W382" i="8" s="1"/>
  <c r="V383" i="8"/>
  <c r="W383" i="8" s="1"/>
  <c r="V384" i="8"/>
  <c r="W384" i="8" s="1"/>
  <c r="V385" i="8"/>
  <c r="W385" i="8" s="1"/>
  <c r="V386" i="8"/>
  <c r="W386" i="8" s="1"/>
  <c r="V387" i="8"/>
  <c r="W387" i="8" s="1"/>
  <c r="V388" i="8"/>
  <c r="W388" i="8" s="1"/>
  <c r="V389" i="8"/>
  <c r="W389" i="8" s="1"/>
  <c r="V390" i="8"/>
  <c r="W390" i="8" s="1"/>
  <c r="V391" i="8"/>
  <c r="W391" i="8" s="1"/>
  <c r="V392" i="8"/>
  <c r="W392" i="8" s="1"/>
  <c r="V393" i="8"/>
  <c r="W393" i="8" s="1"/>
  <c r="V394" i="8"/>
  <c r="W394" i="8" s="1"/>
  <c r="V395" i="8"/>
  <c r="W395" i="8" s="1"/>
  <c r="V396" i="8"/>
  <c r="W396" i="8" s="1"/>
  <c r="V397" i="8"/>
  <c r="W397" i="8" s="1"/>
  <c r="V398" i="8"/>
  <c r="W398" i="8" s="1"/>
  <c r="V399" i="8"/>
  <c r="W399" i="8" s="1"/>
  <c r="V271" i="8"/>
  <c r="W271" i="8" s="1"/>
  <c r="V400" i="8"/>
  <c r="W400" i="8" s="1"/>
  <c r="V262" i="8"/>
  <c r="W262" i="8" s="1"/>
  <c r="V401" i="8"/>
  <c r="W401" i="8" s="1"/>
  <c r="V402" i="8"/>
  <c r="W402" i="8" s="1"/>
  <c r="V403" i="8"/>
  <c r="W403" i="8" s="1"/>
  <c r="V245" i="8"/>
  <c r="W245" i="8" s="1"/>
  <c r="V246" i="8"/>
  <c r="W246" i="8" s="1"/>
  <c r="V404" i="8"/>
  <c r="W404" i="8" s="1"/>
  <c r="V405" i="8"/>
  <c r="W405" i="8" s="1"/>
  <c r="V406" i="8"/>
  <c r="W406" i="8" s="1"/>
  <c r="V407" i="8"/>
  <c r="W407" i="8" s="1"/>
  <c r="V408" i="8"/>
  <c r="W408" i="8" s="1"/>
  <c r="V409" i="8"/>
  <c r="W409" i="8" s="1"/>
  <c r="V410" i="8"/>
  <c r="W410" i="8" s="1"/>
  <c r="V2" i="8"/>
  <c r="W2" i="8" s="1"/>
  <c r="AO3" i="9" l="1"/>
  <c r="AN3" i="9"/>
  <c r="X294" i="8"/>
  <c r="X391" i="8"/>
  <c r="X362" i="8"/>
  <c r="X323" i="8"/>
  <c r="X75" i="8"/>
  <c r="X51" i="8"/>
  <c r="X305" i="8"/>
  <c r="X181" i="8"/>
  <c r="X49" i="8"/>
  <c r="X303" i="8"/>
  <c r="X180" i="8"/>
  <c r="X26" i="8"/>
  <c r="X302" i="8"/>
  <c r="X171" i="8"/>
  <c r="X25" i="8"/>
  <c r="X291" i="8"/>
  <c r="X271" i="8"/>
  <c r="X270" i="8"/>
  <c r="X137" i="8"/>
  <c r="X30" i="8"/>
  <c r="X123" i="8"/>
  <c r="X289" i="8"/>
  <c r="X40" i="8"/>
  <c r="X250" i="8"/>
  <c r="X42" i="8"/>
  <c r="X208" i="8"/>
  <c r="X39" i="8"/>
  <c r="X367" i="8"/>
  <c r="X84" i="8"/>
  <c r="X206" i="8"/>
  <c r="X370" i="8"/>
  <c r="X6" i="8"/>
  <c r="X327" i="8"/>
  <c r="X328" i="8"/>
  <c r="X86" i="8"/>
  <c r="X83" i="8"/>
  <c r="X247" i="8"/>
  <c r="X402" i="8"/>
  <c r="X126" i="8"/>
  <c r="X290" i="8"/>
  <c r="X3" i="8"/>
  <c r="X85" i="8"/>
  <c r="X169" i="8"/>
  <c r="X207" i="8"/>
  <c r="X329" i="8"/>
  <c r="X371" i="8"/>
  <c r="X409" i="8"/>
  <c r="X13" i="8"/>
  <c r="X97" i="8"/>
  <c r="X135" i="8"/>
  <c r="X179" i="8"/>
  <c r="X219" i="8"/>
  <c r="X257" i="8"/>
  <c r="X301" i="8"/>
  <c r="X342" i="8"/>
  <c r="X377" i="8"/>
  <c r="X16" i="8"/>
  <c r="X60" i="8"/>
  <c r="X102" i="8"/>
  <c r="X138" i="8"/>
  <c r="X226" i="8"/>
  <c r="X266" i="8"/>
  <c r="X304" i="8"/>
  <c r="X347" i="8"/>
  <c r="X385" i="8"/>
  <c r="X14" i="8"/>
  <c r="X268" i="8"/>
  <c r="X320" i="8"/>
  <c r="X277" i="8"/>
  <c r="X374" i="8"/>
  <c r="X243" i="8"/>
  <c r="X71" i="8"/>
  <c r="X337" i="8"/>
  <c r="X318" i="8"/>
  <c r="X158" i="8"/>
  <c r="X178" i="8"/>
  <c r="X113" i="8"/>
  <c r="X353" i="8"/>
  <c r="X159" i="8"/>
  <c r="X386" i="8"/>
  <c r="X267" i="8"/>
  <c r="X136" i="8"/>
  <c r="X384" i="8"/>
  <c r="X265" i="8"/>
  <c r="X131" i="8"/>
  <c r="X378" i="8"/>
  <c r="X130" i="8"/>
  <c r="X276" i="8"/>
  <c r="X390" i="8"/>
  <c r="X373" i="8"/>
  <c r="X253" i="8"/>
  <c r="X108" i="8"/>
  <c r="X155" i="8"/>
  <c r="X194" i="8"/>
  <c r="X109" i="8"/>
  <c r="X34" i="8"/>
  <c r="X27" i="8"/>
  <c r="X372" i="8"/>
  <c r="X252" i="8"/>
  <c r="X107" i="8"/>
  <c r="X273" i="8"/>
  <c r="X230" i="8"/>
  <c r="X154" i="8"/>
  <c r="X349" i="8"/>
  <c r="X228" i="8"/>
  <c r="X99" i="8"/>
  <c r="X92" i="8"/>
  <c r="X106" i="8"/>
  <c r="X408" i="8"/>
  <c r="X339" i="8"/>
  <c r="Y2" i="8"/>
  <c r="AC2" i="8" s="1"/>
  <c r="C3" i="9" s="1"/>
  <c r="X407" i="8"/>
  <c r="X354" i="8"/>
  <c r="X319" i="8"/>
  <c r="X168" i="8"/>
  <c r="X147" i="8"/>
  <c r="X195" i="8"/>
  <c r="X103" i="8"/>
  <c r="X161" i="8"/>
  <c r="X326" i="8"/>
  <c r="X202" i="8"/>
  <c r="X198" i="8"/>
  <c r="X33" i="8"/>
  <c r="X227" i="8"/>
  <c r="X398" i="8"/>
  <c r="X221" i="8"/>
  <c r="X218" i="8"/>
  <c r="X110" i="8"/>
  <c r="X8" i="8"/>
  <c r="X346" i="8"/>
  <c r="X223" i="8"/>
  <c r="X397" i="8"/>
  <c r="X379" i="8"/>
  <c r="X117" i="8"/>
  <c r="X254" i="8"/>
  <c r="X344" i="8"/>
  <c r="X324" i="8"/>
  <c r="X299" i="8"/>
  <c r="X114" i="8"/>
  <c r="X81" i="8"/>
  <c r="X127" i="8"/>
  <c r="X52" i="8"/>
  <c r="X96" i="8"/>
  <c r="X12" i="8"/>
  <c r="X343" i="8"/>
  <c r="X388" i="8"/>
  <c r="X410" i="8"/>
  <c r="X274" i="8"/>
  <c r="X229" i="8"/>
  <c r="X375" i="8"/>
  <c r="X215" i="8"/>
  <c r="X214" i="8"/>
  <c r="X220" i="8"/>
  <c r="X146" i="8"/>
  <c r="X233" i="8"/>
  <c r="X315" i="8"/>
  <c r="X170" i="8"/>
  <c r="X47" i="8"/>
  <c r="X348" i="8"/>
  <c r="X244" i="8"/>
  <c r="X325" i="8"/>
  <c r="X67" i="8"/>
  <c r="X139" i="8"/>
  <c r="X87" i="8"/>
  <c r="X396" i="8"/>
  <c r="X116" i="8"/>
  <c r="X41" i="8"/>
  <c r="X312" i="8"/>
  <c r="X298" i="8"/>
  <c r="X248" i="8"/>
  <c r="X80" i="8"/>
  <c r="X282" i="8"/>
  <c r="X120" i="8"/>
  <c r="X56" i="8"/>
  <c r="X82" i="8"/>
  <c r="X10" i="8"/>
  <c r="X336" i="8"/>
  <c r="X209" i="8"/>
  <c r="X395" i="8"/>
  <c r="X366" i="8"/>
  <c r="X241" i="8"/>
  <c r="X55" i="8"/>
  <c r="X79" i="8"/>
  <c r="X111" i="8"/>
  <c r="X330" i="8"/>
  <c r="X186" i="8"/>
  <c r="X62" i="8"/>
  <c r="X205" i="8"/>
  <c r="X72" i="8"/>
  <c r="X360" i="8"/>
  <c r="X338" i="8"/>
  <c r="X173" i="8"/>
  <c r="X17" i="8"/>
  <c r="X15" i="8"/>
  <c r="X231" i="8"/>
  <c r="X351" i="8"/>
  <c r="X66" i="8"/>
  <c r="X399" i="8"/>
  <c r="X197" i="8"/>
  <c r="X251" i="8"/>
  <c r="X160" i="8"/>
  <c r="X129" i="8"/>
  <c r="X11" i="8"/>
  <c r="X182" i="8"/>
  <c r="X162" i="8"/>
  <c r="X43" i="8"/>
  <c r="X174" i="8"/>
  <c r="X141" i="8"/>
  <c r="X153" i="8"/>
  <c r="X249" i="8"/>
  <c r="X200" i="8"/>
  <c r="X296" i="8"/>
  <c r="X189" i="8"/>
  <c r="X9" i="8"/>
  <c r="X185" i="8"/>
  <c r="X61" i="8"/>
  <c r="X184" i="8"/>
  <c r="X59" i="8"/>
  <c r="X89" i="8"/>
  <c r="X350" i="8"/>
  <c r="X98" i="8"/>
  <c r="X363" i="8"/>
  <c r="X280" i="8"/>
  <c r="X232" i="8"/>
  <c r="X306" i="8"/>
  <c r="X269" i="8"/>
  <c r="X100" i="8"/>
  <c r="X167" i="8"/>
  <c r="X140" i="8"/>
  <c r="X311" i="8"/>
  <c r="X239" i="8"/>
  <c r="X297" i="8"/>
  <c r="X115" i="8"/>
  <c r="X28" i="8"/>
  <c r="X392" i="8"/>
  <c r="X260" i="8"/>
  <c r="X355" i="8"/>
  <c r="X192" i="8"/>
  <c r="X310" i="8"/>
  <c r="X237" i="8"/>
  <c r="X213" i="8"/>
  <c r="X93" i="8"/>
  <c r="X76" i="8"/>
  <c r="X23" i="8"/>
  <c r="X5" i="8"/>
  <c r="X20" i="8"/>
  <c r="X44" i="8"/>
  <c r="X164" i="8"/>
  <c r="X236" i="8"/>
  <c r="X284" i="8"/>
  <c r="X308" i="8"/>
  <c r="X404" i="8"/>
  <c r="X263" i="8"/>
  <c r="X383" i="8"/>
  <c r="X216" i="8"/>
  <c r="X264" i="8"/>
  <c r="X166" i="8"/>
  <c r="X286" i="8"/>
  <c r="X382" i="8"/>
  <c r="X143" i="8"/>
  <c r="X24" i="8"/>
  <c r="X240" i="8"/>
  <c r="X288" i="8"/>
  <c r="X172" i="8"/>
  <c r="X364" i="8"/>
  <c r="X29" i="8"/>
  <c r="X53" i="8"/>
  <c r="X77" i="8"/>
  <c r="X101" i="8"/>
  <c r="X245" i="8"/>
  <c r="X365" i="8"/>
  <c r="X389" i="8"/>
  <c r="X152" i="8"/>
  <c r="X105" i="8"/>
  <c r="X321" i="8"/>
  <c r="X369" i="8"/>
  <c r="X393" i="8"/>
  <c r="X235" i="8"/>
  <c r="X309" i="8"/>
  <c r="X176" i="8"/>
  <c r="X187" i="8"/>
  <c r="X125" i="8"/>
  <c r="X4" i="8"/>
  <c r="X376" i="8"/>
  <c r="X300" i="8"/>
  <c r="X256" i="8"/>
  <c r="X134" i="8"/>
  <c r="X90" i="8"/>
  <c r="X54" i="8"/>
  <c r="X341" i="8"/>
  <c r="X177" i="8"/>
  <c r="X255" i="8"/>
  <c r="X217" i="8"/>
  <c r="X175" i="8"/>
  <c r="X133" i="8"/>
  <c r="X340" i="8"/>
  <c r="X163" i="8"/>
  <c r="X118" i="8"/>
  <c r="X19" i="8"/>
  <c r="X210" i="8"/>
  <c r="X132" i="8"/>
  <c r="X88" i="8"/>
  <c r="X50" i="8"/>
  <c r="X406" i="8"/>
  <c r="X359" i="8"/>
  <c r="X46" i="8"/>
  <c r="X225" i="8"/>
  <c r="X70" i="8"/>
  <c r="X22" i="8"/>
  <c r="X405" i="8"/>
  <c r="X69" i="8"/>
  <c r="X21" i="8"/>
  <c r="X334" i="8"/>
  <c r="X165" i="8"/>
  <c r="X246" i="8"/>
  <c r="X122" i="8"/>
  <c r="X38" i="8"/>
  <c r="X333" i="8"/>
  <c r="X307" i="8"/>
  <c r="X400" i="8"/>
  <c r="X281" i="8"/>
  <c r="X121" i="8"/>
  <c r="X37" i="8"/>
  <c r="X403" i="8"/>
  <c r="X358" i="8"/>
  <c r="X94" i="8"/>
  <c r="X332" i="8"/>
  <c r="X196" i="8"/>
  <c r="X287" i="8"/>
  <c r="X285" i="8"/>
  <c r="X104" i="8"/>
  <c r="X272" i="8"/>
  <c r="X242" i="8"/>
  <c r="X78" i="8"/>
  <c r="X36" i="8"/>
  <c r="X32" i="8"/>
  <c r="X211" i="8"/>
  <c r="X401" i="8"/>
  <c r="X204" i="8"/>
  <c r="X148" i="8"/>
  <c r="X201" i="8"/>
  <c r="X91" i="8"/>
  <c r="X261" i="8"/>
  <c r="X357" i="8"/>
  <c r="X331" i="8"/>
  <c r="X45" i="8"/>
  <c r="X361" i="8"/>
  <c r="X279" i="8"/>
  <c r="X199" i="8"/>
  <c r="X35" i="8"/>
  <c r="X95" i="8"/>
  <c r="X191" i="8"/>
  <c r="X283" i="8"/>
  <c r="X322" i="8"/>
  <c r="X278" i="8"/>
  <c r="X234" i="8"/>
  <c r="X156" i="8"/>
  <c r="X112" i="8"/>
  <c r="X74" i="8"/>
  <c r="X262" i="8"/>
  <c r="X190" i="8"/>
  <c r="X368" i="8"/>
  <c r="X259" i="8"/>
  <c r="X238" i="8"/>
  <c r="X293" i="8"/>
  <c r="X149" i="8"/>
  <c r="X124" i="8"/>
  <c r="X73" i="8"/>
  <c r="X31" i="8"/>
  <c r="X381" i="8"/>
  <c r="X356" i="8"/>
  <c r="X128" i="8"/>
  <c r="X212" i="8"/>
  <c r="X317" i="8"/>
  <c r="X292" i="8"/>
  <c r="X188" i="8"/>
  <c r="X119" i="8"/>
  <c r="X48" i="8"/>
  <c r="X144" i="8"/>
  <c r="X335" i="8"/>
  <c r="X68" i="8"/>
  <c r="X157" i="8"/>
  <c r="X380" i="8"/>
  <c r="X345" i="8"/>
  <c r="X316" i="8"/>
  <c r="X224" i="8"/>
  <c r="X142" i="8"/>
  <c r="X57" i="8"/>
  <c r="X394" i="8"/>
  <c r="X352" i="8"/>
  <c r="X275" i="8"/>
  <c r="X193" i="8"/>
  <c r="X151" i="8"/>
  <c r="X65" i="8"/>
  <c r="Y3" i="8" l="1"/>
  <c r="AA3" i="8" s="1"/>
  <c r="AC3" i="8" s="1"/>
  <c r="C4" i="9" s="1"/>
  <c r="Y4" i="8" l="1"/>
  <c r="AA4" i="8" l="1"/>
  <c r="AC4" i="8" s="1"/>
  <c r="C5" i="9" s="1"/>
  <c r="Y5" i="8"/>
  <c r="AA5" i="8" l="1"/>
  <c r="AC5" i="8" s="1"/>
  <c r="C6" i="9" s="1"/>
  <c r="Y6" i="8"/>
  <c r="AA6" i="8" l="1"/>
  <c r="AC6" i="8" s="1"/>
  <c r="C7" i="9" s="1"/>
  <c r="Y7" i="8"/>
  <c r="AA7" i="8" l="1"/>
  <c r="AC7" i="8" s="1"/>
  <c r="C8" i="9" s="1"/>
  <c r="Y8" i="8"/>
  <c r="Y9" i="8" l="1"/>
  <c r="AA8" i="8"/>
  <c r="AC8" i="8" s="1"/>
  <c r="C9" i="9" s="1"/>
  <c r="Y10" i="8" l="1"/>
  <c r="AA9" i="8"/>
  <c r="AC9" i="8" s="1"/>
  <c r="C10" i="9" s="1"/>
  <c r="Y11" i="8" l="1"/>
  <c r="AA10" i="8"/>
  <c r="AC10" i="8" s="1"/>
  <c r="C11" i="9" s="1"/>
  <c r="Y12" i="8" l="1"/>
  <c r="AA11" i="8"/>
  <c r="AC11" i="8" s="1"/>
  <c r="C12" i="9" s="1"/>
  <c r="Y13" i="8" l="1"/>
  <c r="AA12" i="8"/>
  <c r="AC12" i="8" s="1"/>
  <c r="C13" i="9" s="1"/>
  <c r="Y14" i="8" l="1"/>
  <c r="AA13" i="8"/>
  <c r="AC13" i="8" s="1"/>
  <c r="C14" i="9" s="1"/>
  <c r="Y15" i="8" l="1"/>
  <c r="AA14" i="8"/>
  <c r="AC14" i="8" s="1"/>
  <c r="C15" i="9" s="1"/>
  <c r="Y16" i="8" l="1"/>
  <c r="AA15" i="8"/>
  <c r="AC15" i="8" s="1"/>
  <c r="C16" i="9" s="1"/>
  <c r="Y17" i="8" l="1"/>
  <c r="AA16" i="8"/>
  <c r="AC16" i="8" s="1"/>
  <c r="C17" i="9" s="1"/>
  <c r="Y18" i="8" l="1"/>
  <c r="AA17" i="8"/>
  <c r="AC17" i="8" s="1"/>
  <c r="C18" i="9" s="1"/>
  <c r="Y19" i="8" l="1"/>
  <c r="AA18" i="8"/>
  <c r="AC18" i="8" s="1"/>
  <c r="C19" i="9" s="1"/>
  <c r="Y20" i="8" l="1"/>
  <c r="AA19" i="8"/>
  <c r="AC19" i="8" s="1"/>
  <c r="C20" i="9" s="1"/>
  <c r="Y21" i="8" l="1"/>
  <c r="AA20" i="8"/>
  <c r="AC20" i="8" s="1"/>
  <c r="C21" i="9" s="1"/>
  <c r="Y22" i="8" l="1"/>
  <c r="AA21" i="8"/>
  <c r="AC21" i="8" s="1"/>
  <c r="C22" i="9" s="1"/>
  <c r="Y23" i="8" l="1"/>
  <c r="AA22" i="8"/>
  <c r="AC22" i="8" s="1"/>
  <c r="C23" i="9" s="1"/>
  <c r="Y24" i="8" l="1"/>
  <c r="AA23" i="8"/>
  <c r="AC23" i="8" s="1"/>
  <c r="C24" i="9" s="1"/>
  <c r="Y25" i="8" l="1"/>
  <c r="AA24" i="8"/>
  <c r="AC24" i="8" s="1"/>
  <c r="C25" i="9" s="1"/>
  <c r="Y26" i="8" l="1"/>
  <c r="AA25" i="8"/>
  <c r="AC25" i="8" s="1"/>
  <c r="C26" i="9" s="1"/>
  <c r="Y27" i="8" l="1"/>
  <c r="AA26" i="8"/>
  <c r="AC26" i="8" s="1"/>
  <c r="C27" i="9" s="1"/>
  <c r="Y28" i="8" l="1"/>
  <c r="AA27" i="8"/>
  <c r="AC27" i="8" s="1"/>
  <c r="C28" i="9" s="1"/>
  <c r="Y29" i="8" l="1"/>
  <c r="AA28" i="8"/>
  <c r="AC28" i="8" s="1"/>
  <c r="C29" i="9" s="1"/>
  <c r="Y30" i="8" l="1"/>
  <c r="AA29" i="8"/>
  <c r="AC29" i="8" s="1"/>
  <c r="C30" i="9" s="1"/>
  <c r="Y31" i="8" l="1"/>
  <c r="AA30" i="8"/>
  <c r="AC30" i="8" s="1"/>
  <c r="C31" i="9" s="1"/>
  <c r="Y32" i="8" l="1"/>
  <c r="AA31" i="8"/>
  <c r="AC31" i="8" s="1"/>
  <c r="C32" i="9" s="1"/>
  <c r="Y33" i="8" l="1"/>
  <c r="AA32" i="8"/>
  <c r="AC32" i="8" s="1"/>
  <c r="C33" i="9" s="1"/>
  <c r="Y34" i="8" l="1"/>
  <c r="AA33" i="8"/>
  <c r="AC33" i="8" s="1"/>
  <c r="C34" i="9" s="1"/>
  <c r="Y35" i="8" l="1"/>
  <c r="AA34" i="8"/>
  <c r="AC34" i="8" s="1"/>
  <c r="C35" i="9" s="1"/>
  <c r="Y36" i="8" l="1"/>
  <c r="AA35" i="8"/>
  <c r="AC35" i="8" s="1"/>
  <c r="C36" i="9" s="1"/>
  <c r="Y37" i="8" l="1"/>
  <c r="AA36" i="8"/>
  <c r="AC36" i="8" s="1"/>
  <c r="C37" i="9" s="1"/>
  <c r="Y38" i="8" l="1"/>
  <c r="AA37" i="8"/>
  <c r="AC37" i="8" s="1"/>
  <c r="C38" i="9" s="1"/>
  <c r="Y39" i="8" l="1"/>
  <c r="AA38" i="8"/>
  <c r="AC38" i="8" s="1"/>
  <c r="C39" i="9" s="1"/>
  <c r="Y40" i="8" l="1"/>
  <c r="AA39" i="8"/>
  <c r="AC39" i="8" s="1"/>
  <c r="C40" i="9" s="1"/>
  <c r="Y41" i="8" l="1"/>
  <c r="AA40" i="8"/>
  <c r="AC40" i="8" s="1"/>
  <c r="C41" i="9" s="1"/>
  <c r="Y42" i="8" l="1"/>
  <c r="AA41" i="8"/>
  <c r="AC41" i="8" s="1"/>
  <c r="C42" i="9" s="1"/>
  <c r="Y43" i="8" l="1"/>
  <c r="AA42" i="8"/>
  <c r="AC42" i="8" s="1"/>
  <c r="C43" i="9" s="1"/>
  <c r="Y44" i="8" l="1"/>
  <c r="AA43" i="8"/>
  <c r="AC43" i="8" s="1"/>
  <c r="C44" i="9" s="1"/>
  <c r="Y45" i="8" l="1"/>
  <c r="AA44" i="8"/>
  <c r="AC44" i="8" s="1"/>
  <c r="C45" i="9" s="1"/>
  <c r="Y46" i="8" l="1"/>
  <c r="AA45" i="8"/>
  <c r="AC45" i="8" s="1"/>
  <c r="C46" i="9" s="1"/>
  <c r="Y47" i="8" l="1"/>
  <c r="AA46" i="8"/>
  <c r="AC46" i="8" s="1"/>
  <c r="C47" i="9" s="1"/>
  <c r="Y48" i="8" l="1"/>
  <c r="AA47" i="8"/>
  <c r="AC47" i="8" s="1"/>
  <c r="C48" i="9" s="1"/>
  <c r="Y49" i="8" l="1"/>
  <c r="AA48" i="8"/>
  <c r="AC48" i="8" s="1"/>
  <c r="C49" i="9" s="1"/>
  <c r="Y50" i="8" l="1"/>
  <c r="AA49" i="8"/>
  <c r="AC49" i="8" s="1"/>
  <c r="C50" i="9" s="1"/>
  <c r="Y51" i="8" l="1"/>
  <c r="AA50" i="8"/>
  <c r="AC50" i="8" s="1"/>
  <c r="C51" i="9" s="1"/>
  <c r="Y52" i="8" l="1"/>
  <c r="AA51" i="8"/>
  <c r="AC51" i="8" s="1"/>
  <c r="C52" i="9" s="1"/>
  <c r="Y53" i="8" l="1"/>
  <c r="AA52" i="8"/>
  <c r="AC52" i="8" s="1"/>
  <c r="C53" i="9" s="1"/>
  <c r="Y54" i="8" l="1"/>
  <c r="AA53" i="8"/>
  <c r="AC53" i="8" s="1"/>
  <c r="C54" i="9" s="1"/>
  <c r="Y55" i="8" l="1"/>
  <c r="AA54" i="8"/>
  <c r="AC54" i="8" s="1"/>
  <c r="C55" i="9" s="1"/>
  <c r="Y56" i="8" l="1"/>
  <c r="AA55" i="8"/>
  <c r="AC55" i="8" s="1"/>
  <c r="C56" i="9" s="1"/>
  <c r="Y57" i="8" l="1"/>
  <c r="AA56" i="8"/>
  <c r="AC56" i="8" s="1"/>
  <c r="C57" i="9" s="1"/>
  <c r="Y58" i="8" l="1"/>
  <c r="AA57" i="8"/>
  <c r="AC57" i="8" s="1"/>
  <c r="C58" i="9" s="1"/>
  <c r="Y59" i="8" l="1"/>
  <c r="AA58" i="8"/>
  <c r="AC58" i="8" s="1"/>
  <c r="C59" i="9" s="1"/>
  <c r="Y60" i="8" l="1"/>
  <c r="AA59" i="8"/>
  <c r="AC59" i="8" s="1"/>
  <c r="C60" i="9" s="1"/>
  <c r="Y61" i="8" l="1"/>
  <c r="AA60" i="8"/>
  <c r="AC60" i="8" s="1"/>
  <c r="C61" i="9" s="1"/>
  <c r="Y62" i="8" l="1"/>
  <c r="AA61" i="8"/>
  <c r="AC61" i="8" s="1"/>
  <c r="C62" i="9" s="1"/>
  <c r="Y63" i="8" l="1"/>
  <c r="AA62" i="8"/>
  <c r="AC62" i="8" s="1"/>
  <c r="C63" i="9" s="1"/>
  <c r="Y64" i="8" l="1"/>
  <c r="AA63" i="8"/>
  <c r="AC63" i="8" s="1"/>
  <c r="C64" i="9" s="1"/>
  <c r="Y65" i="8" l="1"/>
  <c r="AA64" i="8"/>
  <c r="AC64" i="8" s="1"/>
  <c r="C65" i="9" s="1"/>
  <c r="Y66" i="8" l="1"/>
  <c r="AA65" i="8"/>
  <c r="AC65" i="8" s="1"/>
  <c r="C66" i="9" s="1"/>
  <c r="Y67" i="8" l="1"/>
  <c r="AA66" i="8"/>
  <c r="AC66" i="8" s="1"/>
  <c r="C67" i="9" s="1"/>
  <c r="Y68" i="8" l="1"/>
  <c r="AA67" i="8"/>
  <c r="AC67" i="8" s="1"/>
  <c r="C68" i="9" s="1"/>
  <c r="Y69" i="8" l="1"/>
  <c r="AA68" i="8"/>
  <c r="AC68" i="8" s="1"/>
  <c r="C76" i="9" l="1"/>
  <c r="C80" i="9"/>
  <c r="C82" i="9"/>
  <c r="C72" i="9"/>
  <c r="C74" i="9"/>
  <c r="C77" i="9"/>
  <c r="C81" i="9"/>
  <c r="C70" i="9"/>
  <c r="C75" i="9"/>
  <c r="C78" i="9"/>
  <c r="C69" i="9"/>
  <c r="C73" i="9"/>
  <c r="C79" i="9"/>
  <c r="C71" i="9"/>
  <c r="AA69" i="8"/>
  <c r="AC69" i="8" s="1"/>
  <c r="Y70" i="8"/>
  <c r="Y71" i="8" l="1"/>
  <c r="AA70" i="8"/>
  <c r="AC70" i="8" s="1"/>
  <c r="AA71" i="8" l="1"/>
  <c r="AC71" i="8" s="1"/>
  <c r="Y72" i="8"/>
  <c r="Y73" i="8" l="1"/>
  <c r="AA72" i="8"/>
  <c r="AC72" i="8" s="1"/>
  <c r="Y74" i="8" l="1"/>
  <c r="AA73" i="8"/>
  <c r="AC73" i="8" s="1"/>
  <c r="Y75" i="8" l="1"/>
  <c r="AA74" i="8"/>
  <c r="AC74" i="8" s="1"/>
  <c r="Y76" i="8" l="1"/>
  <c r="AA75" i="8"/>
  <c r="AC75" i="8" s="1"/>
  <c r="Y77" i="8" l="1"/>
  <c r="AA76" i="8"/>
  <c r="AC76" i="8" s="1"/>
  <c r="Y78" i="8" l="1"/>
  <c r="AA77" i="8"/>
  <c r="AC77" i="8" s="1"/>
  <c r="Y79" i="8" l="1"/>
  <c r="AA78" i="8"/>
  <c r="AC78" i="8" s="1"/>
  <c r="Y80" i="8" l="1"/>
  <c r="AA79" i="8"/>
  <c r="AC79" i="8" s="1"/>
  <c r="Y81" i="8" l="1"/>
  <c r="AA80" i="8"/>
  <c r="AC80" i="8" s="1"/>
  <c r="Y82" i="8" l="1"/>
  <c r="AA81" i="8"/>
  <c r="AC81" i="8" s="1"/>
  <c r="Y83" i="8" l="1"/>
  <c r="AA82" i="8"/>
  <c r="AC82" i="8" s="1"/>
  <c r="C83" i="9" s="1"/>
  <c r="Y84" i="8" l="1"/>
  <c r="AA83" i="8"/>
  <c r="AC83" i="8" s="1"/>
  <c r="C84" i="9" s="1"/>
  <c r="Y85" i="8" l="1"/>
  <c r="AA84" i="8"/>
  <c r="AC84" i="8" s="1"/>
  <c r="C85" i="9" s="1"/>
  <c r="Y86" i="8" l="1"/>
  <c r="AA85" i="8"/>
  <c r="AC85" i="8" s="1"/>
  <c r="C86" i="9" s="1"/>
  <c r="Y87" i="8" l="1"/>
  <c r="AA86" i="8"/>
  <c r="AC86" i="8" s="1"/>
  <c r="C87" i="9" s="1"/>
  <c r="Y88" i="8" l="1"/>
  <c r="AA87" i="8"/>
  <c r="AC87" i="8" s="1"/>
  <c r="C88" i="9" s="1"/>
  <c r="Y89" i="8" l="1"/>
  <c r="AA88" i="8"/>
  <c r="AC88" i="8" s="1"/>
  <c r="C89" i="9" s="1"/>
  <c r="Y90" i="8" l="1"/>
  <c r="AA89" i="8"/>
  <c r="AC89" i="8" s="1"/>
  <c r="C90" i="9" s="1"/>
  <c r="Y91" i="8" l="1"/>
  <c r="AA90" i="8"/>
  <c r="AC90" i="8" s="1"/>
  <c r="C91" i="9" s="1"/>
  <c r="Y92" i="8" l="1"/>
  <c r="AA91" i="8"/>
  <c r="AC91" i="8" s="1"/>
  <c r="C92" i="9" s="1"/>
  <c r="Y93" i="8" l="1"/>
  <c r="AA92" i="8"/>
  <c r="AC92" i="8" s="1"/>
  <c r="C93" i="9" s="1"/>
  <c r="Y94" i="8" l="1"/>
  <c r="AA93" i="8"/>
  <c r="AC93" i="8" s="1"/>
  <c r="C94" i="9" s="1"/>
  <c r="Y95" i="8" l="1"/>
  <c r="AA94" i="8"/>
  <c r="AC94" i="8" s="1"/>
  <c r="C95" i="9" s="1"/>
  <c r="Y96" i="8" l="1"/>
  <c r="AA95" i="8"/>
  <c r="AC95" i="8" s="1"/>
  <c r="C96" i="9" s="1"/>
  <c r="Y97" i="8" l="1"/>
  <c r="AA96" i="8"/>
  <c r="AC96" i="8" s="1"/>
  <c r="C97" i="9" s="1"/>
  <c r="Y98" i="8" l="1"/>
  <c r="AA97" i="8"/>
  <c r="AC97" i="8" s="1"/>
  <c r="C98" i="9" l="1"/>
  <c r="C99" i="9"/>
  <c r="Y99" i="8"/>
  <c r="AA98" i="8"/>
  <c r="AC98" i="8" s="1"/>
  <c r="Y100" i="8" l="1"/>
  <c r="AA99" i="8"/>
  <c r="AC99" i="8" s="1"/>
  <c r="C100" i="9" s="1"/>
  <c r="Y101" i="8" l="1"/>
  <c r="AA100" i="8"/>
  <c r="AC100" i="8" s="1"/>
  <c r="C101" i="9" s="1"/>
  <c r="Y102" i="8" l="1"/>
  <c r="AA101" i="8"/>
  <c r="AC101" i="8" s="1"/>
  <c r="C102" i="9" s="1"/>
  <c r="Y103" i="8" l="1"/>
  <c r="AA102" i="8"/>
  <c r="AC102" i="8" s="1"/>
  <c r="C103" i="9" s="1"/>
  <c r="Y104" i="8" l="1"/>
  <c r="AA103" i="8"/>
  <c r="AC103" i="8" s="1"/>
  <c r="C104" i="9" s="1"/>
  <c r="Y105" i="8" l="1"/>
  <c r="AA104" i="8"/>
  <c r="AC104" i="8" s="1"/>
  <c r="C105" i="9" s="1"/>
  <c r="Y106" i="8" l="1"/>
  <c r="AA105" i="8"/>
  <c r="AC105" i="8" s="1"/>
  <c r="C106" i="9" s="1"/>
  <c r="Y107" i="8" l="1"/>
  <c r="AA106" i="8"/>
  <c r="AC106" i="8" s="1"/>
  <c r="C107" i="9" s="1"/>
  <c r="Y108" i="8" l="1"/>
  <c r="AA107" i="8"/>
  <c r="AC107" i="8" s="1"/>
  <c r="C108" i="9" s="1"/>
  <c r="Y109" i="8" l="1"/>
  <c r="AA108" i="8"/>
  <c r="AC108" i="8" s="1"/>
  <c r="C109" i="9" s="1"/>
  <c r="Y110" i="8" l="1"/>
  <c r="AA109" i="8"/>
  <c r="AC109" i="8" s="1"/>
  <c r="C110" i="9" s="1"/>
  <c r="Y111" i="8" l="1"/>
  <c r="AA110" i="8"/>
  <c r="AC110" i="8" s="1"/>
  <c r="C111" i="9" s="1"/>
  <c r="Y112" i="8" l="1"/>
  <c r="AA111" i="8"/>
  <c r="AC111" i="8" s="1"/>
  <c r="C112" i="9" s="1"/>
  <c r="Y113" i="8" l="1"/>
  <c r="AA112" i="8"/>
  <c r="AC112" i="8" s="1"/>
  <c r="C113" i="9" s="1"/>
  <c r="Y114" i="8" l="1"/>
  <c r="AA113" i="8"/>
  <c r="AC113" i="8" s="1"/>
  <c r="C114" i="9" s="1"/>
  <c r="Y115" i="8" l="1"/>
  <c r="AA114" i="8"/>
  <c r="AC114" i="8" s="1"/>
  <c r="C115" i="9" s="1"/>
  <c r="Y116" i="8" l="1"/>
  <c r="AA115" i="8"/>
  <c r="AC115" i="8" s="1"/>
  <c r="C116" i="9" s="1"/>
  <c r="Y117" i="8" l="1"/>
  <c r="AA116" i="8"/>
  <c r="AC116" i="8" s="1"/>
  <c r="C117" i="9" s="1"/>
  <c r="Y118" i="8" l="1"/>
  <c r="AA117" i="8"/>
  <c r="AC117" i="8" s="1"/>
  <c r="C118" i="9" s="1"/>
  <c r="Y119" i="8" l="1"/>
  <c r="AA118" i="8"/>
  <c r="AC118" i="8" s="1"/>
  <c r="C119" i="9" s="1"/>
  <c r="Y120" i="8" l="1"/>
  <c r="AA119" i="8"/>
  <c r="AC119" i="8" s="1"/>
  <c r="C120" i="9" s="1"/>
  <c r="Y121" i="8" l="1"/>
  <c r="AA120" i="8"/>
  <c r="AC120" i="8" s="1"/>
  <c r="C121" i="9" s="1"/>
  <c r="Y122" i="8" l="1"/>
  <c r="AA121" i="8"/>
  <c r="AC121" i="8" s="1"/>
  <c r="C122" i="9" s="1"/>
  <c r="Y123" i="8" l="1"/>
  <c r="AA122" i="8"/>
  <c r="AC122" i="8" s="1"/>
  <c r="C123" i="9" s="1"/>
  <c r="Y124" i="8" l="1"/>
  <c r="AA123" i="8"/>
  <c r="AC123" i="8" s="1"/>
  <c r="C124" i="9" s="1"/>
  <c r="Y125" i="8" l="1"/>
  <c r="AA124" i="8"/>
  <c r="AC124" i="8" s="1"/>
  <c r="C125" i="9" s="1"/>
  <c r="Y126" i="8" l="1"/>
  <c r="AA125" i="8"/>
  <c r="AC125" i="8" s="1"/>
  <c r="C126" i="9" s="1"/>
  <c r="Y127" i="8" l="1"/>
  <c r="AA126" i="8"/>
  <c r="AC126" i="8" s="1"/>
  <c r="C127" i="9" s="1"/>
  <c r="Y128" i="8" l="1"/>
  <c r="AA127" i="8"/>
  <c r="AC127" i="8" s="1"/>
  <c r="C128" i="9" s="1"/>
  <c r="Y129" i="8" l="1"/>
  <c r="AA128" i="8"/>
  <c r="AC128" i="8" s="1"/>
  <c r="C129" i="9" s="1"/>
  <c r="Y130" i="8" l="1"/>
  <c r="AA129" i="8"/>
  <c r="AC129" i="8" s="1"/>
  <c r="C130" i="9" s="1"/>
  <c r="Y131" i="8" l="1"/>
  <c r="AA130" i="8"/>
  <c r="AC130" i="8" s="1"/>
  <c r="C131" i="9" s="1"/>
  <c r="Y132" i="8" l="1"/>
  <c r="AA131" i="8"/>
  <c r="AC131" i="8" s="1"/>
  <c r="C132" i="9" s="1"/>
  <c r="Y133" i="8" l="1"/>
  <c r="AA132" i="8"/>
  <c r="AC132" i="8" s="1"/>
  <c r="C133" i="9" s="1"/>
  <c r="Y134" i="8" l="1"/>
  <c r="AA133" i="8"/>
  <c r="AC133" i="8" s="1"/>
  <c r="C134" i="9" s="1"/>
  <c r="Y135" i="8" l="1"/>
  <c r="AA134" i="8"/>
  <c r="AC134" i="8" s="1"/>
  <c r="C135" i="9" s="1"/>
  <c r="Y136" i="8" l="1"/>
  <c r="AA135" i="8"/>
  <c r="AC135" i="8" s="1"/>
  <c r="C136" i="9" s="1"/>
  <c r="Y137" i="8" l="1"/>
  <c r="AA136" i="8"/>
  <c r="AC136" i="8" s="1"/>
  <c r="C137" i="9" s="1"/>
  <c r="Y138" i="8" l="1"/>
  <c r="AA137" i="8"/>
  <c r="AC137" i="8" s="1"/>
  <c r="C138" i="9" s="1"/>
  <c r="Y139" i="8" l="1"/>
  <c r="AA138" i="8"/>
  <c r="AC138" i="8" s="1"/>
  <c r="C139" i="9" s="1"/>
  <c r="Y140" i="8" l="1"/>
  <c r="AA139" i="8"/>
  <c r="AC139" i="8" s="1"/>
  <c r="C140" i="9" s="1"/>
  <c r="Y141" i="8" l="1"/>
  <c r="AA140" i="8"/>
  <c r="AC140" i="8" s="1"/>
  <c r="C141" i="9" s="1"/>
  <c r="Y142" i="8" l="1"/>
  <c r="AA141" i="8"/>
  <c r="AC141" i="8" s="1"/>
  <c r="C142" i="9" s="1"/>
  <c r="Y143" i="8" l="1"/>
  <c r="AA142" i="8"/>
  <c r="AC142" i="8" s="1"/>
  <c r="C143" i="9" s="1"/>
  <c r="Y144" i="8" l="1"/>
  <c r="AA143" i="8"/>
  <c r="AC143" i="8" s="1"/>
  <c r="C144" i="9" s="1"/>
  <c r="Y145" i="8" l="1"/>
  <c r="AA144" i="8"/>
  <c r="AC144" i="8" s="1"/>
  <c r="C145" i="9" s="1"/>
  <c r="Y146" i="8" l="1"/>
  <c r="AA145" i="8"/>
  <c r="AC145" i="8" s="1"/>
  <c r="C146" i="9" s="1"/>
  <c r="Y147" i="8" l="1"/>
  <c r="AA146" i="8"/>
  <c r="AC146" i="8" s="1"/>
  <c r="C147" i="9" s="1"/>
  <c r="Y148" i="8" l="1"/>
  <c r="AA147" i="8"/>
  <c r="AC147" i="8" s="1"/>
  <c r="C148" i="9" s="1"/>
  <c r="Y149" i="8" l="1"/>
  <c r="AA148" i="8"/>
  <c r="AC148" i="8" s="1"/>
  <c r="C149" i="9" s="1"/>
  <c r="Y150" i="8" l="1"/>
  <c r="AA149" i="8"/>
  <c r="AC149" i="8" s="1"/>
  <c r="C150" i="9" s="1"/>
  <c r="Y151" i="8" l="1"/>
  <c r="AA150" i="8"/>
  <c r="AC150" i="8" s="1"/>
  <c r="C151" i="9" s="1"/>
  <c r="Y152" i="8" l="1"/>
  <c r="AA151" i="8"/>
  <c r="AC151" i="8" s="1"/>
  <c r="C152" i="9" s="1"/>
  <c r="Y153" i="8" l="1"/>
  <c r="AA152" i="8"/>
  <c r="AC152" i="8" s="1"/>
  <c r="C153" i="9" s="1"/>
  <c r="Y154" i="8" l="1"/>
  <c r="AA153" i="8"/>
  <c r="AC153" i="8" s="1"/>
  <c r="C154" i="9" s="1"/>
  <c r="Y155" i="8" l="1"/>
  <c r="AA154" i="8"/>
  <c r="AC154" i="8" s="1"/>
  <c r="C155" i="9" s="1"/>
  <c r="Y156" i="8" l="1"/>
  <c r="AA155" i="8"/>
  <c r="AC155" i="8" s="1"/>
  <c r="C156" i="9" s="1"/>
  <c r="Y157" i="8" l="1"/>
  <c r="AA156" i="8"/>
  <c r="AC156" i="8" s="1"/>
  <c r="C157" i="9" s="1"/>
  <c r="Y158" i="8" l="1"/>
  <c r="AA157" i="8"/>
  <c r="AC157" i="8" s="1"/>
  <c r="C158" i="9" s="1"/>
  <c r="Y159" i="8" l="1"/>
  <c r="AA158" i="8"/>
  <c r="AC158" i="8" s="1"/>
  <c r="C159" i="9" s="1"/>
  <c r="Y160" i="8" l="1"/>
  <c r="AA159" i="8"/>
  <c r="AC159" i="8" s="1"/>
  <c r="C160" i="9" s="1"/>
  <c r="Y161" i="8" l="1"/>
  <c r="AA160" i="8"/>
  <c r="AC160" i="8" s="1"/>
  <c r="C161" i="9" s="1"/>
  <c r="Y162" i="8" l="1"/>
  <c r="AA161" i="8"/>
  <c r="AC161" i="8" s="1"/>
  <c r="C162" i="9" s="1"/>
  <c r="Y163" i="8" l="1"/>
  <c r="AA162" i="8"/>
  <c r="AC162" i="8" s="1"/>
  <c r="C163" i="9" s="1"/>
  <c r="Y164" i="8" l="1"/>
  <c r="AA163" i="8"/>
  <c r="AC163" i="8" s="1"/>
  <c r="C164" i="9" s="1"/>
  <c r="Y165" i="8" l="1"/>
  <c r="AA164" i="8"/>
  <c r="AC164" i="8" s="1"/>
  <c r="C165" i="9" s="1"/>
  <c r="Y166" i="8" l="1"/>
  <c r="AA165" i="8"/>
  <c r="AC165" i="8" s="1"/>
  <c r="C166" i="9" s="1"/>
  <c r="Y167" i="8" l="1"/>
  <c r="AA166" i="8"/>
  <c r="AC166" i="8" s="1"/>
  <c r="C167" i="9" s="1"/>
  <c r="Y168" i="8" l="1"/>
  <c r="AA167" i="8"/>
  <c r="AC167" i="8" s="1"/>
  <c r="C168" i="9" s="1"/>
  <c r="Y169" i="8" l="1"/>
  <c r="AA168" i="8"/>
  <c r="AC168" i="8" s="1"/>
  <c r="C169" i="9" s="1"/>
  <c r="Y170" i="8" l="1"/>
  <c r="AA169" i="8"/>
  <c r="AC169" i="8" s="1"/>
  <c r="C170" i="9" s="1"/>
  <c r="Y171" i="8" l="1"/>
  <c r="AA170" i="8"/>
  <c r="AC170" i="8" s="1"/>
  <c r="C171" i="9" s="1"/>
  <c r="Y172" i="8" l="1"/>
  <c r="AA171" i="8"/>
  <c r="AC171" i="8" s="1"/>
  <c r="C172" i="9" s="1"/>
  <c r="Y173" i="8" l="1"/>
  <c r="AA172" i="8"/>
  <c r="AC172" i="8" s="1"/>
  <c r="C173" i="9" s="1"/>
  <c r="Y174" i="8" l="1"/>
  <c r="AA173" i="8"/>
  <c r="AC173" i="8" s="1"/>
  <c r="C174" i="9" s="1"/>
  <c r="Y175" i="8" l="1"/>
  <c r="AA174" i="8"/>
  <c r="AC174" i="8" s="1"/>
  <c r="C175" i="9" s="1"/>
  <c r="Y176" i="8" l="1"/>
  <c r="AA175" i="8"/>
  <c r="AC175" i="8" s="1"/>
  <c r="C176" i="9" s="1"/>
  <c r="Y177" i="8" l="1"/>
  <c r="AA176" i="8"/>
  <c r="AC176" i="8" s="1"/>
  <c r="C177" i="9" s="1"/>
  <c r="Y178" i="8" l="1"/>
  <c r="AA177" i="8"/>
  <c r="AC177" i="8" s="1"/>
  <c r="C178" i="9" s="1"/>
  <c r="Y179" i="8" l="1"/>
  <c r="AA178" i="8"/>
  <c r="AC178" i="8" s="1"/>
  <c r="C179" i="9" s="1"/>
  <c r="Y180" i="8" l="1"/>
  <c r="AA179" i="8"/>
  <c r="AC179" i="8" s="1"/>
  <c r="C180" i="9" s="1"/>
  <c r="Y181" i="8" l="1"/>
  <c r="AA180" i="8"/>
  <c r="AC180" i="8" s="1"/>
  <c r="C181" i="9" s="1"/>
  <c r="Y182" i="8" l="1"/>
  <c r="AA181" i="8"/>
  <c r="AC181" i="8" s="1"/>
  <c r="C182" i="9" s="1"/>
  <c r="Y183" i="8" l="1"/>
  <c r="AA182" i="8"/>
  <c r="AC182" i="8" s="1"/>
  <c r="C183" i="9" s="1"/>
  <c r="Y184" i="8" l="1"/>
  <c r="AA183" i="8"/>
  <c r="AC183" i="8" s="1"/>
  <c r="C184" i="9" s="1"/>
  <c r="Y185" i="8" l="1"/>
  <c r="AA184" i="8"/>
  <c r="AC184" i="8" s="1"/>
  <c r="C185" i="9" s="1"/>
  <c r="Y186" i="8" l="1"/>
  <c r="AA185" i="8"/>
  <c r="AC185" i="8" s="1"/>
  <c r="C186" i="9" s="1"/>
  <c r="Y187" i="8" l="1"/>
  <c r="AA186" i="8"/>
  <c r="AC186" i="8" s="1"/>
  <c r="C187" i="9" s="1"/>
  <c r="Y188" i="8" l="1"/>
  <c r="AA187" i="8"/>
  <c r="AC187" i="8" s="1"/>
  <c r="C188" i="9" s="1"/>
  <c r="Y189" i="8" l="1"/>
  <c r="AA188" i="8"/>
  <c r="AC188" i="8" s="1"/>
  <c r="C189" i="9" s="1"/>
  <c r="Y190" i="8" l="1"/>
  <c r="AA189" i="8"/>
  <c r="AC189" i="8" s="1"/>
  <c r="C190" i="9" s="1"/>
  <c r="Y191" i="8" l="1"/>
  <c r="AA190" i="8"/>
  <c r="AC190" i="8" s="1"/>
  <c r="C191" i="9" s="1"/>
  <c r="Y192" i="8" l="1"/>
  <c r="AA191" i="8"/>
  <c r="AC191" i="8" s="1"/>
  <c r="C192" i="9" s="1"/>
  <c r="Y193" i="8" l="1"/>
  <c r="AA192" i="8"/>
  <c r="AC192" i="8" s="1"/>
  <c r="C193" i="9" s="1"/>
  <c r="Y194" i="8" l="1"/>
  <c r="AA193" i="8"/>
  <c r="AC193" i="8" s="1"/>
  <c r="C194" i="9" s="1"/>
  <c r="Y195" i="8" l="1"/>
  <c r="AA194" i="8"/>
  <c r="AC194" i="8" s="1"/>
  <c r="C195" i="9" s="1"/>
  <c r="Y196" i="8" l="1"/>
  <c r="AA195" i="8"/>
  <c r="AC195" i="8" s="1"/>
  <c r="C196" i="9" s="1"/>
  <c r="Y197" i="8" l="1"/>
  <c r="AA196" i="8"/>
  <c r="AC196" i="8" s="1"/>
  <c r="C197" i="9" s="1"/>
  <c r="Y198" i="8" l="1"/>
  <c r="AA197" i="8"/>
  <c r="AC197" i="8" s="1"/>
  <c r="C198" i="9" s="1"/>
  <c r="Y199" i="8" l="1"/>
  <c r="AA198" i="8"/>
  <c r="AC198" i="8" s="1"/>
  <c r="C199" i="9" s="1"/>
  <c r="Y200" i="8" l="1"/>
  <c r="AA199" i="8"/>
  <c r="AC199" i="8" s="1"/>
  <c r="C200" i="9" s="1"/>
  <c r="Y201" i="8" l="1"/>
  <c r="AA200" i="8"/>
  <c r="AC200" i="8" s="1"/>
  <c r="C201" i="9" s="1"/>
  <c r="Y202" i="8" l="1"/>
  <c r="AA201" i="8"/>
  <c r="AC201" i="8" s="1"/>
  <c r="C202" i="9" s="1"/>
  <c r="Y203" i="8" l="1"/>
  <c r="AA202" i="8"/>
  <c r="AC202" i="8" s="1"/>
  <c r="C203" i="9" s="1"/>
  <c r="Y204" i="8" l="1"/>
  <c r="AA203" i="8"/>
  <c r="AC203" i="8" s="1"/>
  <c r="C204" i="9" s="1"/>
  <c r="Y205" i="8" l="1"/>
  <c r="AA204" i="8"/>
  <c r="AC204" i="8" s="1"/>
  <c r="C205" i="9" s="1"/>
  <c r="Y206" i="8" l="1"/>
  <c r="AA205" i="8"/>
  <c r="AC205" i="8" s="1"/>
  <c r="C206" i="9" s="1"/>
  <c r="Y207" i="8" l="1"/>
  <c r="AA206" i="8"/>
  <c r="AC206" i="8" s="1"/>
  <c r="C207" i="9" s="1"/>
  <c r="Y208" i="8" l="1"/>
  <c r="AA207" i="8"/>
  <c r="AC207" i="8" s="1"/>
  <c r="C208" i="9" s="1"/>
  <c r="Y209" i="8" l="1"/>
  <c r="AA208" i="8"/>
  <c r="AC208" i="8" s="1"/>
  <c r="C209" i="9" s="1"/>
  <c r="Y210" i="8" l="1"/>
  <c r="AA209" i="8"/>
  <c r="AC209" i="8" s="1"/>
  <c r="C210" i="9" s="1"/>
  <c r="Y211" i="8" l="1"/>
  <c r="AA210" i="8"/>
  <c r="AC210" i="8" s="1"/>
  <c r="C211" i="9" s="1"/>
  <c r="Y212" i="8" l="1"/>
  <c r="AA211" i="8"/>
  <c r="AC211" i="8" s="1"/>
  <c r="C212" i="9" s="1"/>
  <c r="Y213" i="8" l="1"/>
  <c r="AA212" i="8"/>
  <c r="AC212" i="8" s="1"/>
  <c r="C213" i="9" s="1"/>
  <c r="Y214" i="8" l="1"/>
  <c r="AA213" i="8"/>
  <c r="AC213" i="8" s="1"/>
  <c r="C214" i="9" s="1"/>
  <c r="Y215" i="8" l="1"/>
  <c r="AA214" i="8"/>
  <c r="AC214" i="8" s="1"/>
  <c r="C215" i="9" s="1"/>
  <c r="Y216" i="8" l="1"/>
  <c r="AA215" i="8"/>
  <c r="AC215" i="8" s="1"/>
  <c r="C216" i="9" s="1"/>
  <c r="Y217" i="8" l="1"/>
  <c r="AA216" i="8"/>
  <c r="AC216" i="8" s="1"/>
  <c r="C217" i="9" s="1"/>
  <c r="Y218" i="8" l="1"/>
  <c r="AA217" i="8"/>
  <c r="AC217" i="8" s="1"/>
  <c r="C218" i="9" s="1"/>
  <c r="Y219" i="8" l="1"/>
  <c r="AA218" i="8"/>
  <c r="AC218" i="8" s="1"/>
  <c r="C219" i="9" s="1"/>
  <c r="Y220" i="8" l="1"/>
  <c r="AA219" i="8"/>
  <c r="AC219" i="8" s="1"/>
  <c r="C220" i="9" s="1"/>
  <c r="Y221" i="8" l="1"/>
  <c r="AA220" i="8"/>
  <c r="AC220" i="8" s="1"/>
  <c r="C221" i="9" s="1"/>
  <c r="Y222" i="8" l="1"/>
  <c r="AA221" i="8"/>
  <c r="AC221" i="8" s="1"/>
  <c r="C222" i="9" s="1"/>
  <c r="Y223" i="8" l="1"/>
  <c r="AA222" i="8"/>
  <c r="AC222" i="8" s="1"/>
  <c r="C223" i="9" s="1"/>
  <c r="Y224" i="8" l="1"/>
  <c r="AA223" i="8"/>
  <c r="AC223" i="8" s="1"/>
  <c r="C224" i="9" s="1"/>
  <c r="Y225" i="8" l="1"/>
  <c r="AA224" i="8"/>
  <c r="AC224" i="8" s="1"/>
  <c r="C225" i="9" s="1"/>
  <c r="Y226" i="8" l="1"/>
  <c r="AA225" i="8"/>
  <c r="AC225" i="8" s="1"/>
  <c r="C226" i="9" s="1"/>
  <c r="Y227" i="8" l="1"/>
  <c r="AA226" i="8"/>
  <c r="AC226" i="8" s="1"/>
  <c r="C227" i="9" s="1"/>
  <c r="Y228" i="8" l="1"/>
  <c r="AA227" i="8"/>
  <c r="AC227" i="8" s="1"/>
  <c r="C228" i="9" s="1"/>
  <c r="Y229" i="8" l="1"/>
  <c r="AA228" i="8"/>
  <c r="AC228" i="8" s="1"/>
  <c r="C229" i="9" s="1"/>
  <c r="Y230" i="8" l="1"/>
  <c r="AA229" i="8"/>
  <c r="AC229" i="8" s="1"/>
  <c r="C230" i="9" s="1"/>
  <c r="Y231" i="8" l="1"/>
  <c r="AA230" i="8"/>
  <c r="AC230" i="8" s="1"/>
  <c r="C231" i="9" s="1"/>
  <c r="Y232" i="8" l="1"/>
  <c r="AA231" i="8"/>
  <c r="AC231" i="8" s="1"/>
  <c r="C232" i="9" s="1"/>
  <c r="Y233" i="8" l="1"/>
  <c r="AA232" i="8"/>
  <c r="AC232" i="8" s="1"/>
  <c r="C233" i="9" s="1"/>
  <c r="Y234" i="8" l="1"/>
  <c r="AA233" i="8"/>
  <c r="AC233" i="8" s="1"/>
  <c r="C234" i="9" s="1"/>
  <c r="Y235" i="8" l="1"/>
  <c r="AA234" i="8"/>
  <c r="AC234" i="8" s="1"/>
  <c r="C235" i="9" s="1"/>
  <c r="Y236" i="8" l="1"/>
  <c r="AA235" i="8"/>
  <c r="AC235" i="8" s="1"/>
  <c r="C236" i="9" s="1"/>
  <c r="Y237" i="8" l="1"/>
  <c r="AA236" i="8"/>
  <c r="AC236" i="8" s="1"/>
  <c r="C237" i="9" s="1"/>
  <c r="Y238" i="8" l="1"/>
  <c r="AA237" i="8"/>
  <c r="AC237" i="8" s="1"/>
  <c r="C238" i="9" s="1"/>
  <c r="Y239" i="8" l="1"/>
  <c r="AA238" i="8"/>
  <c r="AC238" i="8" s="1"/>
  <c r="C239" i="9" s="1"/>
  <c r="Y240" i="8" l="1"/>
  <c r="AA239" i="8"/>
  <c r="AC239" i="8" s="1"/>
  <c r="C240" i="9" s="1"/>
  <c r="Y241" i="8" l="1"/>
  <c r="AA240" i="8"/>
  <c r="AC240" i="8" s="1"/>
  <c r="C241" i="9" s="1"/>
  <c r="Y242" i="8" l="1"/>
  <c r="AA241" i="8"/>
  <c r="AC241" i="8" s="1"/>
  <c r="C242" i="9" s="1"/>
  <c r="Y243" i="8" l="1"/>
  <c r="AA242" i="8"/>
  <c r="AC242" i="8" s="1"/>
  <c r="C243" i="9" s="1"/>
  <c r="Y244" i="8" l="1"/>
  <c r="AA243" i="8"/>
  <c r="AC243" i="8" s="1"/>
  <c r="C244" i="9" s="1"/>
  <c r="Y245" i="8" l="1"/>
  <c r="AA244" i="8"/>
  <c r="AC244" i="8" s="1"/>
  <c r="C245" i="9" s="1"/>
  <c r="Y246" i="8" l="1"/>
  <c r="AA245" i="8"/>
  <c r="AC245" i="8" s="1"/>
  <c r="C246" i="9" s="1"/>
  <c r="Y247" i="8" l="1"/>
  <c r="AA246" i="8"/>
  <c r="AC246" i="8" s="1"/>
  <c r="C247" i="9" s="1"/>
  <c r="Y248" i="8" l="1"/>
  <c r="AA247" i="8"/>
  <c r="AC247" i="8" s="1"/>
  <c r="C248" i="9" s="1"/>
  <c r="Y249" i="8" l="1"/>
  <c r="AA248" i="8"/>
  <c r="AC248" i="8" s="1"/>
  <c r="C249" i="9" s="1"/>
  <c r="Y250" i="8" l="1"/>
  <c r="AA249" i="8"/>
  <c r="AC249" i="8" s="1"/>
  <c r="C250" i="9" s="1"/>
  <c r="Y251" i="8" l="1"/>
  <c r="AA250" i="8"/>
  <c r="AC250" i="8" s="1"/>
  <c r="C251" i="9" s="1"/>
  <c r="Y252" i="8" l="1"/>
  <c r="AA251" i="8"/>
  <c r="AC251" i="8" s="1"/>
  <c r="C252" i="9" s="1"/>
  <c r="Y253" i="8" l="1"/>
  <c r="AA252" i="8"/>
  <c r="AC252" i="8" s="1"/>
  <c r="C253" i="9" s="1"/>
  <c r="Y254" i="8" l="1"/>
  <c r="AA253" i="8"/>
  <c r="AC253" i="8" s="1"/>
  <c r="C254" i="9" s="1"/>
  <c r="Y255" i="8" l="1"/>
  <c r="AA254" i="8"/>
  <c r="AC254" i="8" s="1"/>
  <c r="C255" i="9" s="1"/>
  <c r="Y256" i="8" l="1"/>
  <c r="AA255" i="8"/>
  <c r="AC255" i="8" s="1"/>
  <c r="C256" i="9" s="1"/>
  <c r="Y257" i="8" l="1"/>
  <c r="AA256" i="8"/>
  <c r="AC256" i="8" s="1"/>
  <c r="C257" i="9" s="1"/>
  <c r="Y258" i="8" l="1"/>
  <c r="AA257" i="8"/>
  <c r="AC257" i="8" s="1"/>
  <c r="C258" i="9" s="1"/>
  <c r="Y259" i="8" l="1"/>
  <c r="AA258" i="8"/>
  <c r="AC258" i="8" s="1"/>
  <c r="C259" i="9" s="1"/>
  <c r="Y260" i="8" l="1"/>
  <c r="AA259" i="8"/>
  <c r="AC259" i="8" s="1"/>
  <c r="C260" i="9" s="1"/>
  <c r="Y261" i="8" l="1"/>
  <c r="AA260" i="8"/>
  <c r="AC260" i="8" s="1"/>
  <c r="C261" i="9" s="1"/>
  <c r="Y262" i="8" l="1"/>
  <c r="AA261" i="8"/>
  <c r="AC261" i="8" s="1"/>
  <c r="C262" i="9" s="1"/>
  <c r="Y263" i="8" l="1"/>
  <c r="AA262" i="8"/>
  <c r="AC262" i="8" s="1"/>
  <c r="C263" i="9" s="1"/>
  <c r="Y264" i="8" l="1"/>
  <c r="AA263" i="8"/>
  <c r="AC263" i="8" s="1"/>
  <c r="C264" i="9" s="1"/>
  <c r="Y265" i="8" l="1"/>
  <c r="AA264" i="8"/>
  <c r="AC264" i="8" s="1"/>
  <c r="C265" i="9" s="1"/>
  <c r="Y266" i="8" l="1"/>
  <c r="AA265" i="8"/>
  <c r="AC265" i="8" s="1"/>
  <c r="C266" i="9" s="1"/>
  <c r="Y267" i="8" l="1"/>
  <c r="AA266" i="8"/>
  <c r="AC266" i="8" s="1"/>
  <c r="C267" i="9" s="1"/>
  <c r="Y268" i="8" l="1"/>
  <c r="AA267" i="8"/>
  <c r="AC267" i="8" s="1"/>
  <c r="C268" i="9" s="1"/>
  <c r="Y269" i="8" l="1"/>
  <c r="AA268" i="8"/>
  <c r="AC268" i="8" s="1"/>
  <c r="C269" i="9" s="1"/>
  <c r="Y270" i="8" l="1"/>
  <c r="AA269" i="8"/>
  <c r="AC269" i="8" s="1"/>
  <c r="C270" i="9" s="1"/>
  <c r="Y271" i="8" l="1"/>
  <c r="AA270" i="8"/>
  <c r="AC270" i="8" s="1"/>
  <c r="C271" i="9" s="1"/>
  <c r="Y272" i="8" l="1"/>
  <c r="AA271" i="8"/>
  <c r="AC271" i="8" s="1"/>
  <c r="C272" i="9" s="1"/>
  <c r="Y273" i="8" l="1"/>
  <c r="AA272" i="8"/>
  <c r="AC272" i="8" s="1"/>
  <c r="C273" i="9" s="1"/>
  <c r="Y274" i="8" l="1"/>
  <c r="AA273" i="8"/>
  <c r="AC273" i="8" s="1"/>
  <c r="C274" i="9" s="1"/>
  <c r="Y275" i="8" l="1"/>
  <c r="AA274" i="8"/>
  <c r="AC274" i="8" s="1"/>
  <c r="C275" i="9" s="1"/>
  <c r="Y276" i="8" l="1"/>
  <c r="AA275" i="8"/>
  <c r="AC275" i="8" s="1"/>
  <c r="C276" i="9" s="1"/>
  <c r="Y277" i="8" l="1"/>
  <c r="AA276" i="8"/>
  <c r="AC276" i="8" s="1"/>
  <c r="C277" i="9" s="1"/>
  <c r="Y278" i="8" l="1"/>
  <c r="AA277" i="8"/>
  <c r="AC277" i="8" s="1"/>
  <c r="C278" i="9" s="1"/>
  <c r="Y279" i="8" l="1"/>
  <c r="AA278" i="8"/>
  <c r="AC278" i="8" s="1"/>
  <c r="C279" i="9" s="1"/>
  <c r="Y280" i="8" l="1"/>
  <c r="AA279" i="8"/>
  <c r="AC279" i="8" s="1"/>
  <c r="C280" i="9" s="1"/>
  <c r="Y281" i="8" l="1"/>
  <c r="AA280" i="8"/>
  <c r="AC280" i="8" s="1"/>
  <c r="C281" i="9" s="1"/>
  <c r="Y282" i="8" l="1"/>
  <c r="AA281" i="8"/>
  <c r="AC281" i="8" s="1"/>
  <c r="C282" i="9" s="1"/>
  <c r="Y283" i="8" l="1"/>
  <c r="AA282" i="8"/>
  <c r="AC282" i="8" s="1"/>
  <c r="C283" i="9" s="1"/>
  <c r="Y284" i="8" l="1"/>
  <c r="AA283" i="8"/>
  <c r="AC283" i="8" s="1"/>
  <c r="C284" i="9" s="1"/>
  <c r="Y285" i="8" l="1"/>
  <c r="AA284" i="8"/>
  <c r="AC284" i="8" s="1"/>
  <c r="C285" i="9" s="1"/>
  <c r="Y286" i="8" l="1"/>
  <c r="AA285" i="8"/>
  <c r="AC285" i="8" s="1"/>
  <c r="C286" i="9" s="1"/>
  <c r="Y287" i="8" l="1"/>
  <c r="AA286" i="8"/>
  <c r="AC286" i="8" s="1"/>
  <c r="C287" i="9" s="1"/>
  <c r="Y288" i="8" l="1"/>
  <c r="AA287" i="8"/>
  <c r="AC287" i="8" s="1"/>
  <c r="C288" i="9" s="1"/>
  <c r="Y289" i="8" l="1"/>
  <c r="AA288" i="8"/>
  <c r="AC288" i="8" s="1"/>
  <c r="C289" i="9" s="1"/>
  <c r="Y290" i="8" l="1"/>
  <c r="AA289" i="8"/>
  <c r="AC289" i="8" s="1"/>
  <c r="C290" i="9" s="1"/>
  <c r="Y291" i="8" l="1"/>
  <c r="AA290" i="8"/>
  <c r="AC290" i="8" s="1"/>
  <c r="C291" i="9" s="1"/>
  <c r="Y292" i="8" l="1"/>
  <c r="AA291" i="8"/>
  <c r="AC291" i="8" s="1"/>
  <c r="C292" i="9" s="1"/>
  <c r="Y293" i="8" l="1"/>
  <c r="AA292" i="8"/>
  <c r="AC292" i="8" s="1"/>
  <c r="C293" i="9" s="1"/>
  <c r="Y294" i="8" l="1"/>
  <c r="AA293" i="8"/>
  <c r="AC293" i="8" s="1"/>
  <c r="C294" i="9" s="1"/>
  <c r="Y295" i="8" l="1"/>
  <c r="AA294" i="8"/>
  <c r="AC294" i="8" s="1"/>
  <c r="C295" i="9" s="1"/>
  <c r="Y296" i="8" l="1"/>
  <c r="AA295" i="8"/>
  <c r="AC295" i="8" s="1"/>
  <c r="C296" i="9" s="1"/>
  <c r="Y297" i="8" l="1"/>
  <c r="AA296" i="8"/>
  <c r="AC296" i="8" s="1"/>
  <c r="C297" i="9" s="1"/>
  <c r="Y298" i="8" l="1"/>
  <c r="AA297" i="8"/>
  <c r="AC297" i="8" s="1"/>
  <c r="C298" i="9" s="1"/>
  <c r="Y299" i="8" l="1"/>
  <c r="AA298" i="8"/>
  <c r="AC298" i="8" s="1"/>
  <c r="C299" i="9" s="1"/>
  <c r="Y300" i="8" l="1"/>
  <c r="AA299" i="8"/>
  <c r="AC299" i="8" s="1"/>
  <c r="C300" i="9" s="1"/>
  <c r="Y301" i="8" l="1"/>
  <c r="AA300" i="8"/>
  <c r="AC300" i="8" s="1"/>
  <c r="C301" i="9" s="1"/>
  <c r="Y302" i="8" l="1"/>
  <c r="AA301" i="8"/>
  <c r="AC301" i="8" s="1"/>
  <c r="C302" i="9" s="1"/>
  <c r="Y303" i="8" l="1"/>
  <c r="AA302" i="8"/>
  <c r="AC302" i="8" s="1"/>
  <c r="C303" i="9" s="1"/>
  <c r="Y304" i="8" l="1"/>
  <c r="AA303" i="8"/>
  <c r="AC303" i="8" s="1"/>
  <c r="C304" i="9" s="1"/>
  <c r="Y305" i="8" l="1"/>
  <c r="AA304" i="8"/>
  <c r="AC304" i="8" s="1"/>
  <c r="C305" i="9" s="1"/>
  <c r="Y306" i="8" l="1"/>
  <c r="AA305" i="8"/>
  <c r="AC305" i="8" s="1"/>
  <c r="C306" i="9" s="1"/>
  <c r="Y307" i="8" l="1"/>
  <c r="AA306" i="8"/>
  <c r="AC306" i="8" s="1"/>
  <c r="C307" i="9" s="1"/>
  <c r="Y308" i="8" l="1"/>
  <c r="AA307" i="8"/>
  <c r="AC307" i="8" s="1"/>
  <c r="C308" i="9" s="1"/>
  <c r="Y309" i="8" l="1"/>
  <c r="AA308" i="8"/>
  <c r="AC308" i="8" s="1"/>
  <c r="C309" i="9" s="1"/>
  <c r="Y310" i="8" l="1"/>
  <c r="AA309" i="8"/>
  <c r="AC309" i="8" s="1"/>
  <c r="C310" i="9" s="1"/>
  <c r="Y311" i="8" l="1"/>
  <c r="AA310" i="8"/>
  <c r="AC310" i="8" s="1"/>
  <c r="C311" i="9" s="1"/>
  <c r="Y312" i="8" l="1"/>
  <c r="AA311" i="8"/>
  <c r="AC311" i="8" s="1"/>
  <c r="C312" i="9" s="1"/>
  <c r="Y313" i="8" l="1"/>
  <c r="AA312" i="8"/>
  <c r="AC312" i="8" s="1"/>
  <c r="C313" i="9" s="1"/>
  <c r="Y314" i="8" l="1"/>
  <c r="AA313" i="8"/>
  <c r="AC313" i="8" s="1"/>
  <c r="C314" i="9" s="1"/>
  <c r="Y315" i="8" l="1"/>
  <c r="AA314" i="8"/>
  <c r="AC314" i="8" s="1"/>
  <c r="C315" i="9" s="1"/>
  <c r="Y316" i="8" l="1"/>
  <c r="AA315" i="8"/>
  <c r="AC315" i="8" s="1"/>
  <c r="C316" i="9" s="1"/>
  <c r="Y317" i="8" l="1"/>
  <c r="AA316" i="8"/>
  <c r="AC316" i="8" s="1"/>
  <c r="C317" i="9" s="1"/>
  <c r="Y318" i="8" l="1"/>
  <c r="AA317" i="8"/>
  <c r="AC317" i="8" s="1"/>
  <c r="C318" i="9" s="1"/>
  <c r="Y319" i="8" l="1"/>
  <c r="AA318" i="8"/>
  <c r="AC318" i="8" s="1"/>
  <c r="C319" i="9" s="1"/>
  <c r="Y320" i="8" l="1"/>
  <c r="AA319" i="8"/>
  <c r="AC319" i="8" s="1"/>
  <c r="C320" i="9" s="1"/>
  <c r="Y321" i="8" l="1"/>
  <c r="AA320" i="8"/>
  <c r="AC320" i="8" s="1"/>
  <c r="C321" i="9" s="1"/>
  <c r="Y322" i="8" l="1"/>
  <c r="AA321" i="8"/>
  <c r="AC321" i="8" s="1"/>
  <c r="C322" i="9" s="1"/>
  <c r="Y323" i="8" l="1"/>
  <c r="AA322" i="8"/>
  <c r="AC322" i="8" s="1"/>
  <c r="C323" i="9" s="1"/>
  <c r="Y324" i="8" l="1"/>
  <c r="AA323" i="8"/>
  <c r="AC323" i="8" s="1"/>
  <c r="C324" i="9" s="1"/>
  <c r="Y325" i="8" l="1"/>
  <c r="AA324" i="8"/>
  <c r="AC324" i="8" s="1"/>
  <c r="C325" i="9" s="1"/>
  <c r="Y326" i="8" l="1"/>
  <c r="AA325" i="8"/>
  <c r="AC325" i="8" s="1"/>
  <c r="C326" i="9" s="1"/>
  <c r="Y327" i="8" l="1"/>
  <c r="AA326" i="8"/>
  <c r="AC326" i="8" s="1"/>
  <c r="C327" i="9" s="1"/>
  <c r="Y328" i="8" l="1"/>
  <c r="AA327" i="8"/>
  <c r="AC327" i="8" s="1"/>
  <c r="C328" i="9" s="1"/>
  <c r="Y329" i="8" l="1"/>
  <c r="AA328" i="8"/>
  <c r="AC328" i="8" s="1"/>
  <c r="C329" i="9" s="1"/>
  <c r="Y330" i="8" l="1"/>
  <c r="AA329" i="8"/>
  <c r="AC329" i="8" s="1"/>
  <c r="C330" i="9" s="1"/>
  <c r="Y331" i="8" l="1"/>
  <c r="AA330" i="8"/>
  <c r="AC330" i="8" s="1"/>
  <c r="C331" i="9" s="1"/>
  <c r="Y332" i="8" l="1"/>
  <c r="AA331" i="8"/>
  <c r="AC331" i="8" s="1"/>
  <c r="C332" i="9" s="1"/>
  <c r="Y333" i="8" l="1"/>
  <c r="AA332" i="8"/>
  <c r="AC332" i="8" s="1"/>
  <c r="C333" i="9" s="1"/>
  <c r="Y334" i="8" l="1"/>
  <c r="AA333" i="8"/>
  <c r="AC333" i="8" s="1"/>
  <c r="C334" i="9" s="1"/>
  <c r="Y335" i="8" l="1"/>
  <c r="AA334" i="8"/>
  <c r="AC334" i="8" s="1"/>
  <c r="C335" i="9" s="1"/>
  <c r="Y336" i="8" l="1"/>
  <c r="AA335" i="8"/>
  <c r="AC335" i="8" s="1"/>
  <c r="C336" i="9" s="1"/>
  <c r="Y337" i="8" l="1"/>
  <c r="AA336" i="8"/>
  <c r="AC336" i="8" s="1"/>
  <c r="C337" i="9" s="1"/>
  <c r="Y338" i="8" l="1"/>
  <c r="AA337" i="8"/>
  <c r="AC337" i="8" s="1"/>
  <c r="C338" i="9" l="1"/>
  <c r="C340" i="9"/>
  <c r="Y339" i="8"/>
  <c r="AA338" i="8"/>
  <c r="AC338" i="8" s="1"/>
  <c r="C339" i="9" l="1"/>
  <c r="C341" i="9"/>
  <c r="C344" i="9"/>
  <c r="Y340" i="8"/>
  <c r="AA339" i="8"/>
  <c r="AC339" i="8" s="1"/>
  <c r="Y341" i="8" l="1"/>
  <c r="AA340" i="8"/>
  <c r="AC340" i="8" s="1"/>
  <c r="Y342" i="8" l="1"/>
  <c r="AA341" i="8"/>
  <c r="AC341" i="8" s="1"/>
  <c r="C342" i="9" s="1"/>
  <c r="Y343" i="8" l="1"/>
  <c r="AA342" i="8"/>
  <c r="AC342" i="8" s="1"/>
  <c r="C343" i="9" s="1"/>
  <c r="Y344" i="8" l="1"/>
  <c r="AA343" i="8"/>
  <c r="AC343" i="8" s="1"/>
  <c r="Y345" i="8" l="1"/>
  <c r="AA344" i="8"/>
  <c r="AC344" i="8" s="1"/>
  <c r="C345" i="9" s="1"/>
  <c r="Y346" i="8" l="1"/>
  <c r="AA345" i="8"/>
  <c r="AC345" i="8" s="1"/>
  <c r="C346" i="9" s="1"/>
  <c r="Y347" i="8" l="1"/>
  <c r="AA346" i="8"/>
  <c r="AC346" i="8" s="1"/>
  <c r="C347" i="9" s="1"/>
  <c r="Y348" i="8" l="1"/>
  <c r="AA347" i="8"/>
  <c r="AC347" i="8" s="1"/>
  <c r="C348" i="9" s="1"/>
  <c r="Y349" i="8" l="1"/>
  <c r="AA348" i="8"/>
  <c r="AC348" i="8" s="1"/>
  <c r="C349" i="9" s="1"/>
  <c r="Y350" i="8" l="1"/>
  <c r="AA349" i="8"/>
  <c r="AC349" i="8" s="1"/>
  <c r="C350" i="9" s="1"/>
  <c r="Y351" i="8" l="1"/>
  <c r="AA350" i="8"/>
  <c r="AC350" i="8" s="1"/>
  <c r="C351" i="9" s="1"/>
  <c r="Y352" i="8" l="1"/>
  <c r="AA351" i="8"/>
  <c r="AC351" i="8" s="1"/>
  <c r="C352" i="9" s="1"/>
  <c r="Y353" i="8" l="1"/>
  <c r="AA352" i="8"/>
  <c r="AC352" i="8" s="1"/>
  <c r="C353" i="9" s="1"/>
  <c r="Y354" i="8" l="1"/>
  <c r="AA353" i="8"/>
  <c r="AC353" i="8" s="1"/>
  <c r="C354" i="9" s="1"/>
  <c r="Y355" i="8" l="1"/>
  <c r="AA354" i="8"/>
  <c r="AC354" i="8" s="1"/>
  <c r="C355" i="9" s="1"/>
  <c r="Y356" i="8" l="1"/>
  <c r="AA355" i="8"/>
  <c r="AC355" i="8" s="1"/>
  <c r="C356" i="9" s="1"/>
  <c r="Y357" i="8" l="1"/>
  <c r="AA356" i="8"/>
  <c r="AC356" i="8" s="1"/>
  <c r="C357" i="9" s="1"/>
  <c r="Y358" i="8" l="1"/>
  <c r="AA357" i="8"/>
  <c r="AC357" i="8" s="1"/>
  <c r="C358" i="9" s="1"/>
  <c r="Y359" i="8" l="1"/>
  <c r="AA358" i="8"/>
  <c r="AC358" i="8" s="1"/>
  <c r="C359" i="9" s="1"/>
  <c r="Y360" i="8" l="1"/>
  <c r="AA359" i="8"/>
  <c r="AC359" i="8" s="1"/>
  <c r="C360" i="9" s="1"/>
  <c r="Y361" i="8" l="1"/>
  <c r="AA360" i="8"/>
  <c r="AC360" i="8" s="1"/>
  <c r="C361" i="9" s="1"/>
  <c r="Y362" i="8" l="1"/>
  <c r="AA361" i="8"/>
  <c r="AC361" i="8" s="1"/>
  <c r="C362" i="9" s="1"/>
  <c r="Y363" i="8" l="1"/>
  <c r="AA362" i="8"/>
  <c r="AC362" i="8" s="1"/>
  <c r="C363" i="9" s="1"/>
  <c r="Y364" i="8" l="1"/>
  <c r="AA363" i="8"/>
  <c r="AC363" i="8" s="1"/>
  <c r="C364" i="9" s="1"/>
  <c r="Y365" i="8" l="1"/>
  <c r="AA364" i="8"/>
  <c r="AC364" i="8" s="1"/>
  <c r="C365" i="9" l="1"/>
  <c r="C366" i="9"/>
  <c r="Y366" i="8"/>
  <c r="AA365" i="8"/>
  <c r="AC365" i="8" s="1"/>
  <c r="AA366" i="8" l="1"/>
  <c r="AC366" i="8" s="1"/>
  <c r="C367" i="9" s="1"/>
  <c r="Y367" i="8"/>
  <c r="Y368" i="8" l="1"/>
  <c r="AA367" i="8"/>
  <c r="AC367" i="8" s="1"/>
  <c r="C368" i="9" s="1"/>
  <c r="Y369" i="8" l="1"/>
  <c r="AA368" i="8"/>
  <c r="AC368" i="8" s="1"/>
  <c r="C369" i="9" s="1"/>
  <c r="Y370" i="8" l="1"/>
  <c r="AA369" i="8"/>
  <c r="AC369" i="8" s="1"/>
  <c r="C370" i="9" s="1"/>
  <c r="Y371" i="8" l="1"/>
  <c r="AA370" i="8"/>
  <c r="AC370" i="8" s="1"/>
  <c r="C371" i="9" s="1"/>
  <c r="Y372" i="8" l="1"/>
  <c r="AA371" i="8"/>
  <c r="AC371" i="8" s="1"/>
  <c r="C372" i="9" s="1"/>
  <c r="Y373" i="8" l="1"/>
  <c r="AA372" i="8"/>
  <c r="AC372" i="8" s="1"/>
  <c r="C373" i="9" s="1"/>
  <c r="Y374" i="8" l="1"/>
  <c r="AA373" i="8"/>
  <c r="AC373" i="8" s="1"/>
  <c r="C374" i="9" s="1"/>
  <c r="Y375" i="8" l="1"/>
  <c r="AA374" i="8"/>
  <c r="AC374" i="8" s="1"/>
  <c r="C375" i="9" s="1"/>
  <c r="Y376" i="8" l="1"/>
  <c r="AA375" i="8"/>
  <c r="AC375" i="8" s="1"/>
  <c r="C376" i="9" s="1"/>
  <c r="Y377" i="8" l="1"/>
  <c r="AA376" i="8"/>
  <c r="AC376" i="8" s="1"/>
  <c r="C377" i="9" s="1"/>
  <c r="Y378" i="8" l="1"/>
  <c r="AA377" i="8"/>
  <c r="AC377" i="8" s="1"/>
  <c r="C378" i="9" s="1"/>
  <c r="Y379" i="8" l="1"/>
  <c r="AA378" i="8"/>
  <c r="AC378" i="8" s="1"/>
  <c r="C379" i="9" s="1"/>
  <c r="Y380" i="8" l="1"/>
  <c r="AA379" i="8"/>
  <c r="AC379" i="8" s="1"/>
  <c r="C380" i="9" s="1"/>
  <c r="Y381" i="8" l="1"/>
  <c r="AA380" i="8"/>
  <c r="AC380" i="8" s="1"/>
  <c r="C381" i="9" s="1"/>
  <c r="Y382" i="8" l="1"/>
  <c r="AA381" i="8"/>
  <c r="AC381" i="8" s="1"/>
  <c r="C382" i="9" s="1"/>
  <c r="Y383" i="8" l="1"/>
  <c r="AA382" i="8"/>
  <c r="AC382" i="8" s="1"/>
  <c r="C383" i="9" s="1"/>
  <c r="Y384" i="8" l="1"/>
  <c r="AA383" i="8"/>
  <c r="AC383" i="8" s="1"/>
  <c r="C384" i="9" s="1"/>
  <c r="Y385" i="8" l="1"/>
  <c r="AA384" i="8"/>
  <c r="AC384" i="8" s="1"/>
  <c r="C385" i="9" s="1"/>
  <c r="Y386" i="8" l="1"/>
  <c r="AA385" i="8"/>
  <c r="AC385" i="8" s="1"/>
  <c r="C386" i="9" s="1"/>
  <c r="Y387" i="8" l="1"/>
  <c r="AA386" i="8"/>
  <c r="AC386" i="8" s="1"/>
  <c r="C387" i="9" s="1"/>
  <c r="Y388" i="8" l="1"/>
  <c r="AA387" i="8"/>
  <c r="AC387" i="8" s="1"/>
  <c r="C388" i="9" s="1"/>
  <c r="Y389" i="8" l="1"/>
  <c r="AA388" i="8"/>
  <c r="AC388" i="8" s="1"/>
  <c r="C389" i="9" s="1"/>
  <c r="Y390" i="8" l="1"/>
  <c r="AA389" i="8"/>
  <c r="AC389" i="8" s="1"/>
  <c r="C390" i="9" s="1"/>
  <c r="Y391" i="8" l="1"/>
  <c r="AA390" i="8"/>
  <c r="AC390" i="8" s="1"/>
  <c r="C391" i="9" s="1"/>
  <c r="Y392" i="8" l="1"/>
  <c r="AA391" i="8"/>
  <c r="AC391" i="8" s="1"/>
  <c r="C392" i="9" s="1"/>
  <c r="Y393" i="8" l="1"/>
  <c r="AA392" i="8"/>
  <c r="AC392" i="8" s="1"/>
  <c r="C393" i="9" s="1"/>
  <c r="Y394" i="8" l="1"/>
  <c r="AA393" i="8"/>
  <c r="AC393" i="8" s="1"/>
  <c r="C394" i="9" s="1"/>
  <c r="Y395" i="8" l="1"/>
  <c r="AA394" i="8"/>
  <c r="AC394" i="8" s="1"/>
  <c r="C395" i="9" s="1"/>
  <c r="Y396" i="8" l="1"/>
  <c r="AA395" i="8"/>
  <c r="AC395" i="8" s="1"/>
  <c r="C396" i="9" s="1"/>
  <c r="Y397" i="8" l="1"/>
  <c r="AA396" i="8"/>
  <c r="AC396" i="8" s="1"/>
  <c r="C397" i="9" s="1"/>
  <c r="Y398" i="8" l="1"/>
  <c r="AA397" i="8"/>
  <c r="AC397" i="8" s="1"/>
  <c r="C398" i="9" s="1"/>
  <c r="Y399" i="8" l="1"/>
  <c r="AA398" i="8"/>
  <c r="AC398" i="8" s="1"/>
  <c r="C399" i="9" s="1"/>
  <c r="Y400" i="8" l="1"/>
  <c r="AA399" i="8"/>
  <c r="AC399" i="8" s="1"/>
  <c r="C400" i="9" s="1"/>
  <c r="Y401" i="8" l="1"/>
  <c r="AA400" i="8"/>
  <c r="AC400" i="8" s="1"/>
  <c r="C401" i="9" s="1"/>
  <c r="Y402" i="8" l="1"/>
  <c r="AA401" i="8"/>
  <c r="AC401" i="8" s="1"/>
  <c r="C402" i="9" s="1"/>
  <c r="Y403" i="8" l="1"/>
  <c r="AA402" i="8"/>
  <c r="AC402" i="8" s="1"/>
  <c r="C403" i="9" s="1"/>
  <c r="Y404" i="8" l="1"/>
  <c r="AA403" i="8"/>
  <c r="AC403" i="8" s="1"/>
  <c r="C404" i="9" s="1"/>
  <c r="Y405" i="8" l="1"/>
  <c r="AA404" i="8"/>
  <c r="AC404" i="8" s="1"/>
  <c r="C405" i="9" s="1"/>
  <c r="Y406" i="8" l="1"/>
  <c r="AA405" i="8"/>
  <c r="AC405" i="8" s="1"/>
  <c r="C406" i="9" s="1"/>
  <c r="Y407" i="8" l="1"/>
  <c r="AA406" i="8"/>
  <c r="AC406" i="8" s="1"/>
  <c r="C407" i="9" s="1"/>
  <c r="Y408" i="8" l="1"/>
  <c r="AA407" i="8"/>
  <c r="AC407" i="8" s="1"/>
  <c r="C408" i="9" s="1"/>
  <c r="Y409" i="8" l="1"/>
  <c r="AA408" i="8"/>
  <c r="AC408" i="8" s="1"/>
  <c r="C409" i="9" s="1"/>
  <c r="Y410" i="8" l="1"/>
  <c r="AA410" i="8" s="1"/>
  <c r="AC410" i="8" s="1"/>
  <c r="C411" i="9" s="1"/>
  <c r="AA409" i="8"/>
  <c r="AC409" i="8" s="1"/>
  <c r="C410" i="9" s="1"/>
</calcChain>
</file>

<file path=xl/sharedStrings.xml><?xml version="1.0" encoding="utf-8"?>
<sst xmlns="http://schemas.openxmlformats.org/spreadsheetml/2006/main" count="24201" uniqueCount="3088">
  <si>
    <t>SUNDRY-SERVICE</t>
  </si>
  <si>
    <t>AC1058-01</t>
  </si>
  <si>
    <t>AC1039-01</t>
  </si>
  <si>
    <t>058-0118-012-T</t>
  </si>
  <si>
    <t>058-6609-037</t>
  </si>
  <si>
    <t>074-0324-T</t>
  </si>
  <si>
    <t>158-0318-T</t>
  </si>
  <si>
    <t>040-0127-T</t>
  </si>
  <si>
    <t>074-0204-004-T</t>
  </si>
  <si>
    <t>074-0100-015-T</t>
  </si>
  <si>
    <t>158-0384-012</t>
  </si>
  <si>
    <t>158-0384-037</t>
  </si>
  <si>
    <t>058-9208-315</t>
  </si>
  <si>
    <t>036-0127-001-T</t>
  </si>
  <si>
    <t>003-0121-001-T</t>
  </si>
  <si>
    <t>9333-0003-T</t>
  </si>
  <si>
    <t>058-0211-003-T</t>
  </si>
  <si>
    <t>9046-0001-T</t>
  </si>
  <si>
    <t>9118-0005-T</t>
  </si>
  <si>
    <t>043-0376-022</t>
  </si>
  <si>
    <t>003-0100-T</t>
  </si>
  <si>
    <t>048-3678-011</t>
  </si>
  <si>
    <t>9745-0010-T</t>
  </si>
  <si>
    <t>003-3447</t>
  </si>
  <si>
    <t>9681-0001-T</t>
  </si>
  <si>
    <t>9292-0048-026-T</t>
  </si>
  <si>
    <t>9292-0048-011-T</t>
  </si>
  <si>
    <t>9292-0048-014-T</t>
  </si>
  <si>
    <t>9292-0048-016-T</t>
  </si>
  <si>
    <t>9292-0048-017-T</t>
  </si>
  <si>
    <t>9292-0048-027-T</t>
  </si>
  <si>
    <t>9292-0048-028-T</t>
  </si>
  <si>
    <t>9292-0048-001-T</t>
  </si>
  <si>
    <t>9292-0048-003-T</t>
  </si>
  <si>
    <t>9292-0048-004-T</t>
  </si>
  <si>
    <t>9292-0048-005-T</t>
  </si>
  <si>
    <t>9292-0048-006-T</t>
  </si>
  <si>
    <t>054-0258-001-T</t>
  </si>
  <si>
    <t>074-0168-002-T</t>
  </si>
  <si>
    <t>9001-0037-T</t>
  </si>
  <si>
    <t>054-0128-003-T</t>
  </si>
  <si>
    <t>158-0235-001-T</t>
  </si>
  <si>
    <t>058-0113-025-T</t>
  </si>
  <si>
    <t>158-0384-050</t>
  </si>
  <si>
    <t>031-1670</t>
  </si>
  <si>
    <t>054-0275-001-T</t>
  </si>
  <si>
    <t>9869-0003-T</t>
  </si>
  <si>
    <t>9941-0177-T</t>
  </si>
  <si>
    <t>058-0119-004-T</t>
  </si>
  <si>
    <t>058-0119-006-T</t>
  </si>
  <si>
    <t>047-0123-T</t>
  </si>
  <si>
    <t>9292-0048-002-T</t>
  </si>
  <si>
    <t>9047-0078-T</t>
  </si>
  <si>
    <t>054-6973-375</t>
  </si>
  <si>
    <t>054-0100-012-T</t>
  </si>
  <si>
    <t>054-0100-013-T</t>
  </si>
  <si>
    <t>9392-0028-001-T</t>
  </si>
  <si>
    <t>9392-0074-T</t>
  </si>
  <si>
    <t>9392-0075-T</t>
  </si>
  <si>
    <t>9125-0027-T</t>
  </si>
  <si>
    <t>054-0124-004-T</t>
  </si>
  <si>
    <t>054-0276-003-T</t>
  </si>
  <si>
    <t>9941-0231-003-T</t>
  </si>
  <si>
    <t>9941-0277-T</t>
  </si>
  <si>
    <t>9292-0048-018-T</t>
  </si>
  <si>
    <t>9292-0048-010-T</t>
  </si>
  <si>
    <t>9292-0048-008-T</t>
  </si>
  <si>
    <t>054-0130-004-T</t>
  </si>
  <si>
    <t>9473-0020-T</t>
  </si>
  <si>
    <t>014-0537-001-T</t>
  </si>
  <si>
    <t>RSA-0428</t>
  </si>
  <si>
    <t>RSA-0518</t>
  </si>
  <si>
    <t>FAC0743</t>
  </si>
  <si>
    <t>036-0119-100-T</t>
  </si>
  <si>
    <t>054-6973-250</t>
  </si>
  <si>
    <t>9392-0046-T</t>
  </si>
  <si>
    <t>9745-0011-T</t>
  </si>
  <si>
    <t>9941-0259-003-T</t>
  </si>
  <si>
    <t>9670-0009-T</t>
  </si>
  <si>
    <t>9562-0014-T</t>
  </si>
  <si>
    <t>058-0118-050-T</t>
  </si>
  <si>
    <t>026-0125-001-T-LB</t>
  </si>
  <si>
    <t>074-0205-004-T</t>
  </si>
  <si>
    <t>074-0204-003-T</t>
  </si>
  <si>
    <t>074-0173-T-LB</t>
  </si>
  <si>
    <t>9880-0049-001-T</t>
  </si>
  <si>
    <t>9292-0048-037-T</t>
  </si>
  <si>
    <t>9292-0048-035-T</t>
  </si>
  <si>
    <t>9941-0231-001-T</t>
  </si>
  <si>
    <t>FAC0541</t>
  </si>
  <si>
    <t>177-0197-005-T</t>
  </si>
  <si>
    <t>134-2446-T-LB</t>
  </si>
  <si>
    <t>9671-0017-T</t>
  </si>
  <si>
    <t>FAC0226</t>
  </si>
  <si>
    <t>9500-0028-002-T</t>
  </si>
  <si>
    <t>211-0868-T</t>
  </si>
  <si>
    <t>211-0869-T</t>
  </si>
  <si>
    <t>211-0867-T</t>
  </si>
  <si>
    <t>9148-0044-T</t>
  </si>
  <si>
    <t>9222-0104-T</t>
  </si>
  <si>
    <t>9148-0043-T</t>
  </si>
  <si>
    <t>FAC0705</t>
  </si>
  <si>
    <t>FAC0785</t>
  </si>
  <si>
    <t>FAC0625</t>
  </si>
  <si>
    <t>FAC0789</t>
  </si>
  <si>
    <t>054-0246-T</t>
  </si>
  <si>
    <t>RSA-0510</t>
  </si>
  <si>
    <t>9122-0012-003-T</t>
  </si>
  <si>
    <t>SUNDRY-INV</t>
  </si>
  <si>
    <t>FAC0776</t>
  </si>
  <si>
    <t>054-0124-T</t>
  </si>
  <si>
    <t>054-0124-022-T</t>
  </si>
  <si>
    <t>054-0124-024-T</t>
  </si>
  <si>
    <t>9880-0037-T</t>
  </si>
  <si>
    <t>FAC0044</t>
  </si>
  <si>
    <t>9222-0102-T</t>
  </si>
  <si>
    <t>212-0104-T</t>
  </si>
  <si>
    <t>212-0112-T</t>
  </si>
  <si>
    <t>212-0341-009-T</t>
  </si>
  <si>
    <t>212-0105-T</t>
  </si>
  <si>
    <t>212-0323-001-T</t>
  </si>
  <si>
    <t>212-0145-T</t>
  </si>
  <si>
    <t>FAC0167</t>
  </si>
  <si>
    <t>WLC6003</t>
  </si>
  <si>
    <t>FAC0732</t>
  </si>
  <si>
    <t>042-0106-T</t>
  </si>
  <si>
    <t>031-0135-007-T</t>
  </si>
  <si>
    <t>9941-0098-T</t>
  </si>
  <si>
    <t>9941-0065-003-T</t>
  </si>
  <si>
    <t>9326-0043-002-T</t>
  </si>
  <si>
    <t>9728-0044-T</t>
  </si>
  <si>
    <t>9745-0018-002-T</t>
  </si>
  <si>
    <t>9941-0195-002-T</t>
  </si>
  <si>
    <t>031-0135-013-T</t>
  </si>
  <si>
    <t>9141-0019-T</t>
  </si>
  <si>
    <t>031-0185-010-T</t>
  </si>
  <si>
    <t>9330-0002-T</t>
  </si>
  <si>
    <t>9873-0007-T</t>
  </si>
  <si>
    <t>9141-0012-T</t>
  </si>
  <si>
    <t>9492-0023-T</t>
  </si>
  <si>
    <t>9941-0084-T</t>
  </si>
  <si>
    <t>9291-0014-T</t>
  </si>
  <si>
    <t>9043-0012-T</t>
  </si>
  <si>
    <t>311-1183</t>
  </si>
  <si>
    <t>9737-0005-T</t>
  </si>
  <si>
    <t>9941-0226-T</t>
  </si>
  <si>
    <t>FAC0124</t>
  </si>
  <si>
    <t>057-0142-T</t>
  </si>
  <si>
    <t>9489-0066-T</t>
  </si>
  <si>
    <t>9671-0021-T</t>
  </si>
  <si>
    <t>9671-0016-001-T</t>
  </si>
  <si>
    <t>9489-0073-002-T</t>
  </si>
  <si>
    <t>9330-0007-T</t>
  </si>
  <si>
    <t>108-4693</t>
  </si>
  <si>
    <t>9671-0019-T</t>
  </si>
  <si>
    <t>RAA-0158</t>
  </si>
  <si>
    <t>RAA-0147</t>
  </si>
  <si>
    <t>RAA-0180</t>
  </si>
  <si>
    <t>9728-0038-001-T</t>
  </si>
  <si>
    <t>9289-0020-006-T</t>
  </si>
  <si>
    <t>FAC0803</t>
  </si>
  <si>
    <t>FAC0631</t>
  </si>
  <si>
    <t>FAC0125</t>
  </si>
  <si>
    <t>FAC0516</t>
  </si>
  <si>
    <t>FAC0117</t>
  </si>
  <si>
    <t>900-0254-T</t>
  </si>
  <si>
    <t>074-0182-T</t>
  </si>
  <si>
    <t>158-0515-T</t>
  </si>
  <si>
    <t>158-0308-T</t>
  </si>
  <si>
    <t>026-0125-001-T</t>
  </si>
  <si>
    <t>074-0173-T</t>
  </si>
  <si>
    <t>134-2446-T</t>
  </si>
  <si>
    <t>014-0120-001-T</t>
  </si>
  <si>
    <t>9142-0010-001-T</t>
  </si>
  <si>
    <t>9671-0018-T</t>
  </si>
  <si>
    <t>9326-0047-002-T</t>
  </si>
  <si>
    <t>014-0205-004-T</t>
  </si>
  <si>
    <t>9326-0059-002-T</t>
  </si>
  <si>
    <t>036-0119-080-T</t>
  </si>
  <si>
    <t>036-0126-T</t>
  </si>
  <si>
    <t>014-0205-005-T</t>
  </si>
  <si>
    <t>211-0253-T</t>
  </si>
  <si>
    <t>211-0252-T</t>
  </si>
  <si>
    <t>074-0265-T</t>
  </si>
  <si>
    <t>9261-0011-490-T</t>
  </si>
  <si>
    <t>211-0254-T</t>
  </si>
  <si>
    <t>019-1172</t>
  </si>
  <si>
    <t>054-6929</t>
  </si>
  <si>
    <t>057-0116-002-T</t>
  </si>
  <si>
    <t>057-0116-T</t>
  </si>
  <si>
    <t>058-0180-004-T</t>
  </si>
  <si>
    <t>177-0197-001-T</t>
  </si>
  <si>
    <t>177-0197-002-T</t>
  </si>
  <si>
    <t>9560-0026-001-T</t>
  </si>
  <si>
    <t>9560-0026-006-T</t>
  </si>
  <si>
    <t>9941-0278-T</t>
  </si>
  <si>
    <t>036-0119-050-T</t>
  </si>
  <si>
    <t>036-1329-207</t>
  </si>
  <si>
    <t>047-2335</t>
  </si>
  <si>
    <t>112-1166-T</t>
  </si>
  <si>
    <t>003-0100-001-T</t>
  </si>
  <si>
    <t>9489-0064-002-T</t>
  </si>
  <si>
    <t>9117-0074-T</t>
  </si>
  <si>
    <t>108-0154-T</t>
  </si>
  <si>
    <t>057-0122-002-T</t>
  </si>
  <si>
    <t>9292-0048-034-T</t>
  </si>
  <si>
    <t>058-0119-005-T</t>
  </si>
  <si>
    <t>9941-0235-T</t>
  </si>
  <si>
    <t>9292-0041-001-T</t>
  </si>
  <si>
    <t>9292-0041-002-T</t>
  </si>
  <si>
    <t>9292-0041-003-T</t>
  </si>
  <si>
    <t>9292-0041-004-T</t>
  </si>
  <si>
    <t>9292-0041-006-T</t>
  </si>
  <si>
    <t>9292-0041-008-T</t>
  </si>
  <si>
    <t>9292-0041-009-T</t>
  </si>
  <si>
    <t>9941-0256-T</t>
  </si>
  <si>
    <t>9442-0010-T</t>
  </si>
  <si>
    <t>9045-0029-T</t>
  </si>
  <si>
    <t>054-0124-007-T</t>
  </si>
  <si>
    <t>211-0850-T</t>
  </si>
  <si>
    <t>9562-0008-T</t>
  </si>
  <si>
    <t>042-0125-T</t>
  </si>
  <si>
    <t>042-0149-T</t>
  </si>
  <si>
    <t>074-0133-005-T</t>
  </si>
  <si>
    <t>074-0181-001-T</t>
  </si>
  <si>
    <t>9292-0048-012-T</t>
  </si>
  <si>
    <t>257-0134-001-T</t>
  </si>
  <si>
    <t>9738-0001-001-T</t>
  </si>
  <si>
    <t>036-1383</t>
  </si>
  <si>
    <t>9117-0017-T</t>
  </si>
  <si>
    <t>9045-0019-001-T</t>
  </si>
  <si>
    <t>9678-0005-T</t>
  </si>
  <si>
    <t>9670-0003-001-T</t>
  </si>
  <si>
    <t>070-0121-T</t>
  </si>
  <si>
    <t>097-0105-093-T</t>
  </si>
  <si>
    <t>036-1329-211</t>
  </si>
  <si>
    <t>060-0100-010-T</t>
  </si>
  <si>
    <t>112-1120-005-T</t>
  </si>
  <si>
    <t>057-0137-T</t>
  </si>
  <si>
    <t>036-0133-T</t>
  </si>
  <si>
    <t>036-0139-T</t>
  </si>
  <si>
    <t>151-0111-T</t>
  </si>
  <si>
    <t>9384-0003-001-T</t>
  </si>
  <si>
    <t>9117-0052-T</t>
  </si>
  <si>
    <t>9117-0051-T</t>
  </si>
  <si>
    <t>070-0125-T</t>
  </si>
  <si>
    <t>9492-0005-T</t>
  </si>
  <si>
    <t>9740-0029-T</t>
  </si>
  <si>
    <t>108-0212-T</t>
  </si>
  <si>
    <t>9292-0052-002-T</t>
  </si>
  <si>
    <t>9292-0053-001-T</t>
  </si>
  <si>
    <t>263-0103-003-T</t>
  </si>
  <si>
    <t>263-0103-007-T</t>
  </si>
  <si>
    <t>108-0119-T</t>
  </si>
  <si>
    <t>9758-0007-T</t>
  </si>
  <si>
    <t>054-0249-T</t>
  </si>
  <si>
    <t>9758-0015-T</t>
  </si>
  <si>
    <t>108-0647</t>
  </si>
  <si>
    <t>9489-0121-T</t>
  </si>
  <si>
    <t>9008-0008-T</t>
  </si>
  <si>
    <t>108-0243-T</t>
  </si>
  <si>
    <t>9489-0069-002-T</t>
  </si>
  <si>
    <t>9489-0067-002-T</t>
  </si>
  <si>
    <t>9489-0068-002-T</t>
  </si>
  <si>
    <t>108-0163-003-T</t>
  </si>
  <si>
    <t>108-0162-003-T</t>
  </si>
  <si>
    <t>108-0163-002-T</t>
  </si>
  <si>
    <t>108-0162-002-T</t>
  </si>
  <si>
    <t>RRA-0100</t>
  </si>
  <si>
    <t>9292-0029-004-T</t>
  </si>
  <si>
    <t>036-0100-002-T</t>
  </si>
  <si>
    <t>054-3689</t>
  </si>
  <si>
    <t>054-4696-005</t>
  </si>
  <si>
    <t>036-0100-004-T</t>
  </si>
  <si>
    <t>253-0284</t>
  </si>
  <si>
    <t>9125-0015-T</t>
  </si>
  <si>
    <t>097-0282</t>
  </si>
  <si>
    <t>080-0127-T</t>
  </si>
  <si>
    <t>9117-0018-T</t>
  </si>
  <si>
    <t>9296-0001-003-T</t>
  </si>
  <si>
    <t>9292-0041-023-T</t>
  </si>
  <si>
    <t>9941-0071-T</t>
  </si>
  <si>
    <t>9941-0239-T</t>
  </si>
  <si>
    <t>054-0123-002-T</t>
  </si>
  <si>
    <t>9292-0029-008-T</t>
  </si>
  <si>
    <t>9292-0030-001-T</t>
  </si>
  <si>
    <t>9292-0029-001-T</t>
  </si>
  <si>
    <t>054-0130-002-T</t>
  </si>
  <si>
    <t>9941-0136-004-T</t>
  </si>
  <si>
    <t>054-0196-004-T</t>
  </si>
  <si>
    <t>9941-0136-003-T</t>
  </si>
  <si>
    <t>9754-0007-003-T</t>
  </si>
  <si>
    <t>9730-0002-003-T</t>
  </si>
  <si>
    <t>253-1232-453</t>
  </si>
  <si>
    <t>253-1232-455</t>
  </si>
  <si>
    <t>212-0230-010-T</t>
  </si>
  <si>
    <t>212-0230-012-T</t>
  </si>
  <si>
    <t>212-0230-018-T</t>
  </si>
  <si>
    <t>212-0230-061-T</t>
  </si>
  <si>
    <t>212-0230-062-T</t>
  </si>
  <si>
    <t>212-0230-043-T</t>
  </si>
  <si>
    <t>9266-0011-001-T</t>
  </si>
  <si>
    <t>9132-0001-T</t>
  </si>
  <si>
    <t>212-0101-T</t>
  </si>
  <si>
    <t>212-0102-T</t>
  </si>
  <si>
    <t>212-0103-T</t>
  </si>
  <si>
    <t>9222-0061-001-T</t>
  </si>
  <si>
    <t>9222-0101-T</t>
  </si>
  <si>
    <t>212-0324-001-T</t>
  </si>
  <si>
    <t>212-0325-T</t>
  </si>
  <si>
    <t>212-0327-T</t>
  </si>
  <si>
    <t>212-0340-001-T</t>
  </si>
  <si>
    <t>212-0341-001-T</t>
  </si>
  <si>
    <t>212-0341-003-T</t>
  </si>
  <si>
    <t>212-0341-005-T</t>
  </si>
  <si>
    <t>212-0345-001-T</t>
  </si>
  <si>
    <t>212-0356-008-T</t>
  </si>
  <si>
    <t>9222-0078-T</t>
  </si>
  <si>
    <t>9222-0033-T</t>
  </si>
  <si>
    <t>9222-0034-T</t>
  </si>
  <si>
    <t>9222-0072-T</t>
  </si>
  <si>
    <t>212-0228-001-T</t>
  </si>
  <si>
    <t>9222-0010-T</t>
  </si>
  <si>
    <t>9222-0012-T</t>
  </si>
  <si>
    <t>9265-0003</t>
  </si>
  <si>
    <t>9543-0008-T</t>
  </si>
  <si>
    <t>9599-0023-001-T</t>
  </si>
  <si>
    <t>9136-0008-001-T</t>
  </si>
  <si>
    <t>9142-0018-T</t>
  </si>
  <si>
    <t>9048-0002-T</t>
  </si>
  <si>
    <t>115-0758</t>
  </si>
  <si>
    <t>257-0133-009-T</t>
  </si>
  <si>
    <t>9292-0029-003-T</t>
  </si>
  <si>
    <t>9222-0053-001-T</t>
  </si>
  <si>
    <t>015-2945</t>
  </si>
  <si>
    <t>9880-0047-T</t>
  </si>
  <si>
    <t>047-0103-T</t>
  </si>
  <si>
    <t>212-0119-T</t>
  </si>
  <si>
    <t>048-0121-001-T</t>
  </si>
  <si>
    <t>9675-0025-T</t>
  </si>
  <si>
    <t>9874-0031-T</t>
  </si>
  <si>
    <t>9968-0020-001-T</t>
  </si>
  <si>
    <t>RAA-0347</t>
  </si>
  <si>
    <t>RAA-0320</t>
  </si>
  <si>
    <t>RAF-0102</t>
  </si>
  <si>
    <t>9267-0002-T</t>
  </si>
  <si>
    <t>RAJ-0113</t>
  </si>
  <si>
    <t>RAA-0401</t>
  </si>
  <si>
    <t>177-1984-162</t>
  </si>
  <si>
    <t>151-4549</t>
  </si>
  <si>
    <t>211-0554-080-T</t>
  </si>
  <si>
    <t>9045-0012-T</t>
  </si>
  <si>
    <t>212-0230-021-T</t>
  </si>
  <si>
    <t>212-0230-044-T</t>
  </si>
  <si>
    <t>FST-0291</t>
  </si>
  <si>
    <t>9965-0009-T</t>
  </si>
  <si>
    <t>FST-0304</t>
  </si>
  <si>
    <t>FST-0295</t>
  </si>
  <si>
    <t>FST-0300</t>
  </si>
  <si>
    <t>FST-0301</t>
  </si>
  <si>
    <t>9043-0069-045-T</t>
  </si>
  <si>
    <t>9043-0018-065-T</t>
  </si>
  <si>
    <t>FST-0367</t>
  </si>
  <si>
    <t>FST-0390</t>
  </si>
  <si>
    <t>900-0235-001-T</t>
  </si>
  <si>
    <t>9148-0013-T</t>
  </si>
  <si>
    <t>9148-0012-T</t>
  </si>
  <si>
    <t>074-0111-001-T</t>
  </si>
  <si>
    <t>9594-0012-002-T</t>
  </si>
  <si>
    <t>074-0242-T</t>
  </si>
  <si>
    <t>RAA-0413</t>
  </si>
  <si>
    <t>RAA-0319</t>
  </si>
  <si>
    <t>9669-0009-001-T</t>
  </si>
  <si>
    <t>058-0125-004-T</t>
  </si>
  <si>
    <t>9941-0261-T</t>
  </si>
  <si>
    <t>058-0180-018-T</t>
  </si>
  <si>
    <t>058-0215-201-T</t>
  </si>
  <si>
    <t>075-0106-T</t>
  </si>
  <si>
    <t>055-0101-T</t>
  </si>
  <si>
    <t>014-0205-003-T</t>
  </si>
  <si>
    <t>042-0798</t>
  </si>
  <si>
    <t>042-0146-T</t>
  </si>
  <si>
    <t>9489-0142-001-T</t>
  </si>
  <si>
    <t>9562-0060-T</t>
  </si>
  <si>
    <t>9965-0038-001-T</t>
  </si>
  <si>
    <t>036-0132-001-T</t>
  </si>
  <si>
    <t>217-1405</t>
  </si>
  <si>
    <t>074-0282-T</t>
  </si>
  <si>
    <t>9739-0001-T</t>
  </si>
  <si>
    <t>003-0121-005-T</t>
  </si>
  <si>
    <t>9326-0046-002-T</t>
  </si>
  <si>
    <t>058-8772</t>
  </si>
  <si>
    <t>026-4097</t>
  </si>
  <si>
    <t>9148-0021-T</t>
  </si>
  <si>
    <t>9333-0008-T</t>
  </si>
  <si>
    <t>031-0129-007-T</t>
  </si>
  <si>
    <t>066-0126-T</t>
  </si>
  <si>
    <t>9043-0015-003-t</t>
  </si>
  <si>
    <t>9043-0015-003-T</t>
  </si>
  <si>
    <t>212-0332-T</t>
  </si>
  <si>
    <t>9222-0127-T</t>
  </si>
  <si>
    <t>060-0100-007-T</t>
  </si>
  <si>
    <t>FST-0305</t>
  </si>
  <si>
    <t>FST-0297</t>
  </si>
  <si>
    <t>FST-0290</t>
  </si>
  <si>
    <t>FST-0379</t>
  </si>
  <si>
    <t>FST-0337</t>
  </si>
  <si>
    <t>FST-0312</t>
  </si>
  <si>
    <t>FST-0298</t>
  </si>
  <si>
    <t>FST-0310</t>
  </si>
  <si>
    <t>057-0188-055-T</t>
  </si>
  <si>
    <t>057-0164-055-T</t>
  </si>
  <si>
    <t>RAF-0117</t>
  </si>
  <si>
    <t>FAC0016</t>
  </si>
  <si>
    <t>047-2127-003</t>
  </si>
  <si>
    <t>FAC0565</t>
  </si>
  <si>
    <t>9577-0046-002-T</t>
  </si>
  <si>
    <t>RAA-0399</t>
  </si>
  <si>
    <t>FAC0339</t>
  </si>
  <si>
    <t>RAA-0321</t>
  </si>
  <si>
    <t>097-0105-125-T</t>
  </si>
  <si>
    <t>036-1541</t>
  </si>
  <si>
    <t>9127-0009-001-T</t>
  </si>
  <si>
    <t>RSJ-0121</t>
  </si>
  <si>
    <t>9267-0034-T</t>
  </si>
  <si>
    <t>9267-0017-006-T</t>
  </si>
  <si>
    <t>9267-0018-006-T</t>
  </si>
  <si>
    <t>037-8835-244</t>
  </si>
  <si>
    <t>RAA-0327</t>
  </si>
  <si>
    <t>RAA-0414</t>
  </si>
  <si>
    <t>RAA-0329</t>
  </si>
  <si>
    <t>RAA-0341</t>
  </si>
  <si>
    <t>RAA-0330</t>
  </si>
  <si>
    <t>RAA-0346</t>
  </si>
  <si>
    <t>RAA-0332</t>
  </si>
  <si>
    <t>RAA-0416</t>
  </si>
  <si>
    <t>RAA-0380</t>
  </si>
  <si>
    <t>RAA-0381</t>
  </si>
  <si>
    <t>9267-0018-005-T</t>
  </si>
  <si>
    <t>9267-0018-003-T</t>
  </si>
  <si>
    <t>9267-0018-001-T</t>
  </si>
  <si>
    <t>9968-0019-T</t>
  </si>
  <si>
    <t>9968-0045-T</t>
  </si>
  <si>
    <t>9968-0045-001-T</t>
  </si>
  <si>
    <t>900-0174-T</t>
  </si>
  <si>
    <t>9591-0039-T</t>
  </si>
  <si>
    <t>9591-0051-T</t>
  </si>
  <si>
    <t>9591-0038-T</t>
  </si>
  <si>
    <t>212-0246-T</t>
  </si>
  <si>
    <t>067-0150-T</t>
  </si>
  <si>
    <t>9222-0018-T</t>
  </si>
  <si>
    <t>RSA-0161</t>
  </si>
  <si>
    <t>RSA-0493</t>
  </si>
  <si>
    <t>900-0242-T</t>
  </si>
  <si>
    <t>211-0844-001</t>
  </si>
  <si>
    <t>9757-0036-200-T</t>
  </si>
  <si>
    <t>FAC0798</t>
  </si>
  <si>
    <t>FAC0799</t>
  </si>
  <si>
    <t>9007-0139-009-T</t>
  </si>
  <si>
    <t>9007-0139-010-T</t>
  </si>
  <si>
    <t>9007-0139-009-t</t>
  </si>
  <si>
    <t>9007-0139-010-t</t>
  </si>
  <si>
    <t>9122-0012-003-t</t>
  </si>
  <si>
    <t>026-0191-100-T</t>
  </si>
  <si>
    <t>074-0202-T</t>
  </si>
  <si>
    <t>9122-0026-T</t>
  </si>
  <si>
    <t>FAC0192</t>
  </si>
  <si>
    <t>FAC0038</t>
  </si>
  <si>
    <t>FAC0134</t>
  </si>
  <si>
    <t>TWC0004</t>
  </si>
  <si>
    <t>9442-0019-T</t>
  </si>
  <si>
    <t>TWC0005</t>
  </si>
  <si>
    <t>022-0103-001-T</t>
  </si>
  <si>
    <t>9141-0017-T</t>
  </si>
  <si>
    <t>060-0105-061-T</t>
  </si>
  <si>
    <t>9942-0002-002-T</t>
  </si>
  <si>
    <t>9740-0034-T</t>
  </si>
  <si>
    <t>9671-0021-001-T</t>
  </si>
  <si>
    <t>RAJ-0106</t>
  </si>
  <si>
    <t>158-0384-025</t>
  </si>
  <si>
    <t>RAA-0284</t>
  </si>
  <si>
    <t>9497-0001-T</t>
  </si>
  <si>
    <t>RAF-0104</t>
  </si>
  <si>
    <t>RAA-0402</t>
  </si>
  <si>
    <t>RAA-0417</t>
  </si>
  <si>
    <t>WLC4006</t>
  </si>
  <si>
    <t>WLC6012</t>
  </si>
  <si>
    <t>FST-0381</t>
  </si>
  <si>
    <t>FST-0356</t>
  </si>
  <si>
    <t>FST-0289</t>
  </si>
  <si>
    <t>FST-0307</t>
  </si>
  <si>
    <t>FST-0335</t>
  </si>
  <si>
    <t>FST-0311</t>
  </si>
  <si>
    <t>FST-0293</t>
  </si>
  <si>
    <t>FST-0286</t>
  </si>
  <si>
    <t>075-0118-T</t>
  </si>
  <si>
    <t>048-3678-010</t>
  </si>
  <si>
    <t>9147-0025-T</t>
  </si>
  <si>
    <t>FAC0012</t>
  </si>
  <si>
    <t>FAC0013</t>
  </si>
  <si>
    <t>RSH-0139</t>
  </si>
  <si>
    <t>158-0307-T</t>
  </si>
  <si>
    <t>111-3697-262</t>
  </si>
  <si>
    <t>RSJ-0102</t>
  </si>
  <si>
    <t>RSK-0101</t>
  </si>
  <si>
    <t>RAA-0103</t>
  </si>
  <si>
    <t>9147-0025-t</t>
  </si>
  <si>
    <t>014-0120-003-t</t>
  </si>
  <si>
    <t>014-0120-001-t</t>
  </si>
  <si>
    <t>057-0164-055-t</t>
  </si>
  <si>
    <t>121-0324-T</t>
  </si>
  <si>
    <t>272-0119-006-t</t>
  </si>
  <si>
    <t>9222-0127-t</t>
  </si>
  <si>
    <t>9667-0002-004-t</t>
  </si>
  <si>
    <t>9880-0020-t</t>
  </si>
  <si>
    <t>020-1603-002</t>
  </si>
  <si>
    <t>005-0108-001-T</t>
  </si>
  <si>
    <t>036-0121-T</t>
  </si>
  <si>
    <t>036-0134-T</t>
  </si>
  <si>
    <t>036-1329-205</t>
  </si>
  <si>
    <t>047-0134-T</t>
  </si>
  <si>
    <t>048-0135-070-T</t>
  </si>
  <si>
    <t>057-0120-010-T</t>
  </si>
  <si>
    <t>070-0136-001-t</t>
  </si>
  <si>
    <t>070-0136-t</t>
  </si>
  <si>
    <t>070-0149-T</t>
  </si>
  <si>
    <t>074-0252-003-T</t>
  </si>
  <si>
    <t>074-0328-001-T</t>
  </si>
  <si>
    <t>074-0350-T</t>
  </si>
  <si>
    <t>075-0125-002-t</t>
  </si>
  <si>
    <t>112-1231-t</t>
  </si>
  <si>
    <t>151-0424-005-t</t>
  </si>
  <si>
    <t>158-0523-004-t</t>
  </si>
  <si>
    <t>161-0109-t</t>
  </si>
  <si>
    <t>211-3062-t</t>
  </si>
  <si>
    <t>211-3063-001-t</t>
  </si>
  <si>
    <t>211-3063-002-t</t>
  </si>
  <si>
    <t>212-0170-t</t>
  </si>
  <si>
    <t>212-0171-t</t>
  </si>
  <si>
    <t>212-0175-t</t>
  </si>
  <si>
    <t>212-0179-t</t>
  </si>
  <si>
    <t>257-0133-010-T</t>
  </si>
  <si>
    <t>9726-0056-T</t>
  </si>
  <si>
    <t>9043-0018-055-t</t>
  </si>
  <si>
    <t>9043-0069-055-t</t>
  </si>
  <si>
    <t>9118-0038-004-T</t>
  </si>
  <si>
    <t>9118-0038-003-T</t>
  </si>
  <si>
    <t>9142-0009-T</t>
  </si>
  <si>
    <t>9222-0038-T</t>
  </si>
  <si>
    <t>9267-0033-T</t>
  </si>
  <si>
    <t>9326-0122-T</t>
  </si>
  <si>
    <t>074-0367-T</t>
  </si>
  <si>
    <t>RAF-0149</t>
  </si>
  <si>
    <t>FAC0021</t>
  </si>
  <si>
    <t>9674-0017-T</t>
  </si>
  <si>
    <t>FAC0398</t>
  </si>
  <si>
    <t>FST-0149</t>
  </si>
  <si>
    <t>FAC0168</t>
  </si>
  <si>
    <t>FAC0169</t>
  </si>
  <si>
    <t>FAC0334</t>
  </si>
  <si>
    <t>158-0524-T</t>
  </si>
  <si>
    <t>RAF-0103</t>
  </si>
  <si>
    <t>158-0520-T</t>
  </si>
  <si>
    <t>054-0832</t>
  </si>
  <si>
    <t>158-0519-T</t>
  </si>
  <si>
    <t>RAA-0233</t>
  </si>
  <si>
    <t>RAF-0106</t>
  </si>
  <si>
    <t>RAH-0100</t>
  </si>
  <si>
    <t>RAJ-0102</t>
  </si>
  <si>
    <t>RSA-0505</t>
  </si>
  <si>
    <t>RSA-0516</t>
  </si>
  <si>
    <t>RSF-0103</t>
  </si>
  <si>
    <t>RSJ-0101</t>
  </si>
  <si>
    <t>RSJ-0106</t>
  </si>
  <si>
    <t>RSJ-0109</t>
  </si>
  <si>
    <t>097-0111-T</t>
  </si>
  <si>
    <t>RAE-0109</t>
  </si>
  <si>
    <t>RSH-0115</t>
  </si>
  <si>
    <t>RAF-0142</t>
  </si>
  <si>
    <t>9326-0048-002-T</t>
  </si>
  <si>
    <t>108-0244-T</t>
  </si>
  <si>
    <t>9117-0001-T</t>
  </si>
  <si>
    <t>9488-0010-T</t>
  </si>
  <si>
    <t>RAA-0398</t>
  </si>
  <si>
    <t>FAC0067</t>
  </si>
  <si>
    <t>RAF-0120</t>
  </si>
  <si>
    <t>FAC0465</t>
  </si>
  <si>
    <t>FAC0642</t>
  </si>
  <si>
    <t>FAC0790</t>
  </si>
  <si>
    <t>FAC0042</t>
  </si>
  <si>
    <t>9968-0021-001-T</t>
  </si>
  <si>
    <t>047-2127-010</t>
  </si>
  <si>
    <t>9325-0001</t>
  </si>
  <si>
    <t>057-0522-030-T</t>
  </si>
  <si>
    <t>FST-0244</t>
  </si>
  <si>
    <t>FAC0763</t>
  </si>
  <si>
    <t>FAC0724</t>
  </si>
  <si>
    <t>FAC0643</t>
  </si>
  <si>
    <t>9032-0001-T</t>
  </si>
  <si>
    <t>FAC0692</t>
  </si>
  <si>
    <t>048-2646</t>
  </si>
  <si>
    <t>rsk-0110</t>
  </si>
  <si>
    <t>9118-0018-T</t>
  </si>
  <si>
    <t>9267-0013-T</t>
  </si>
  <si>
    <t>RAA-0227</t>
  </si>
  <si>
    <t>9667-0002-004-T</t>
  </si>
  <si>
    <t>234-0287</t>
  </si>
  <si>
    <t>9267-0019-T</t>
  </si>
  <si>
    <t>RSF-0104</t>
  </si>
  <si>
    <t>RAJ-0105</t>
  </si>
  <si>
    <t>RAA-0333</t>
  </si>
  <si>
    <t>WLC1009</t>
  </si>
  <si>
    <t>WLC1010</t>
  </si>
  <si>
    <t>9009-0001-T</t>
  </si>
  <si>
    <t>9500-0001-003-T</t>
  </si>
  <si>
    <t>9942-0032-T</t>
  </si>
  <si>
    <t>054-0121-014-T</t>
  </si>
  <si>
    <t>9941-0223</t>
  </si>
  <si>
    <t>9326-0042-T</t>
  </si>
  <si>
    <t>9574-0008-T</t>
  </si>
  <si>
    <t>9726-0088-T</t>
  </si>
  <si>
    <t>FST-0114</t>
  </si>
  <si>
    <t>FST-0332</t>
  </si>
  <si>
    <t>FST-0453</t>
  </si>
  <si>
    <t>FST-0325</t>
  </si>
  <si>
    <t>FST-0288</t>
  </si>
  <si>
    <t>9043-0018-055-T</t>
  </si>
  <si>
    <t>9043-0019-050-T</t>
  </si>
  <si>
    <t>FST-0457</t>
  </si>
  <si>
    <t>FAC0007</t>
  </si>
  <si>
    <t>FAC0008</t>
  </si>
  <si>
    <t>272-0322-T</t>
  </si>
  <si>
    <t>900-0245-T</t>
  </si>
  <si>
    <t>900-0209-T</t>
  </si>
  <si>
    <t>900-0209-t</t>
  </si>
  <si>
    <t>9942-0011-T</t>
  </si>
  <si>
    <t>9545-0047-T</t>
  </si>
  <si>
    <t>9267-0003-T</t>
  </si>
  <si>
    <t>RSE-0116</t>
  </si>
  <si>
    <t>9591-0040-T</t>
  </si>
  <si>
    <t>FAC0018</t>
  </si>
  <si>
    <t>FAC0014</t>
  </si>
  <si>
    <t>FAC0143</t>
  </si>
  <si>
    <t>FAC0128</t>
  </si>
  <si>
    <t>WLC2005</t>
  </si>
  <si>
    <t>9392-0007-T</t>
  </si>
  <si>
    <t>FAC0129</t>
  </si>
  <si>
    <t>045-0106-501-T</t>
  </si>
  <si>
    <t>9738-0001-T</t>
  </si>
  <si>
    <t>074-0324-T-LB</t>
  </si>
  <si>
    <t>FAC0023</t>
  </si>
  <si>
    <t>FAC0304</t>
  </si>
  <si>
    <t>FST-0234</t>
  </si>
  <si>
    <t>9379-0017-T</t>
  </si>
  <si>
    <t>9330-0001-T</t>
  </si>
  <si>
    <t>9043-0069-055-T</t>
  </si>
  <si>
    <t>257-0149-009-T</t>
  </si>
  <si>
    <t>047-2127-006</t>
  </si>
  <si>
    <t>047-2127-016</t>
  </si>
  <si>
    <t>FAC0508</t>
  </si>
  <si>
    <t>FAC0742</t>
  </si>
  <si>
    <t>FAC-0736</t>
  </si>
  <si>
    <t>177-3963-001</t>
  </si>
  <si>
    <t>9032-0007-T</t>
  </si>
  <si>
    <t>9745-0044-T</t>
  </si>
  <si>
    <t>9292-0029-002-T</t>
  </si>
  <si>
    <t>9292-0048-007-T</t>
  </si>
  <si>
    <t>054-0123-014-T</t>
  </si>
  <si>
    <t>900-0148-T</t>
  </si>
  <si>
    <t>900-0144-T</t>
  </si>
  <si>
    <t>900-0145-T</t>
  </si>
  <si>
    <t>9591-0035-T</t>
  </si>
  <si>
    <t>9591-0036-T</t>
  </si>
  <si>
    <t>9442-0014-T</t>
  </si>
  <si>
    <t>9292-0048-025-T</t>
  </si>
  <si>
    <t>9728-0050-T</t>
  </si>
  <si>
    <t>FST-0383</t>
  </si>
  <si>
    <t>FST-0306</t>
  </si>
  <si>
    <t>9880-0045-T</t>
  </si>
  <si>
    <t>RAL-0101</t>
  </si>
  <si>
    <t>FAC0164</t>
  </si>
  <si>
    <t>9965-0038-001-t</t>
  </si>
  <si>
    <t>9591-0007-T</t>
  </si>
  <si>
    <t>9591-0056-T</t>
  </si>
  <si>
    <t>9591-0057-T</t>
  </si>
  <si>
    <t>9591-0062-T</t>
  </si>
  <si>
    <t>9591-0068-T</t>
  </si>
  <si>
    <t>9591-0096-T</t>
  </si>
  <si>
    <t>RSA-0176</t>
  </si>
  <si>
    <t>RSA-0197</t>
  </si>
  <si>
    <t>RSA-0292</t>
  </si>
  <si>
    <t>RSE-0107</t>
  </si>
  <si>
    <t>RSE-0121</t>
  </si>
  <si>
    <t>RSE-0126</t>
  </si>
  <si>
    <t>RSE-0130</t>
  </si>
  <si>
    <t>RSF-0145</t>
  </si>
  <si>
    <t>RSF-0152</t>
  </si>
  <si>
    <t>RSF-0166</t>
  </si>
  <si>
    <t>RSH-0135</t>
  </si>
  <si>
    <t>RSJ-0113</t>
  </si>
  <si>
    <t>RSJ-0129</t>
  </si>
  <si>
    <t>074-0168-003-T</t>
  </si>
  <si>
    <t>rsk-0102</t>
  </si>
  <si>
    <t>9935-0010-050-T</t>
  </si>
  <si>
    <t>9935-0010-076-T</t>
  </si>
  <si>
    <t>9941-0112-T</t>
  </si>
  <si>
    <t>272-0305-T</t>
  </si>
  <si>
    <t>112-1233-t</t>
  </si>
  <si>
    <t>9292-0027-003-T</t>
  </si>
  <si>
    <t>9726-0021-001-t</t>
  </si>
  <si>
    <t>9726-0025-075-t</t>
  </si>
  <si>
    <t>9935-0001-051-T</t>
  </si>
  <si>
    <t>9591-0094-T</t>
  </si>
  <si>
    <t>054-6973-500</t>
  </si>
  <si>
    <t>RAF-0150</t>
  </si>
  <si>
    <t>RAF-0101</t>
  </si>
  <si>
    <t>9740-0044-T</t>
  </si>
  <si>
    <t>9740-0043-T</t>
  </si>
  <si>
    <t>036-0129-T</t>
  </si>
  <si>
    <t>036-0127-001-t</t>
  </si>
  <si>
    <t>054-0100-012-t</t>
  </si>
  <si>
    <t>054-0100-013-t</t>
  </si>
  <si>
    <t>9674-0017-t</t>
  </si>
  <si>
    <t>9392-0007-t</t>
  </si>
  <si>
    <t>9941-0196-T</t>
  </si>
  <si>
    <t>9968-0045-t</t>
  </si>
  <si>
    <t>9545-0028-005-T</t>
  </si>
  <si>
    <t>9942-0021-T</t>
  </si>
  <si>
    <t>9942-0022-T</t>
  </si>
  <si>
    <t>074-0214-T</t>
  </si>
  <si>
    <t>9001-0052-001-T</t>
  </si>
  <si>
    <t>026-0108-T</t>
  </si>
  <si>
    <t>FST-0292</t>
  </si>
  <si>
    <t>9965-0038-T</t>
  </si>
  <si>
    <t>FAC0369</t>
  </si>
  <si>
    <t>FAC0548</t>
  </si>
  <si>
    <t>900-0225-T</t>
  </si>
  <si>
    <t>FAC0380</t>
  </si>
  <si>
    <t>FAC0017</t>
  </si>
  <si>
    <t>CUSDECAL</t>
  </si>
  <si>
    <t>WLC6020</t>
  </si>
  <si>
    <t>WLC6021</t>
  </si>
  <si>
    <t>WLC6022</t>
  </si>
  <si>
    <t>9292-0053-002-T</t>
  </si>
  <si>
    <t>FST-0318</t>
  </si>
  <si>
    <t>9147-0007-T</t>
  </si>
  <si>
    <t>9122-0015-002-T</t>
  </si>
  <si>
    <t>133-0123-011-T</t>
  </si>
  <si>
    <t>9379-0008-T</t>
  </si>
  <si>
    <t>115-0124-007-T</t>
  </si>
  <si>
    <t>115-0807-004</t>
  </si>
  <si>
    <t>9147-0007-t</t>
  </si>
  <si>
    <t>9267-0018-004-T</t>
  </si>
  <si>
    <t>9880-0020-T</t>
  </si>
  <si>
    <t>9267-0017-T</t>
  </si>
  <si>
    <t>9043-0018-065-t</t>
  </si>
  <si>
    <t>054-0124-002-T</t>
  </si>
  <si>
    <t>158-0522-T</t>
  </si>
  <si>
    <t>158-0525-T</t>
  </si>
  <si>
    <t>158-0526-T</t>
  </si>
  <si>
    <t>9117-0047-T</t>
  </si>
  <si>
    <t>9733-0001-T</t>
  </si>
  <si>
    <t>9880-0019-t</t>
  </si>
  <si>
    <t>RSF-0154</t>
  </si>
  <si>
    <t>RSF-0168</t>
  </si>
  <si>
    <t>RSF-0169</t>
  </si>
  <si>
    <t>RSK-0110</t>
  </si>
  <si>
    <t>047-0119-003-T</t>
  </si>
  <si>
    <t>158-0384-075</t>
  </si>
  <si>
    <t>9941-0039-005-T</t>
  </si>
  <si>
    <t>9500-0029-T</t>
  </si>
  <si>
    <t>177-0117-T</t>
  </si>
  <si>
    <t>9591-0097-T</t>
  </si>
  <si>
    <t>9591-0098-T</t>
  </si>
  <si>
    <t>9038-0005-T</t>
  </si>
  <si>
    <t>272-0442-T</t>
  </si>
  <si>
    <t>074-0182-T-LB</t>
  </si>
  <si>
    <t>FAC0020</t>
  </si>
  <si>
    <t>074-0282-T-LB</t>
  </si>
  <si>
    <t>9292-0029-012-T</t>
  </si>
  <si>
    <t>9147-0008-T</t>
  </si>
  <si>
    <t>(blank)</t>
  </si>
  <si>
    <t>Grand Total</t>
  </si>
  <si>
    <t>019-1242</t>
  </si>
  <si>
    <t>031-0124-013-t</t>
  </si>
  <si>
    <t>036-0123-T</t>
  </si>
  <si>
    <t>045-0106-401-T</t>
  </si>
  <si>
    <t>047-2127-011</t>
  </si>
  <si>
    <t>054-0130-003-T</t>
  </si>
  <si>
    <t>055-0100-T</t>
  </si>
  <si>
    <t>057-0188-060-T</t>
  </si>
  <si>
    <t>058-0113-037-T</t>
  </si>
  <si>
    <t>058-6609-050</t>
  </si>
  <si>
    <t>074-0168-003-t</t>
  </si>
  <si>
    <t>074-0202-T-LB</t>
  </si>
  <si>
    <t>112-1168-T</t>
  </si>
  <si>
    <t>121-0324-T-LB</t>
  </si>
  <si>
    <t>158-0307-T-LB</t>
  </si>
  <si>
    <t>158-0515-T-LB</t>
  </si>
  <si>
    <t>211-0634-001-T</t>
  </si>
  <si>
    <t>212-0230-013-T</t>
  </si>
  <si>
    <t>212-0230-015-T</t>
  </si>
  <si>
    <t>212-0230-016-T</t>
  </si>
  <si>
    <t>250-0137-021-T</t>
  </si>
  <si>
    <t>250-0137-022-T</t>
  </si>
  <si>
    <t>250-0137-049-T</t>
  </si>
  <si>
    <t>254-0100-004-T</t>
  </si>
  <si>
    <t>900-0243-t</t>
  </si>
  <si>
    <t>9001-0074-007-T</t>
  </si>
  <si>
    <t>9043-0071-T</t>
  </si>
  <si>
    <t>9045-0027-T</t>
  </si>
  <si>
    <t>9046-0006-001-T</t>
  </si>
  <si>
    <t>9049-0005-T</t>
  </si>
  <si>
    <t>9051-0023-T</t>
  </si>
  <si>
    <t>9136-0051-T</t>
  </si>
  <si>
    <t>9148-0041-T</t>
  </si>
  <si>
    <t>9263-0006-T</t>
  </si>
  <si>
    <t>9289-0007-T</t>
  </si>
  <si>
    <t>9292-0003-011-T</t>
  </si>
  <si>
    <t>9292-0003-021-T</t>
  </si>
  <si>
    <t>9292-0029-006-T</t>
  </si>
  <si>
    <t>9326-0091-T</t>
  </si>
  <si>
    <t>9326-0093-001-T</t>
  </si>
  <si>
    <t>9379-0018-T</t>
  </si>
  <si>
    <t>9392-0090-020-T</t>
  </si>
  <si>
    <t>9596-0003-135-T</t>
  </si>
  <si>
    <t>9598-0006-001-T</t>
  </si>
  <si>
    <t>9601-0006-T</t>
  </si>
  <si>
    <t>9601-0027-T</t>
  </si>
  <si>
    <t>9601-0043-T</t>
  </si>
  <si>
    <t>9670-0021-1250-T</t>
  </si>
  <si>
    <t>9728-0038-002-T</t>
  </si>
  <si>
    <t>9728-0061-T</t>
  </si>
  <si>
    <t>9941-0093-T</t>
  </si>
  <si>
    <t>9965-0019-T</t>
  </si>
  <si>
    <t>9966-0035-T</t>
  </si>
  <si>
    <t>RAA-0378</t>
  </si>
  <si>
    <t>RAA-0379</t>
  </si>
  <si>
    <t>RAA-0421</t>
  </si>
  <si>
    <t>RSK-0102</t>
  </si>
  <si>
    <t>RSK-0109</t>
  </si>
  <si>
    <t>014-1876</t>
  </si>
  <si>
    <t>020-1603</t>
  </si>
  <si>
    <t>022-0106-T</t>
  </si>
  <si>
    <t>022-0152-001-T</t>
  </si>
  <si>
    <t>022-0169-003-T</t>
  </si>
  <si>
    <t>026-0135-001-T</t>
  </si>
  <si>
    <t>026-0135-001-T-LB</t>
  </si>
  <si>
    <t>037-8835-248</t>
  </si>
  <si>
    <t>048-0117-001-T</t>
  </si>
  <si>
    <t>054-0122-004-T</t>
  </si>
  <si>
    <t>054-0124-003-T</t>
  </si>
  <si>
    <t>058-0119-018-T</t>
  </si>
  <si>
    <t>058-0119-019-T</t>
  </si>
  <si>
    <t>058-0157-T</t>
  </si>
  <si>
    <t>058-0174-T</t>
  </si>
  <si>
    <t>058-0180-014-T</t>
  </si>
  <si>
    <t>067-0112-T</t>
  </si>
  <si>
    <t>070-0118-T</t>
  </si>
  <si>
    <t>074-0178-T</t>
  </si>
  <si>
    <t>074-0204-002-T</t>
  </si>
  <si>
    <t>094-0240-T</t>
  </si>
  <si>
    <t>108-0210-T</t>
  </si>
  <si>
    <t>115-0103-T</t>
  </si>
  <si>
    <t>158-0520-T-LB</t>
  </si>
  <si>
    <t>158-0535-T</t>
  </si>
  <si>
    <t>211-6094</t>
  </si>
  <si>
    <t>212-0321-001-T</t>
  </si>
  <si>
    <t>254-0100-006-T</t>
  </si>
  <si>
    <t>272-0119-006-T</t>
  </si>
  <si>
    <t>9045-0027-001-T</t>
  </si>
  <si>
    <t>9125-0013-T</t>
  </si>
  <si>
    <t>9132-0001-001-T</t>
  </si>
  <si>
    <t>9292-0003-018-T</t>
  </si>
  <si>
    <t>9292-0003-050-T</t>
  </si>
  <si>
    <t>9292-0041-016-T</t>
  </si>
  <si>
    <t>9292-0041-017-T</t>
  </si>
  <si>
    <t>9292-0041-022-T</t>
  </si>
  <si>
    <t>9292-0041-026-T</t>
  </si>
  <si>
    <t>9292-0052-001-T</t>
  </si>
  <si>
    <t>9326-0008-T</t>
  </si>
  <si>
    <t>9326-0060-T</t>
  </si>
  <si>
    <t>9326-0071-002-T</t>
  </si>
  <si>
    <t>9333-0025</t>
  </si>
  <si>
    <t>9378-0011-T</t>
  </si>
  <si>
    <t>9389-0001-T</t>
  </si>
  <si>
    <t>9392-0018-002-T</t>
  </si>
  <si>
    <t>9392-0037-T</t>
  </si>
  <si>
    <t>9545-0039-T</t>
  </si>
  <si>
    <t>9560-0011-T</t>
  </si>
  <si>
    <t>9598-0003-T</t>
  </si>
  <si>
    <t>9601-0015-T</t>
  </si>
  <si>
    <t>9601-0024-001-T</t>
  </si>
  <si>
    <t>9667-0002-005-T</t>
  </si>
  <si>
    <t>9669-0007-002-T</t>
  </si>
  <si>
    <t>9672-0003-T</t>
  </si>
  <si>
    <t>9678-0001-T</t>
  </si>
  <si>
    <t>9678-0003-T</t>
  </si>
  <si>
    <t>9728-0045-T</t>
  </si>
  <si>
    <t>9737-0010-T</t>
  </si>
  <si>
    <t>9758-0013-T</t>
  </si>
  <si>
    <t>9758-0022-T</t>
  </si>
  <si>
    <t>9880-0012-T</t>
  </si>
  <si>
    <t>9880-0019-T</t>
  </si>
  <si>
    <t>9887-0002-T</t>
  </si>
  <si>
    <t>9941-0055-t</t>
  </si>
  <si>
    <t>9941-0087-001-T</t>
  </si>
  <si>
    <t>9941-0101-T</t>
  </si>
  <si>
    <t>9941-0109-076-T</t>
  </si>
  <si>
    <t>9941-0136-003-t</t>
  </si>
  <si>
    <t>9941-0210-002-T</t>
  </si>
  <si>
    <t>9941-0229-T</t>
  </si>
  <si>
    <t>9941-0273-001-T</t>
  </si>
  <si>
    <t>9941-0313-T</t>
  </si>
  <si>
    <t>9942-0005-T</t>
  </si>
  <si>
    <t>9942-0029-T</t>
  </si>
  <si>
    <t>9968-0021-001-t</t>
  </si>
  <si>
    <t>9968-0026-002-T</t>
  </si>
  <si>
    <t>ESP0001</t>
  </si>
  <si>
    <t>FAC0004</t>
  </si>
  <si>
    <t>FAC0065</t>
  </si>
  <si>
    <t>FAC0070</t>
  </si>
  <si>
    <t>FAC0072</t>
  </si>
  <si>
    <t>FAC0120</t>
  </si>
  <si>
    <t>FAC0121</t>
  </si>
  <si>
    <t>FAC0173</t>
  </si>
  <si>
    <t>FAC0333</t>
  </si>
  <si>
    <t>FAC0355</t>
  </si>
  <si>
    <t>FAC0383</t>
  </si>
  <si>
    <t>FAC0440</t>
  </si>
  <si>
    <t>FAC0537</t>
  </si>
  <si>
    <t>FAC0572</t>
  </si>
  <si>
    <t>FAC0604</t>
  </si>
  <si>
    <t>FAC0666</t>
  </si>
  <si>
    <t>FAC0682</t>
  </si>
  <si>
    <t>FAC0741</t>
  </si>
  <si>
    <t>FAC0749</t>
  </si>
  <si>
    <t>FAC0756</t>
  </si>
  <si>
    <t>FAC0772</t>
  </si>
  <si>
    <t>FAC0773</t>
  </si>
  <si>
    <t>FAC0774</t>
  </si>
  <si>
    <t>FAC0812</t>
  </si>
  <si>
    <t>FAC0813</t>
  </si>
  <si>
    <t>FST-0124</t>
  </si>
  <si>
    <t>FST-0207</t>
  </si>
  <si>
    <t>FST-0314</t>
  </si>
  <si>
    <t>FST-0342</t>
  </si>
  <si>
    <t>FST-0377</t>
  </si>
  <si>
    <t>FST-0475</t>
  </si>
  <si>
    <t>MLC0004</t>
  </si>
  <si>
    <t>raa-0421</t>
  </si>
  <si>
    <t>WLC6013</t>
  </si>
  <si>
    <t>005-0108-T</t>
  </si>
  <si>
    <t>022-0123-T</t>
  </si>
  <si>
    <t>022-0125-004-T</t>
  </si>
  <si>
    <t>022-0131-003-T</t>
  </si>
  <si>
    <t>022-0149-t</t>
  </si>
  <si>
    <t>022-0152-T</t>
  </si>
  <si>
    <t>022-0153-T</t>
  </si>
  <si>
    <t>025-1006-100-T</t>
  </si>
  <si>
    <t>026-0191-100-T-LB</t>
  </si>
  <si>
    <t>031-0124-013-T</t>
  </si>
  <si>
    <t>031-0151-002-T</t>
  </si>
  <si>
    <t>031-0193-004-T</t>
  </si>
  <si>
    <t>031-5582</t>
  </si>
  <si>
    <t>036-1329-208</t>
  </si>
  <si>
    <t>040-0136-T</t>
  </si>
  <si>
    <t>042-0144-001-T</t>
  </si>
  <si>
    <t>042-0145-T</t>
  </si>
  <si>
    <t>053-0127-T</t>
  </si>
  <si>
    <t>054-0202-T</t>
  </si>
  <si>
    <t>054-0258-T</t>
  </si>
  <si>
    <t>058-0118-025-T</t>
  </si>
  <si>
    <t>058-0173-004-T</t>
  </si>
  <si>
    <t>058-5606-001</t>
  </si>
  <si>
    <t>070-0117-T</t>
  </si>
  <si>
    <t>074-0219-T</t>
  </si>
  <si>
    <t>074-0282-t</t>
  </si>
  <si>
    <t>074-4057-301</t>
  </si>
  <si>
    <t>134-0157-T</t>
  </si>
  <si>
    <t>158-0235-T</t>
  </si>
  <si>
    <t>158-0273-T</t>
  </si>
  <si>
    <t>158-0371-002-T</t>
  </si>
  <si>
    <t>158-0507-T-LB</t>
  </si>
  <si>
    <t>177-0197-003-T</t>
  </si>
  <si>
    <t>177-0197-004-T</t>
  </si>
  <si>
    <t>211-1066-T</t>
  </si>
  <si>
    <t>211-3772-007-T</t>
  </si>
  <si>
    <t>212-0180-T</t>
  </si>
  <si>
    <t>212-0181-T</t>
  </si>
  <si>
    <t>212-0228-002-T</t>
  </si>
  <si>
    <t>212-0234-T</t>
  </si>
  <si>
    <t>212-0235-T</t>
  </si>
  <si>
    <t>212-0323-T</t>
  </si>
  <si>
    <t>212-0324-T</t>
  </si>
  <si>
    <t>212-0325-100-T</t>
  </si>
  <si>
    <t>212-0340-T</t>
  </si>
  <si>
    <t>212-0341-025-T</t>
  </si>
  <si>
    <t>212-0345-T</t>
  </si>
  <si>
    <t>212-0792</t>
  </si>
  <si>
    <t>212-0803</t>
  </si>
  <si>
    <t>212-0804</t>
  </si>
  <si>
    <t>212-0805</t>
  </si>
  <si>
    <t>212-0850</t>
  </si>
  <si>
    <t>701-0163-001-t</t>
  </si>
  <si>
    <t>701-0163-002-T</t>
  </si>
  <si>
    <t>701-0163-003-T</t>
  </si>
  <si>
    <t>900-0142-T</t>
  </si>
  <si>
    <t>900-0210-T</t>
  </si>
  <si>
    <t>900-0242-t</t>
  </si>
  <si>
    <t>9001-0065-010-T</t>
  </si>
  <si>
    <t>9006-0004-T</t>
  </si>
  <si>
    <t>9043-0019-045-T</t>
  </si>
  <si>
    <t>9043-0048-T</t>
  </si>
  <si>
    <t>9045-0026-T</t>
  </si>
  <si>
    <t>9047-0098-002-T</t>
  </si>
  <si>
    <t>9147-0003-t</t>
  </si>
  <si>
    <t>9147-0008-t</t>
  </si>
  <si>
    <t>9147-0024-T</t>
  </si>
  <si>
    <t>9148-0005-T</t>
  </si>
  <si>
    <t>9148-0006-T</t>
  </si>
  <si>
    <t>9148-0007-T</t>
  </si>
  <si>
    <t>9148-0010-T</t>
  </si>
  <si>
    <t>9148-0011-T</t>
  </si>
  <si>
    <t>9148-0043-001-T</t>
  </si>
  <si>
    <t>9222-0053-003-T</t>
  </si>
  <si>
    <t>9222-0053-T</t>
  </si>
  <si>
    <t>9222-0123-001-T</t>
  </si>
  <si>
    <t>9292-0010-002-T</t>
  </si>
  <si>
    <t>9292-0020-041-T</t>
  </si>
  <si>
    <t>9292-0048-029-T</t>
  </si>
  <si>
    <t>9292-0048-032-T</t>
  </si>
  <si>
    <t>9292-0048-040-T</t>
  </si>
  <si>
    <t>9292-0048-041-T</t>
  </si>
  <si>
    <t>9293-0034-001-T</t>
  </si>
  <si>
    <t>9326-0052-T</t>
  </si>
  <si>
    <t>9328-0008-T</t>
  </si>
  <si>
    <t>9331-0001-T</t>
  </si>
  <si>
    <t>9334-0008-005-T</t>
  </si>
  <si>
    <t>9387-0003-t</t>
  </si>
  <si>
    <t>9387-0004-t</t>
  </si>
  <si>
    <t>9392-0052-312-T</t>
  </si>
  <si>
    <t>9392-0091-050-T</t>
  </si>
  <si>
    <t>9473-0008-001-T</t>
  </si>
  <si>
    <t>9489-0072-002-T</t>
  </si>
  <si>
    <t>9489-0161-T</t>
  </si>
  <si>
    <t>9490-0001-001-T</t>
  </si>
  <si>
    <t>9497-0001-t</t>
  </si>
  <si>
    <t>9500-0002-001-T</t>
  </si>
  <si>
    <t>9543-0012-T</t>
  </si>
  <si>
    <t>9561-0008-T</t>
  </si>
  <si>
    <t>9574-0020-T</t>
  </si>
  <si>
    <t>9590-0008-T</t>
  </si>
  <si>
    <t>9591-0020-T</t>
  </si>
  <si>
    <t>9591-0021-T</t>
  </si>
  <si>
    <t>9591-0026-T</t>
  </si>
  <si>
    <t>9591-0077-T</t>
  </si>
  <si>
    <t>9591-0099-T</t>
  </si>
  <si>
    <t>9591-0100-T</t>
  </si>
  <si>
    <t>9591-0101-T</t>
  </si>
  <si>
    <t>9594-0012-002-t</t>
  </si>
  <si>
    <t>9601-0038-T</t>
  </si>
  <si>
    <t>9669-0005</t>
  </si>
  <si>
    <t>9669-0007-001-T</t>
  </si>
  <si>
    <t>9670-0016-T</t>
  </si>
  <si>
    <t>9675-0015-T</t>
  </si>
  <si>
    <t>9680-0001-T</t>
  </si>
  <si>
    <t>9728-0060-T</t>
  </si>
  <si>
    <t>9733-0002-001-T</t>
  </si>
  <si>
    <t>9744-0001-T</t>
  </si>
  <si>
    <t>9745-0003-T</t>
  </si>
  <si>
    <t>9745-0046-T</t>
  </si>
  <si>
    <t>9754-0017-001-T</t>
  </si>
  <si>
    <t>9757-0051-T</t>
  </si>
  <si>
    <t>9757-0094-T</t>
  </si>
  <si>
    <t>9757-0096-T</t>
  </si>
  <si>
    <t>9759-0006-T</t>
  </si>
  <si>
    <t>9759-0007-002-T</t>
  </si>
  <si>
    <t>9874-0037-001-T</t>
  </si>
  <si>
    <t>9880-0022-006-T</t>
  </si>
  <si>
    <t>9880-0022-007-T</t>
  </si>
  <si>
    <t>9880-0022-008-T</t>
  </si>
  <si>
    <t>9880-0022-026-T</t>
  </si>
  <si>
    <t>9941-0086-T</t>
  </si>
  <si>
    <t>9941-0115-T</t>
  </si>
  <si>
    <t>9941-0209-T</t>
  </si>
  <si>
    <t>9941-0231-002-T</t>
  </si>
  <si>
    <t>FAC0015</t>
  </si>
  <si>
    <t>FAC0148</t>
  </si>
  <si>
    <t>FAC0233</t>
  </si>
  <si>
    <t>FAC0687</t>
  </si>
  <si>
    <t>FAC0712</t>
  </si>
  <si>
    <t>FAC0786</t>
  </si>
  <si>
    <t>FAC1099</t>
  </si>
  <si>
    <t>FAC1163</t>
  </si>
  <si>
    <t>FST-0138</t>
  </si>
  <si>
    <t>FST-0524</t>
  </si>
  <si>
    <t>RAA-0268</t>
  </si>
  <si>
    <t>RAA-0292</t>
  </si>
  <si>
    <t>RAA-0295</t>
  </si>
  <si>
    <t>RAA-0425</t>
  </si>
  <si>
    <t>RAA-0427</t>
  </si>
  <si>
    <t>RAE-0117</t>
  </si>
  <si>
    <t>sundry-service</t>
  </si>
  <si>
    <t>003-0121-005-t</t>
  </si>
  <si>
    <t>022-0112-T</t>
  </si>
  <si>
    <t>022-0150-006-t</t>
  </si>
  <si>
    <t>022-0153-t</t>
  </si>
  <si>
    <t>022-0157-001-t</t>
  </si>
  <si>
    <t>026-0161-002-T-LB</t>
  </si>
  <si>
    <t>026-0176-002-T</t>
  </si>
  <si>
    <t>027-3023-024</t>
  </si>
  <si>
    <t>031-0124-008-T</t>
  </si>
  <si>
    <t>036-0119-040-T</t>
  </si>
  <si>
    <t>036-0127-T</t>
  </si>
  <si>
    <t>036-0132-T</t>
  </si>
  <si>
    <t>036-0986-001</t>
  </si>
  <si>
    <t>036-0986-002</t>
  </si>
  <si>
    <t>036-1329-209</t>
  </si>
  <si>
    <t>042-0130-022-T</t>
  </si>
  <si>
    <t>042-0716-023</t>
  </si>
  <si>
    <t>047-1822</t>
  </si>
  <si>
    <t>047-2127-013</t>
  </si>
  <si>
    <t>048-0117-003-T</t>
  </si>
  <si>
    <t>048-0125-004-T</t>
  </si>
  <si>
    <t>054-0123-022-T</t>
  </si>
  <si>
    <t>054-0124-023-T</t>
  </si>
  <si>
    <t>054-0176-006-T</t>
  </si>
  <si>
    <t>054-0177-006-T</t>
  </si>
  <si>
    <t>054-0245-T</t>
  </si>
  <si>
    <t>054-0264-T</t>
  </si>
  <si>
    <t>054-0265-001-T</t>
  </si>
  <si>
    <t>054-0368-T</t>
  </si>
  <si>
    <t>054-4931-001</t>
  </si>
  <si>
    <t>057-0120-015-T</t>
  </si>
  <si>
    <t>057-0120-020-T</t>
  </si>
  <si>
    <t>057-0197-007-T</t>
  </si>
  <si>
    <t>057-0197-018-T</t>
  </si>
  <si>
    <t>057-0198-150-T</t>
  </si>
  <si>
    <t>057-0205-200-T</t>
  </si>
  <si>
    <t>058-0118-100-T</t>
  </si>
  <si>
    <t>058-0125-003-T</t>
  </si>
  <si>
    <t>058-0125-009-t</t>
  </si>
  <si>
    <t>058-0126-T</t>
  </si>
  <si>
    <t>058-0159-075-T</t>
  </si>
  <si>
    <t>058-0169-037-T</t>
  </si>
  <si>
    <t>058-0169-050-T</t>
  </si>
  <si>
    <t>058-0169-100-t</t>
  </si>
  <si>
    <t>058-0173-T</t>
  </si>
  <si>
    <t>058-0182-004-T</t>
  </si>
  <si>
    <t>058-0182-009-T</t>
  </si>
  <si>
    <t>058-0186-T</t>
  </si>
  <si>
    <t>058-0187-T</t>
  </si>
  <si>
    <t>058-0203-002-T</t>
  </si>
  <si>
    <t>058-0215-401-T</t>
  </si>
  <si>
    <t>058-0229-050-T</t>
  </si>
  <si>
    <t>058-0256-T</t>
  </si>
  <si>
    <t>058-P901-527</t>
  </si>
  <si>
    <t>060-0105-006-T</t>
  </si>
  <si>
    <t>064-0106-T</t>
  </si>
  <si>
    <t>067-0417-004</t>
  </si>
  <si>
    <t>070-0119-T</t>
  </si>
  <si>
    <t>074-0103-004-t</t>
  </si>
  <si>
    <t>074-0103-006-T</t>
  </si>
  <si>
    <t>074-0173-t</t>
  </si>
  <si>
    <t>074-0175-001-T</t>
  </si>
  <si>
    <t>074-0178-T-LB</t>
  </si>
  <si>
    <t>074-0204-006-T</t>
  </si>
  <si>
    <t>074-0205-104-t</t>
  </si>
  <si>
    <t>074-0205-106-t</t>
  </si>
  <si>
    <t>074-0207-003-T</t>
  </si>
  <si>
    <t>074-0219-t</t>
  </si>
  <si>
    <t>074-0225-001-T</t>
  </si>
  <si>
    <t>074-0272-T</t>
  </si>
  <si>
    <t>074-0299-T</t>
  </si>
  <si>
    <t>074-0324-001-T</t>
  </si>
  <si>
    <t>074-0336-T</t>
  </si>
  <si>
    <t>074-0353-T</t>
  </si>
  <si>
    <t>077-0151-001-T</t>
  </si>
  <si>
    <t>077-0151-002-T</t>
  </si>
  <si>
    <t>108-0210-t</t>
  </si>
  <si>
    <t>108-0356-T</t>
  </si>
  <si>
    <t>112-1177-005-T-LB</t>
  </si>
  <si>
    <t>112-1177-006-T-LB</t>
  </si>
  <si>
    <t>112-1255-T</t>
  </si>
  <si>
    <t>121-0324-002-T</t>
  </si>
  <si>
    <t>151-0111-t</t>
  </si>
  <si>
    <t>151-0292-006-T-LB</t>
  </si>
  <si>
    <t>151-0292-007-T-LB</t>
  </si>
  <si>
    <t>158-0235-002-T</t>
  </si>
  <si>
    <t>158-0273-002-T</t>
  </si>
  <si>
    <t>158-0273-004-T</t>
  </si>
  <si>
    <t>158-0371-002-t</t>
  </si>
  <si>
    <t>158-0384-100</t>
  </si>
  <si>
    <t>158-0518-001-T</t>
  </si>
  <si>
    <t>177-0127-T</t>
  </si>
  <si>
    <t>177-0197-011-T</t>
  </si>
  <si>
    <t>211-0634-001-t</t>
  </si>
  <si>
    <t>211-0867-t</t>
  </si>
  <si>
    <t>211-0868-t</t>
  </si>
  <si>
    <t>211-0869-t</t>
  </si>
  <si>
    <t>211-1066-t</t>
  </si>
  <si>
    <t>211-1590-T</t>
  </si>
  <si>
    <t>212-0227-001-T</t>
  </si>
  <si>
    <t>212-0321-T</t>
  </si>
  <si>
    <t>212-0341-018-T</t>
  </si>
  <si>
    <t>212-0341-019-T</t>
  </si>
  <si>
    <t>212-0341-021-T</t>
  </si>
  <si>
    <t>212-1454</t>
  </si>
  <si>
    <t>219-0102-T</t>
  </si>
  <si>
    <t>253-1232-454</t>
  </si>
  <si>
    <t>254-0104-T</t>
  </si>
  <si>
    <t>311-0428-T</t>
  </si>
  <si>
    <t>311-0428-T-LB</t>
  </si>
  <si>
    <t>701-0163-001-T</t>
  </si>
  <si>
    <t>701-0163-002-t</t>
  </si>
  <si>
    <t>701-0163-003-t</t>
  </si>
  <si>
    <t>900-0243-T</t>
  </si>
  <si>
    <t>900-0256-T</t>
  </si>
  <si>
    <t>900-0257-T</t>
  </si>
  <si>
    <t>900-0258-T</t>
  </si>
  <si>
    <t>900-0260-T</t>
  </si>
  <si>
    <t>900-0261-T</t>
  </si>
  <si>
    <t>900-0262-T</t>
  </si>
  <si>
    <t>9001-0041-001-T</t>
  </si>
  <si>
    <t>9001-0046-T</t>
  </si>
  <si>
    <t>9001-0049-T</t>
  </si>
  <si>
    <t>9001-0050-T</t>
  </si>
  <si>
    <t>9007-0139-011-T</t>
  </si>
  <si>
    <t>9039-0019</t>
  </si>
  <si>
    <t>9043-0027-070-T</t>
  </si>
  <si>
    <t>9043-0029-t</t>
  </si>
  <si>
    <t>9043-0069-025-T</t>
  </si>
  <si>
    <t>9045-0008-T</t>
  </si>
  <si>
    <t>9045-0019-T</t>
  </si>
  <si>
    <t>9047-0098-T</t>
  </si>
  <si>
    <t>9049-0003-T</t>
  </si>
  <si>
    <t>9117-0002-T</t>
  </si>
  <si>
    <t>9117-0048-T</t>
  </si>
  <si>
    <t>9118-0024-003-T</t>
  </si>
  <si>
    <t>9131-0002-001-T</t>
  </si>
  <si>
    <t>9131-0002-T</t>
  </si>
  <si>
    <t>9141-0019-t</t>
  </si>
  <si>
    <t>9148-0021-t</t>
  </si>
  <si>
    <t>9222-0021-001-T</t>
  </si>
  <si>
    <t>9222-0021-T</t>
  </si>
  <si>
    <t>9222-0054-T</t>
  </si>
  <si>
    <t>9222-0096-001-T</t>
  </si>
  <si>
    <t>9222-0096-T</t>
  </si>
  <si>
    <t>9261-0009-T</t>
  </si>
  <si>
    <t>9261-0011-390-T</t>
  </si>
  <si>
    <t>9261-0011-490-t</t>
  </si>
  <si>
    <t>9261-0013-001-T</t>
  </si>
  <si>
    <t>9261-0019-390-t</t>
  </si>
  <si>
    <t>9267-0021-T</t>
  </si>
  <si>
    <t>9289-0020-001-T</t>
  </si>
  <si>
    <t>9289-0020-T</t>
  </si>
  <si>
    <t>9291-0011-001-T</t>
  </si>
  <si>
    <t>9292-0003-028-T</t>
  </si>
  <si>
    <t>9292-0003-048-T</t>
  </si>
  <si>
    <t>9292-0020-047-T</t>
  </si>
  <si>
    <t>9292-0036-T</t>
  </si>
  <si>
    <t>9292-0048-009-T</t>
  </si>
  <si>
    <t>9292-0048-023-T</t>
  </si>
  <si>
    <t>9292-0048-024-T</t>
  </si>
  <si>
    <t>9292-0048-036-T</t>
  </si>
  <si>
    <t>9292-0048-042-T</t>
  </si>
  <si>
    <t>9293-0036-T</t>
  </si>
  <si>
    <t>9293-0037-T</t>
  </si>
  <si>
    <t>9293-0053-T</t>
  </si>
  <si>
    <t>9293-0068-001-T</t>
  </si>
  <si>
    <t>9326-0019-003-T</t>
  </si>
  <si>
    <t>9334-0008-003-T</t>
  </si>
  <si>
    <t>9379-0020-T</t>
  </si>
  <si>
    <t>9387-0004-T</t>
  </si>
  <si>
    <t>9392-0037-002-T</t>
  </si>
  <si>
    <t>9442-0011-T</t>
  </si>
  <si>
    <t>9489-0062-008-T</t>
  </si>
  <si>
    <t>9489-0138-T</t>
  </si>
  <si>
    <t>9489-0142-001-t</t>
  </si>
  <si>
    <t>9489-0162-T</t>
  </si>
  <si>
    <t>9489-0166-T</t>
  </si>
  <si>
    <t>9490-0001-002-T</t>
  </si>
  <si>
    <t>9490-0001-003-T</t>
  </si>
  <si>
    <t>9490-0001-004-T</t>
  </si>
  <si>
    <t>9490-0001-005-T</t>
  </si>
  <si>
    <t>9492-0017-T</t>
  </si>
  <si>
    <t>9492-0018-T</t>
  </si>
  <si>
    <t>9500-0013-001-T</t>
  </si>
  <si>
    <t>9539-0007-T</t>
  </si>
  <si>
    <t>9539-0011-T</t>
  </si>
  <si>
    <t>9545-0034-t</t>
  </si>
  <si>
    <t>9545-0042-T</t>
  </si>
  <si>
    <t>9560-0015-T</t>
  </si>
  <si>
    <t>9561-0003-T</t>
  </si>
  <si>
    <t>9562-0007-T</t>
  </si>
  <si>
    <t>9574-0015-T</t>
  </si>
  <si>
    <t>9577-0026-T</t>
  </si>
  <si>
    <t>9577-0027-T</t>
  </si>
  <si>
    <t>9577-0043-T</t>
  </si>
  <si>
    <t>9577-0057-T</t>
  </si>
  <si>
    <t>9595-0009-001-T</t>
  </si>
  <si>
    <t>9596-0003-100-T</t>
  </si>
  <si>
    <t>9598-0002-T</t>
  </si>
  <si>
    <t>9599-0023-001-t</t>
  </si>
  <si>
    <t>9667-0002-002-T</t>
  </si>
  <si>
    <t>9669-0008-001-T</t>
  </si>
  <si>
    <t>9669-0008-002-T</t>
  </si>
  <si>
    <t>9670-0013-T</t>
  </si>
  <si>
    <t>9672-0004-T</t>
  </si>
  <si>
    <t>9674-0010-003-T</t>
  </si>
  <si>
    <t>9678-0005-t</t>
  </si>
  <si>
    <t>9726-0027-002-T</t>
  </si>
  <si>
    <t>9727-0001-001-T</t>
  </si>
  <si>
    <t>9728-0004-002-T</t>
  </si>
  <si>
    <t>9728-0020-001-t</t>
  </si>
  <si>
    <t>9728-0055-T</t>
  </si>
  <si>
    <t>9739-0001-t</t>
  </si>
  <si>
    <t>9740-0002-T</t>
  </si>
  <si>
    <t>9745-0011-t</t>
  </si>
  <si>
    <t>9745-0046-t</t>
  </si>
  <si>
    <t>9747-0001-T</t>
  </si>
  <si>
    <t>9752-0012-T</t>
  </si>
  <si>
    <t>9757-0012-T</t>
  </si>
  <si>
    <t>9757-0019-T</t>
  </si>
  <si>
    <t>9757-0081-001-T</t>
  </si>
  <si>
    <t>9757-0120-001-T</t>
  </si>
  <si>
    <t>9757-0120-T</t>
  </si>
  <si>
    <t>9757-0141-T</t>
  </si>
  <si>
    <t>9758-0014-t</t>
  </si>
  <si>
    <t>9874-0033-T</t>
  </si>
  <si>
    <t>9877-0001</t>
  </si>
  <si>
    <t>9880-0012-t</t>
  </si>
  <si>
    <t>9880-0022-018-T</t>
  </si>
  <si>
    <t>9935-0009-001-T</t>
  </si>
  <si>
    <t>9935-0016-T</t>
  </si>
  <si>
    <t>9941-0087-001-t</t>
  </si>
  <si>
    <t>9941-0113-001-T</t>
  </si>
  <si>
    <t>9941-0137-203-T</t>
  </si>
  <si>
    <t>9941-0161-T</t>
  </si>
  <si>
    <t>9941-0226-t</t>
  </si>
  <si>
    <t>9966-0023-002-T</t>
  </si>
  <si>
    <t>9968-0005-001-T</t>
  </si>
  <si>
    <t>9968-0009-001-T</t>
  </si>
  <si>
    <t>FAC0011</t>
  </si>
  <si>
    <t>FAC0029</t>
  </si>
  <si>
    <t>FAC0069</t>
  </si>
  <si>
    <t>FAC0123</t>
  </si>
  <si>
    <t>FAC0176</t>
  </si>
  <si>
    <t>FAC0231</t>
  </si>
  <si>
    <t>FAC0250</t>
  </si>
  <si>
    <t>FAC0318</t>
  </si>
  <si>
    <t>FAC0460</t>
  </si>
  <si>
    <t>FAC0461</t>
  </si>
  <si>
    <t>FAC0535</t>
  </si>
  <si>
    <t>FAC0536</t>
  </si>
  <si>
    <t>FAC1092</t>
  </si>
  <si>
    <t>FAC1112</t>
  </si>
  <si>
    <t>FAC1169</t>
  </si>
  <si>
    <t>FAC1170</t>
  </si>
  <si>
    <t>FST-0299</t>
  </si>
  <si>
    <t>FST-0341</t>
  </si>
  <si>
    <t>FST-0523</t>
  </si>
  <si>
    <t>FST-0546</t>
  </si>
  <si>
    <t>RAA-0102</t>
  </si>
  <si>
    <t>RAA-0232</t>
  </si>
  <si>
    <t>RAA-0376</t>
  </si>
  <si>
    <t>RAF-0105</t>
  </si>
  <si>
    <t>RAH-0110</t>
  </si>
  <si>
    <t>RRA-0104</t>
  </si>
  <si>
    <t>RSA-0214</t>
  </si>
  <si>
    <t>RSA-0345</t>
  </si>
  <si>
    <t>RSA-0357</t>
  </si>
  <si>
    <t>RSA-0391</t>
  </si>
  <si>
    <t>RSA-0429</t>
  </si>
  <si>
    <t>RSA-0466</t>
  </si>
  <si>
    <t>RSA-0467</t>
  </si>
  <si>
    <t>RSF-0160</t>
  </si>
  <si>
    <t>RSH-0114</t>
  </si>
  <si>
    <t>RSJ-0111</t>
  </si>
  <si>
    <t>001-0136-002-T</t>
  </si>
  <si>
    <t>003-0128-001-t</t>
  </si>
  <si>
    <t>003-0128-002-t</t>
  </si>
  <si>
    <t>022-0109-T</t>
  </si>
  <si>
    <t>022-0117-T</t>
  </si>
  <si>
    <t>022-0123-t</t>
  </si>
  <si>
    <t>022-0150-006-T</t>
  </si>
  <si>
    <t>022-0157-001-T</t>
  </si>
  <si>
    <t>022-0157-003-T</t>
  </si>
  <si>
    <t>031-0193-005-t</t>
  </si>
  <si>
    <t>043-0376-024</t>
  </si>
  <si>
    <t>047-0131-t</t>
  </si>
  <si>
    <t>054-0124-010-T</t>
  </si>
  <si>
    <t>054-0124-020-T</t>
  </si>
  <si>
    <t>054-0124-026-T</t>
  </si>
  <si>
    <t>054-0310-T</t>
  </si>
  <si>
    <t>057-0142-t</t>
  </si>
  <si>
    <t>058-0118-075-T</t>
  </si>
  <si>
    <t>058-0169-100-T</t>
  </si>
  <si>
    <t>058-9220-300</t>
  </si>
  <si>
    <t>070-0119-t</t>
  </si>
  <si>
    <t>074-0103-004-T</t>
  </si>
  <si>
    <t>074-0205-006-T</t>
  </si>
  <si>
    <t>074-0205-104-T</t>
  </si>
  <si>
    <t>074-0205-106-T</t>
  </si>
  <si>
    <t>074-0208-T</t>
  </si>
  <si>
    <t>074-0294-T</t>
  </si>
  <si>
    <t>074-0374-t</t>
  </si>
  <si>
    <t>074-2731-033</t>
  </si>
  <si>
    <t>094-0240-T-LB</t>
  </si>
  <si>
    <t>108-0181-001-T</t>
  </si>
  <si>
    <t>112-1177-005-T</t>
  </si>
  <si>
    <t>112-1177-006-T</t>
  </si>
  <si>
    <t>134-2189-008-T</t>
  </si>
  <si>
    <t>151-0292-006-T</t>
  </si>
  <si>
    <t>151-0292-007-T</t>
  </si>
  <si>
    <t>158-0273-001-T</t>
  </si>
  <si>
    <t>211-0554-083-T</t>
  </si>
  <si>
    <t>211-0850-t</t>
  </si>
  <si>
    <t>212-1266-001</t>
  </si>
  <si>
    <t>257-0134-001-t</t>
  </si>
  <si>
    <t>272-0321-T</t>
  </si>
  <si>
    <t>272-0634-T</t>
  </si>
  <si>
    <t>311-1149-001-t</t>
  </si>
  <si>
    <t>900-0144-t</t>
  </si>
  <si>
    <t>900-0145-t</t>
  </si>
  <si>
    <t>900-0259-T</t>
  </si>
  <si>
    <t>9001-0046-001-T</t>
  </si>
  <si>
    <t>9001-0052-T</t>
  </si>
  <si>
    <t>9001-0092-T</t>
  </si>
  <si>
    <t>9007-0167-001-T</t>
  </si>
  <si>
    <t>9045-0009-001-T</t>
  </si>
  <si>
    <t>9045-0034-T</t>
  </si>
  <si>
    <t>9051-0021-T</t>
  </si>
  <si>
    <t>9117-0004-T</t>
  </si>
  <si>
    <t>9117-0008-350-t</t>
  </si>
  <si>
    <t>9117-0008-620-T</t>
  </si>
  <si>
    <t>9117-0008-810-T</t>
  </si>
  <si>
    <t>9117-0008-960-T</t>
  </si>
  <si>
    <t>9117-0053-T</t>
  </si>
  <si>
    <t>9118-0058-T</t>
  </si>
  <si>
    <t>9121-0001-t</t>
  </si>
  <si>
    <t>9122-0013-T</t>
  </si>
  <si>
    <t>9129-0008-T</t>
  </si>
  <si>
    <t>9131-0002-t</t>
  </si>
  <si>
    <t>9147-0003-T</t>
  </si>
  <si>
    <t>9147-0022-T</t>
  </si>
  <si>
    <t>9222-0129-T</t>
  </si>
  <si>
    <t>9222-0130-T</t>
  </si>
  <si>
    <t>9222-0131-T</t>
  </si>
  <si>
    <t>9222-0132-T</t>
  </si>
  <si>
    <t>9266-0008-T</t>
  </si>
  <si>
    <t>9267-0014-001-T</t>
  </si>
  <si>
    <t>9289-0007-t</t>
  </si>
  <si>
    <t>9289-0024-T</t>
  </si>
  <si>
    <t>9289-0027-t</t>
  </si>
  <si>
    <t>9289-0054-T</t>
  </si>
  <si>
    <t>9291-0017-t</t>
  </si>
  <si>
    <t>9292-0029-007-T</t>
  </si>
  <si>
    <t>9292-0041-001-t</t>
  </si>
  <si>
    <t>9292-0041-002-t</t>
  </si>
  <si>
    <t>9292-0041-003-t</t>
  </si>
  <si>
    <t>9292-0041-004-t</t>
  </si>
  <si>
    <t>9292-0041-007-T</t>
  </si>
  <si>
    <t>9292-0041-008-t</t>
  </si>
  <si>
    <t>9292-0041-009-t</t>
  </si>
  <si>
    <t>9292-0041-021-T</t>
  </si>
  <si>
    <t>9292-0041-025-T</t>
  </si>
  <si>
    <t>9292-0048-012-t</t>
  </si>
  <si>
    <t>9292-0048-022-T</t>
  </si>
  <si>
    <t>9292-0055-T</t>
  </si>
  <si>
    <t>9292-0056-T</t>
  </si>
  <si>
    <t>9292-0057-T</t>
  </si>
  <si>
    <t>9330-0007-t</t>
  </si>
  <si>
    <t>9379-0016-T</t>
  </si>
  <si>
    <t>9379-0018-t</t>
  </si>
  <si>
    <t>9387-0010-T</t>
  </si>
  <si>
    <t>9392-0008-150-T</t>
  </si>
  <si>
    <t>9392-0032-T</t>
  </si>
  <si>
    <t>9392-0041-T</t>
  </si>
  <si>
    <t>9394-0017-T</t>
  </si>
  <si>
    <t>9489-0041-001-T</t>
  </si>
  <si>
    <t>9489-0041-006-t</t>
  </si>
  <si>
    <t>9500-0024-001-t</t>
  </si>
  <si>
    <t>9542-0001-t</t>
  </si>
  <si>
    <t>9591-0035-t</t>
  </si>
  <si>
    <t>9591-0036-t</t>
  </si>
  <si>
    <t>9591-0050-T</t>
  </si>
  <si>
    <t>9591-0089-t</t>
  </si>
  <si>
    <t>9591-0102-T</t>
  </si>
  <si>
    <t>9591-0103-T</t>
  </si>
  <si>
    <t>9591-0104-T</t>
  </si>
  <si>
    <t>9596-0005-001-T</t>
  </si>
  <si>
    <t>9671-0020-T</t>
  </si>
  <si>
    <t>9728-0006</t>
  </si>
  <si>
    <t>9740-0032-001-T</t>
  </si>
  <si>
    <t>9745-0051-T</t>
  </si>
  <si>
    <t>9757-0099-T</t>
  </si>
  <si>
    <t>9757-0144-T</t>
  </si>
  <si>
    <t>9757-0145-T</t>
  </si>
  <si>
    <t>9758-0002-001-T</t>
  </si>
  <si>
    <t>9869-0005-t</t>
  </si>
  <si>
    <t>9880-0040-T</t>
  </si>
  <si>
    <t>9880-0044-030-T</t>
  </si>
  <si>
    <t>9880-0044-045-T</t>
  </si>
  <si>
    <t>9880-0044-064-T</t>
  </si>
  <si>
    <t>9888-0011-T</t>
  </si>
  <si>
    <t>9888-0012-T</t>
  </si>
  <si>
    <t>9941-0084-t</t>
  </si>
  <si>
    <t>9941-0195-003-T</t>
  </si>
  <si>
    <t>9941-0231-001-t</t>
  </si>
  <si>
    <t>9941-0231-t</t>
  </si>
  <si>
    <t>9941-0232-t</t>
  </si>
  <si>
    <t>9941-0235-t</t>
  </si>
  <si>
    <t>9941-0274-T</t>
  </si>
  <si>
    <t>9942-0017-001-T</t>
  </si>
  <si>
    <t>9966-0035-001-T</t>
  </si>
  <si>
    <t>9968-0010-005-T</t>
  </si>
  <si>
    <t>FAC0721</t>
  </si>
  <si>
    <t>FAC0764</t>
  </si>
  <si>
    <t>FAC1218</t>
  </si>
  <si>
    <t>FAC1241</t>
  </si>
  <si>
    <t>FAC12570</t>
  </si>
  <si>
    <t>FAC12574</t>
  </si>
  <si>
    <t>FST-0541</t>
  </si>
  <si>
    <t>FST-0542</t>
  </si>
  <si>
    <t>FST-0543</t>
  </si>
  <si>
    <t>FST-0548</t>
  </si>
  <si>
    <t>FST-0549</t>
  </si>
  <si>
    <t>FST-0551</t>
  </si>
  <si>
    <t>RAA-0310</t>
  </si>
  <si>
    <t>RAA-0383</t>
  </si>
  <si>
    <t>RAA-0403</t>
  </si>
  <si>
    <t>RAA-0408</t>
  </si>
  <si>
    <t>RAF-0109</t>
  </si>
  <si>
    <t>RAF-0112</t>
  </si>
  <si>
    <t>RAJ-0103</t>
  </si>
  <si>
    <t>RAJ-0112</t>
  </si>
  <si>
    <t>RSC-0107</t>
  </si>
  <si>
    <t>RSE-0119</t>
  </si>
  <si>
    <t>RSH-0111</t>
  </si>
  <si>
    <t>RSH-0118</t>
  </si>
  <si>
    <t>RSH-0125</t>
  </si>
  <si>
    <t>WLC1005</t>
  </si>
  <si>
    <t>WLC1006</t>
  </si>
  <si>
    <t>022-0129-004-T</t>
  </si>
  <si>
    <t>022-0138-002-T</t>
  </si>
  <si>
    <t>042-0139-075-t</t>
  </si>
  <si>
    <t>054-0122-003-T</t>
  </si>
  <si>
    <t>054-0123-022-t</t>
  </si>
  <si>
    <t>054-0124-003-t</t>
  </si>
  <si>
    <t>054-0124-004-t</t>
  </si>
  <si>
    <t>054-0130-004-t</t>
  </si>
  <si>
    <t>054-0202-t</t>
  </si>
  <si>
    <t>054-0245-t</t>
  </si>
  <si>
    <t>054-0265-001-t</t>
  </si>
  <si>
    <t>054-0368-t</t>
  </si>
  <si>
    <t>058-0266-t</t>
  </si>
  <si>
    <t>058-0267-t</t>
  </si>
  <si>
    <t>067-0122-013-T</t>
  </si>
  <si>
    <t>067-0122-018-T</t>
  </si>
  <si>
    <t>067-0122-026-T</t>
  </si>
  <si>
    <t>067-0132-003-T</t>
  </si>
  <si>
    <t>067-0132-004-T</t>
  </si>
  <si>
    <t>067-0132-006-T</t>
  </si>
  <si>
    <t>074-0178-t</t>
  </si>
  <si>
    <t>074-0204-004-t</t>
  </si>
  <si>
    <t>074-0204-006-T-LB</t>
  </si>
  <si>
    <t>074-0374-T</t>
  </si>
  <si>
    <t>074-0375-T</t>
  </si>
  <si>
    <t>158-0235-t</t>
  </si>
  <si>
    <t>158-0520-t</t>
  </si>
  <si>
    <t>212-0230-022-T</t>
  </si>
  <si>
    <t>212-0230-068-T</t>
  </si>
  <si>
    <t>900-0147-T</t>
  </si>
  <si>
    <t>9001-0053-001-T</t>
  </si>
  <si>
    <t>9043-0017-T</t>
  </si>
  <si>
    <t>9047-0098-t</t>
  </si>
  <si>
    <t>9117-0001-t</t>
  </si>
  <si>
    <t>9117-0008-560-T</t>
  </si>
  <si>
    <t>9117-0008-900-T</t>
  </si>
  <si>
    <t>9117-0048-t</t>
  </si>
  <si>
    <t>9118-0009-T</t>
  </si>
  <si>
    <t>9133-0014-002-T</t>
  </si>
  <si>
    <t>9133-0014-003-T</t>
  </si>
  <si>
    <t>9292-0003-050-t</t>
  </si>
  <si>
    <t>9292-0020-027-T</t>
  </si>
  <si>
    <t>9292-0020-047-t</t>
  </si>
  <si>
    <t>9292-0048-001-t</t>
  </si>
  <si>
    <t>9292-0048-002-t</t>
  </si>
  <si>
    <t>9292-0048-004-t</t>
  </si>
  <si>
    <t>9292-0048-005-t</t>
  </si>
  <si>
    <t>9292-0048-006-t</t>
  </si>
  <si>
    <t>9292-0048-007-t</t>
  </si>
  <si>
    <t>9292-0048-008-t</t>
  </si>
  <si>
    <t>9292-0048-009-t</t>
  </si>
  <si>
    <t>9292-0048-010-t</t>
  </si>
  <si>
    <t>9292-0048-011-t</t>
  </si>
  <si>
    <t>9292-0048-014-t</t>
  </si>
  <si>
    <t>9292-0048-016-t</t>
  </si>
  <si>
    <t>9292-0048-017-t</t>
  </si>
  <si>
    <t>9292-0048-018-t</t>
  </si>
  <si>
    <t>9292-0048-024-t</t>
  </si>
  <si>
    <t>9292-0048-026-t</t>
  </si>
  <si>
    <t>9292-0048-027-t</t>
  </si>
  <si>
    <t>9293-0036-LB</t>
  </si>
  <si>
    <t>9293-0037-LB</t>
  </si>
  <si>
    <t>9384-0008-T</t>
  </si>
  <si>
    <t>9392-0097-T</t>
  </si>
  <si>
    <t>9392-0098-T</t>
  </si>
  <si>
    <t>9489-0029-T</t>
  </si>
  <si>
    <t>9489-0032-T</t>
  </si>
  <si>
    <t>9489-0033-001-T</t>
  </si>
  <si>
    <t>9489-0033-T</t>
  </si>
  <si>
    <t>9595-0009-T</t>
  </si>
  <si>
    <t>9669-0007-001-t</t>
  </si>
  <si>
    <t>9669-0007-002-t</t>
  </si>
  <si>
    <t>9726-0067-T</t>
  </si>
  <si>
    <t>9728-0045-t</t>
  </si>
  <si>
    <t>9880-0022-018-t</t>
  </si>
  <si>
    <t>9941-0277-t</t>
  </si>
  <si>
    <t>9942-0002-001-T</t>
  </si>
  <si>
    <t>9968-0004-002-T</t>
  </si>
  <si>
    <t>FAC0592</t>
  </si>
  <si>
    <t>FAC0755</t>
  </si>
  <si>
    <t>FAC0869</t>
  </si>
  <si>
    <t>FAC1161</t>
  </si>
  <si>
    <t>FAC1162</t>
  </si>
  <si>
    <t>FAC12569</t>
  </si>
  <si>
    <t>FST-0294</t>
  </si>
  <si>
    <t>FST-0315</t>
  </si>
  <si>
    <t>FST-0547</t>
  </si>
  <si>
    <t>RSA-0211</t>
  </si>
  <si>
    <t>RSA-0240</t>
  </si>
  <si>
    <t>RSC-0122</t>
  </si>
  <si>
    <t>RSF-0125</t>
  </si>
  <si>
    <t>RSF-0128</t>
  </si>
  <si>
    <t>RSF-0146</t>
  </si>
  <si>
    <t>RSF-0151</t>
  </si>
  <si>
    <t>RSJ-0112</t>
  </si>
  <si>
    <t>TGC0003</t>
  </si>
  <si>
    <t>022-0138-001-T</t>
  </si>
  <si>
    <t>022-0138-003-T</t>
  </si>
  <si>
    <t>025-0114-t</t>
  </si>
  <si>
    <t>035-0222-T</t>
  </si>
  <si>
    <t>035-0520-t</t>
  </si>
  <si>
    <t>036-0119-020-T</t>
  </si>
  <si>
    <t>053-0131-T</t>
  </si>
  <si>
    <t>054-0100-014-T</t>
  </si>
  <si>
    <t>054-0124-020-t</t>
  </si>
  <si>
    <t>054-0124-023-t</t>
  </si>
  <si>
    <t>058-0266-T</t>
  </si>
  <si>
    <t>058-0267-006-T</t>
  </si>
  <si>
    <t>058-0268-T</t>
  </si>
  <si>
    <t>058-0269-T</t>
  </si>
  <si>
    <t>064-0106-t</t>
  </si>
  <si>
    <t>067-0168-001-T</t>
  </si>
  <si>
    <t>067-0170-101-T</t>
  </si>
  <si>
    <t>074-0127-011-T</t>
  </si>
  <si>
    <t>108-0181-001-t</t>
  </si>
  <si>
    <t>158-0515-t</t>
  </si>
  <si>
    <t>158-0524-t</t>
  </si>
  <si>
    <t>212-0230-069-T</t>
  </si>
  <si>
    <t>212-0230-070-T</t>
  </si>
  <si>
    <t>212-0230-071-T</t>
  </si>
  <si>
    <t>212-0230-072-T</t>
  </si>
  <si>
    <t>212-0230-073-T</t>
  </si>
  <si>
    <t>212-0230-074-T</t>
  </si>
  <si>
    <t>212-0230-075-T</t>
  </si>
  <si>
    <t>212-0230-076-T</t>
  </si>
  <si>
    <t>212-0303-T</t>
  </si>
  <si>
    <t>212-0323-t</t>
  </si>
  <si>
    <t>212-0356-004-T</t>
  </si>
  <si>
    <t>219-0103-T</t>
  </si>
  <si>
    <t>9043-0027-060-T</t>
  </si>
  <si>
    <t>9043-0030-T</t>
  </si>
  <si>
    <t>9118-0060-T</t>
  </si>
  <si>
    <t>9125-0013-t</t>
  </si>
  <si>
    <t>9127-0008-T</t>
  </si>
  <si>
    <t>9148-0037-T</t>
  </si>
  <si>
    <t>9148-0045-T</t>
  </si>
  <si>
    <t>9148-0046-T</t>
  </si>
  <si>
    <t>9267-0034-t</t>
  </si>
  <si>
    <t>9289-0054-t</t>
  </si>
  <si>
    <t>9334-0008-002-T</t>
  </si>
  <si>
    <t>9384-0011-T</t>
  </si>
  <si>
    <t>9489-0074-T</t>
  </si>
  <si>
    <t>9489-0165-T</t>
  </si>
  <si>
    <t>9492-0006-T</t>
  </si>
  <si>
    <t>9596-0004-100-T</t>
  </si>
  <si>
    <t>9599-0022-001-T</t>
  </si>
  <si>
    <t>9740-0030-T</t>
  </si>
  <si>
    <t>9880-0022-033-T</t>
  </si>
  <si>
    <t>9941-0101-003-T</t>
  </si>
  <si>
    <t>9968-0049-T</t>
  </si>
  <si>
    <t>9968-0051-T</t>
  </si>
  <si>
    <t>ESP0096</t>
  </si>
  <si>
    <t>ESP0097</t>
  </si>
  <si>
    <t>ESP0098</t>
  </si>
  <si>
    <t>ESP0100</t>
  </si>
  <si>
    <t>ESP0103</t>
  </si>
  <si>
    <t>FAC0062</t>
  </si>
  <si>
    <t>FAC0075</t>
  </si>
  <si>
    <t>FAC0659</t>
  </si>
  <si>
    <t>FAC0723</t>
  </si>
  <si>
    <t>FAC0731</t>
  </si>
  <si>
    <t>FAC0821</t>
  </si>
  <si>
    <t>FAC1130</t>
  </si>
  <si>
    <t>FAC1131</t>
  </si>
  <si>
    <t>FAC1279</t>
  </si>
  <si>
    <t>FAC1297</t>
  </si>
  <si>
    <t>FAC1323</t>
  </si>
  <si>
    <t>FST-0173</t>
  </si>
  <si>
    <t>FST-0263</t>
  </si>
  <si>
    <t>FST-0303</t>
  </si>
  <si>
    <t>FST-0550</t>
  </si>
  <si>
    <t>raa-0232</t>
  </si>
  <si>
    <t>RAA-0382</t>
  </si>
  <si>
    <t>WLC6001</t>
  </si>
  <si>
    <t>010-4835</t>
  </si>
  <si>
    <t>022-0152-002-T</t>
  </si>
  <si>
    <t>022-0180-T</t>
  </si>
  <si>
    <t>025-1005-T</t>
  </si>
  <si>
    <t>031-0186-T</t>
  </si>
  <si>
    <t>054-0140-001-T</t>
  </si>
  <si>
    <t>058-0254-018-T</t>
  </si>
  <si>
    <t>058-0267-004-t</t>
  </si>
  <si>
    <t>067-0150-200-T</t>
  </si>
  <si>
    <t>074-0123-001-T</t>
  </si>
  <si>
    <t>074-0127-010-T</t>
  </si>
  <si>
    <t>074-0358-T</t>
  </si>
  <si>
    <t>074-0377-T</t>
  </si>
  <si>
    <t>158-0506-T</t>
  </si>
  <si>
    <t>177-0127-001-T</t>
  </si>
  <si>
    <t>212-0230-006-T</t>
  </si>
  <si>
    <t>212-0321-005-T</t>
  </si>
  <si>
    <t>212-0356-005-T</t>
  </si>
  <si>
    <t>9043-0069-060-T</t>
  </si>
  <si>
    <t>9047-0080-T</t>
  </si>
  <si>
    <t>9222-0078-001-T</t>
  </si>
  <si>
    <t>9261-0010-075-T</t>
  </si>
  <si>
    <t>9261-0011-445-T</t>
  </si>
  <si>
    <t>9261-0022-001-T</t>
  </si>
  <si>
    <t>9267-0018-004-t</t>
  </si>
  <si>
    <t>9267-0018-005-t</t>
  </si>
  <si>
    <t>9292-0048-023-t</t>
  </si>
  <si>
    <t>9292-0048-025-t</t>
  </si>
  <si>
    <t>9292-0048-042-t</t>
  </si>
  <si>
    <t>9292-0050-001-T</t>
  </si>
  <si>
    <t>9292-0050-T</t>
  </si>
  <si>
    <t>9326-0030-001-T</t>
  </si>
  <si>
    <t>9591-0065-T</t>
  </si>
  <si>
    <t>9594-0016-T</t>
  </si>
  <si>
    <t>9595-0006-T</t>
  </si>
  <si>
    <t>9674-0010-003-t</t>
  </si>
  <si>
    <t>9726-0115-t</t>
  </si>
  <si>
    <t>9757-0146-T</t>
  </si>
  <si>
    <t>9874-0041-T</t>
  </si>
  <si>
    <t>9880-0022-006-t</t>
  </si>
  <si>
    <t>9880-0040-t</t>
  </si>
  <si>
    <t>9880-0043-T</t>
  </si>
  <si>
    <t>9880-0044-030-t</t>
  </si>
  <si>
    <t>9881-0003-T</t>
  </si>
  <si>
    <t>9941-0195-001-T</t>
  </si>
  <si>
    <t>9966-0045-T</t>
  </si>
  <si>
    <t>9968-0019-t</t>
  </si>
  <si>
    <t>9968-0032-001-T</t>
  </si>
  <si>
    <t>9968-0033-001-T</t>
  </si>
  <si>
    <t>FAC0342</t>
  </si>
  <si>
    <t>FAC0506</t>
  </si>
  <si>
    <t>FAC0553</t>
  </si>
  <si>
    <t>FAC0608</t>
  </si>
  <si>
    <t>FAC0658</t>
  </si>
  <si>
    <t>FAC0810</t>
  </si>
  <si>
    <t>FAC1124</t>
  </si>
  <si>
    <t>FAC1132</t>
  </si>
  <si>
    <t>FAC1134</t>
  </si>
  <si>
    <t>FAC1183</t>
  </si>
  <si>
    <t>FAC1276</t>
  </si>
  <si>
    <t>FAC1285</t>
  </si>
  <si>
    <t>FAC1346</t>
  </si>
  <si>
    <t>FAC1349</t>
  </si>
  <si>
    <t>FAC1365</t>
  </si>
  <si>
    <t>FST-0316</t>
  </si>
  <si>
    <t>FST-0317</t>
  </si>
  <si>
    <t>FST-0552</t>
  </si>
  <si>
    <t>FST-0553</t>
  </si>
  <si>
    <t>RAA-0226</t>
  </si>
  <si>
    <t>raa-0295</t>
  </si>
  <si>
    <t>RAA-0368</t>
  </si>
  <si>
    <t>raa-0379</t>
  </si>
  <si>
    <t>RAF-0141</t>
  </si>
  <si>
    <t>RAJ-0104</t>
  </si>
  <si>
    <t>RSA-0112</t>
  </si>
  <si>
    <t>RSA-0351</t>
  </si>
  <si>
    <t>rsa-0428</t>
  </si>
  <si>
    <t>rsa-0429</t>
  </si>
  <si>
    <t>rsf-0103</t>
  </si>
  <si>
    <t>RSF-0144</t>
  </si>
  <si>
    <t>RSJ-0104</t>
  </si>
  <si>
    <t>RSJ-0130</t>
  </si>
  <si>
    <t>003-2992-001</t>
  </si>
  <si>
    <t>003-3430</t>
  </si>
  <si>
    <t>022-0126-T</t>
  </si>
  <si>
    <t>022-0129-002-T</t>
  </si>
  <si>
    <t>022-0152-001-t</t>
  </si>
  <si>
    <t>022-0165-T</t>
  </si>
  <si>
    <t>025-0111-T</t>
  </si>
  <si>
    <t>031-0124-009-T</t>
  </si>
  <si>
    <t>031-0169-T</t>
  </si>
  <si>
    <t>036-0986-003</t>
  </si>
  <si>
    <t>047-0128-T</t>
  </si>
  <si>
    <t>048-0134-075-T</t>
  </si>
  <si>
    <t>048-0134-080-T</t>
  </si>
  <si>
    <t>058-0118-150-T</t>
  </si>
  <si>
    <t>058-0119-013-T</t>
  </si>
  <si>
    <t>058-0127-003-T</t>
  </si>
  <si>
    <t>070-0115-046-T</t>
  </si>
  <si>
    <t>074-0296-003-T</t>
  </si>
  <si>
    <t>074-2731-045</t>
  </si>
  <si>
    <t>112-1065-019-T</t>
  </si>
  <si>
    <t>115-0144-T</t>
  </si>
  <si>
    <t>158-0510-T</t>
  </si>
  <si>
    <t>161-0109-T</t>
  </si>
  <si>
    <t>177-3963-003</t>
  </si>
  <si>
    <t>9228-0005-T</t>
  </si>
  <si>
    <t>9261-0028-T</t>
  </si>
  <si>
    <t>9263-0003-T</t>
  </si>
  <si>
    <t>9263-0005-T</t>
  </si>
  <si>
    <t>9292-0003-013-T</t>
  </si>
  <si>
    <t>9292-0003-014-T</t>
  </si>
  <si>
    <t>9292-0003-022-T</t>
  </si>
  <si>
    <t>9292-0004-001-T</t>
  </si>
  <si>
    <t>9292-0020-024-T</t>
  </si>
  <si>
    <t>9292-0020-038-T</t>
  </si>
  <si>
    <t>9292-0020-040-T</t>
  </si>
  <si>
    <t>9292-0035-001-T</t>
  </si>
  <si>
    <t>9292-0048-013-T</t>
  </si>
  <si>
    <t>9326-0002-001-T</t>
  </si>
  <si>
    <t>9326-0006-T</t>
  </si>
  <si>
    <t>9330-0003-T</t>
  </si>
  <si>
    <t>9330-0004-T</t>
  </si>
  <si>
    <t>9489-0058-T</t>
  </si>
  <si>
    <t>9489-0062-002-T</t>
  </si>
  <si>
    <t>9562-0012-T</t>
  </si>
  <si>
    <t>9591-0079-T</t>
  </si>
  <si>
    <t>9591-0091-T</t>
  </si>
  <si>
    <t>9594-0011-T</t>
  </si>
  <si>
    <t>9594-0029</t>
  </si>
  <si>
    <t>9598-0006-T</t>
  </si>
  <si>
    <t>9600-0010-T</t>
  </si>
  <si>
    <t>9726-0019-T</t>
  </si>
  <si>
    <t>9726-0025-038-T</t>
  </si>
  <si>
    <t>9726-0058-T</t>
  </si>
  <si>
    <t>9726-0061-002-T</t>
  </si>
  <si>
    <t>9726-0090-T</t>
  </si>
  <si>
    <t>9727-0002-001-T</t>
  </si>
  <si>
    <t>9728-0033-T</t>
  </si>
  <si>
    <t>9732-0001-T</t>
  </si>
  <si>
    <t>9738-0368</t>
  </si>
  <si>
    <t>9745-0030-T</t>
  </si>
  <si>
    <t>9745-0043-T</t>
  </si>
  <si>
    <t>9754-0013-T</t>
  </si>
  <si>
    <t>9881-0005-T</t>
  </si>
  <si>
    <t>9881-0006-T</t>
  </si>
  <si>
    <t>9941-0092-T</t>
  </si>
  <si>
    <t>9941-0157-T</t>
  </si>
  <si>
    <t>9941-0213-002-T</t>
  </si>
  <si>
    <t>9942-0031-T</t>
  </si>
  <si>
    <t>9965-0004-T</t>
  </si>
  <si>
    <t>FAC1368</t>
  </si>
  <si>
    <t>FAC1369</t>
  </si>
  <si>
    <t>FST-0174</t>
  </si>
  <si>
    <t>FST-0384</t>
  </si>
  <si>
    <t>FST-0545</t>
  </si>
  <si>
    <t>FST-0554</t>
  </si>
  <si>
    <t>FST-0555</t>
  </si>
  <si>
    <t>RSA-0202</t>
  </si>
  <si>
    <t>003-2707-001</t>
  </si>
  <si>
    <t>022-0141-003-T</t>
  </si>
  <si>
    <t>031-0192-T</t>
  </si>
  <si>
    <t>054-0123-010-T</t>
  </si>
  <si>
    <t>054-0138-002-T</t>
  </si>
  <si>
    <t>054-0140-002-T</t>
  </si>
  <si>
    <t>054-0276-003-t</t>
  </si>
  <si>
    <t>055-0101-001-T</t>
  </si>
  <si>
    <t>057-0164-060-t</t>
  </si>
  <si>
    <t>057-0188-060-t</t>
  </si>
  <si>
    <t>058-0125-001-T</t>
  </si>
  <si>
    <t>058-0182-008-T</t>
  </si>
  <si>
    <t>058-0203-008-T</t>
  </si>
  <si>
    <t>058-9215-300</t>
  </si>
  <si>
    <t>067-0169-001-T</t>
  </si>
  <si>
    <t>070-0127-t</t>
  </si>
  <si>
    <t>074-0100-012-T</t>
  </si>
  <si>
    <t>074-0127-008-T</t>
  </si>
  <si>
    <t>075-0125-001-T</t>
  </si>
  <si>
    <t>115-0113-005-T</t>
  </si>
  <si>
    <t>158-0522-t</t>
  </si>
  <si>
    <t>177-1984-182</t>
  </si>
  <si>
    <t>237-5907-003</t>
  </si>
  <si>
    <t>900-0264-T</t>
  </si>
  <si>
    <t>9002-0006-T</t>
  </si>
  <si>
    <t>9032-0006-T</t>
  </si>
  <si>
    <t>9037-0001-001-T</t>
  </si>
  <si>
    <t>9037-0001-T</t>
  </si>
  <si>
    <t>9051-0043-T</t>
  </si>
  <si>
    <t>9133-0011-T</t>
  </si>
  <si>
    <t>9222-0104-t</t>
  </si>
  <si>
    <t>9292-0034-004-T</t>
  </si>
  <si>
    <t>9292-0041-007-t</t>
  </si>
  <si>
    <t>9326-0089-T</t>
  </si>
  <si>
    <t>9326-0120-001-T</t>
  </si>
  <si>
    <t>9334-0007-T</t>
  </si>
  <si>
    <t>9562-0013</t>
  </si>
  <si>
    <t>9590-0010-T</t>
  </si>
  <si>
    <t>9591-0076-T</t>
  </si>
  <si>
    <t>9726-0025-051-T</t>
  </si>
  <si>
    <t>9726-0028-005-T</t>
  </si>
  <si>
    <t>9726-0049-T</t>
  </si>
  <si>
    <t>9731-0002-T</t>
  </si>
  <si>
    <t>9737-0007-T</t>
  </si>
  <si>
    <t>9745-0038-T</t>
  </si>
  <si>
    <t>9874-0036-T</t>
  </si>
  <si>
    <t>9880-0006-T</t>
  </si>
  <si>
    <t>9941-0113-T</t>
  </si>
  <si>
    <t>9941-0240-T</t>
  </si>
  <si>
    <t>9941-0287-206-T</t>
  </si>
  <si>
    <t>9941-0290-T</t>
  </si>
  <si>
    <t>9965-0005-003-T</t>
  </si>
  <si>
    <t>AD1008-01</t>
  </si>
  <si>
    <t>FAC0361</t>
  </si>
  <si>
    <t>FAC0448</t>
  </si>
  <si>
    <t>FAC1370</t>
  </si>
  <si>
    <t>FAC1373</t>
  </si>
  <si>
    <t>FST-0336</t>
  </si>
  <si>
    <t>FST-0376</t>
  </si>
  <si>
    <t>RAH-0109</t>
  </si>
  <si>
    <t>RAL-0104</t>
  </si>
  <si>
    <t>RSF-0155</t>
  </si>
  <si>
    <t>022-0143-T</t>
  </si>
  <si>
    <t>031-2379-002</t>
  </si>
  <si>
    <t>036-1547</t>
  </si>
  <si>
    <t>042-0716-025</t>
  </si>
  <si>
    <t>047-2127-004</t>
  </si>
  <si>
    <t>057-0164-060-T</t>
  </si>
  <si>
    <t>058-0119-001-T</t>
  </si>
  <si>
    <t>060-0105-051-T</t>
  </si>
  <si>
    <t>133-0123-003-T</t>
  </si>
  <si>
    <t>9002-0005-001-T</t>
  </si>
  <si>
    <t>9037-0012-T</t>
  </si>
  <si>
    <t>9043-0022-025-T</t>
  </si>
  <si>
    <t>9122-0034-T</t>
  </si>
  <si>
    <t>9147-0006-T</t>
  </si>
  <si>
    <t>9225-0005-T</t>
  </si>
  <si>
    <t>9261-0011-345-T</t>
  </si>
  <si>
    <t>9292-0048-019-T</t>
  </si>
  <si>
    <t>9293-0020-T</t>
  </si>
  <si>
    <t>9326-0074-T</t>
  </si>
  <si>
    <t>9333-0005-T</t>
  </si>
  <si>
    <t>9392-0082-001-T</t>
  </si>
  <si>
    <t>9393-0013-T</t>
  </si>
  <si>
    <t>9442-0012-T</t>
  </si>
  <si>
    <t>9500-0028-002-t</t>
  </si>
  <si>
    <t>9562-0014-t</t>
  </si>
  <si>
    <t>9726-0057-T</t>
  </si>
  <si>
    <t>9726-0061-003-T</t>
  </si>
  <si>
    <t>9752-0005-T</t>
  </si>
  <si>
    <t>9941-0157</t>
  </si>
  <si>
    <t>9942-0023-T</t>
  </si>
  <si>
    <t>fac0705</t>
  </si>
  <si>
    <t>fac0712</t>
  </si>
  <si>
    <t>FAC1255</t>
  </si>
  <si>
    <t>025-1006-T</t>
  </si>
  <si>
    <t>040-0169-T</t>
  </si>
  <si>
    <t>040-0170-T</t>
  </si>
  <si>
    <t>054-0122-005-T</t>
  </si>
  <si>
    <t>058-0113-050-T</t>
  </si>
  <si>
    <t>058-0159-037-T</t>
  </si>
  <si>
    <t>058-0225-T</t>
  </si>
  <si>
    <t>058-0230-T</t>
  </si>
  <si>
    <t>074-0140-T</t>
  </si>
  <si>
    <t>074-0175-T</t>
  </si>
  <si>
    <t>074-0206-001-T</t>
  </si>
  <si>
    <t>074-0258-T</t>
  </si>
  <si>
    <t>074-0258-T-LB</t>
  </si>
  <si>
    <t>074-0376-001-T</t>
  </si>
  <si>
    <t>074-0376-001-T-LB</t>
  </si>
  <si>
    <t>074-0378-001-T</t>
  </si>
  <si>
    <t>074-0378-001-T-LB</t>
  </si>
  <si>
    <t>074-0380-T</t>
  </si>
  <si>
    <t>074-0380-T-LB</t>
  </si>
  <si>
    <t>097-0111-001-T</t>
  </si>
  <si>
    <t>151-0211-T</t>
  </si>
  <si>
    <t>158-0507-T</t>
  </si>
  <si>
    <t>158-0523-004-T</t>
  </si>
  <si>
    <t>211-2636-T</t>
  </si>
  <si>
    <t>212-0170-T</t>
  </si>
  <si>
    <t>212-0171-T</t>
  </si>
  <si>
    <t>212-0175-T</t>
  </si>
  <si>
    <t>212-0179-T</t>
  </si>
  <si>
    <t>217-0216-003-T</t>
  </si>
  <si>
    <t>900-0223-T</t>
  </si>
  <si>
    <t>9046-0014-001-T</t>
  </si>
  <si>
    <t>9136-0041-075-T</t>
  </si>
  <si>
    <t>9261-0038-038-T</t>
  </si>
  <si>
    <t>9291-0019-T</t>
  </si>
  <si>
    <t>9292-0048-021-T</t>
  </si>
  <si>
    <t>9387-0009-T</t>
  </si>
  <si>
    <t>9489-0030-001-T</t>
  </si>
  <si>
    <t>9489-0069-004-T</t>
  </si>
  <si>
    <t>9560-0356-T</t>
  </si>
  <si>
    <t>9599-0025-T</t>
  </si>
  <si>
    <t>9669-0021-T</t>
  </si>
  <si>
    <t>9726-0029-T</t>
  </si>
  <si>
    <t>9728-0038-003-T</t>
  </si>
  <si>
    <t>9745-0051</t>
  </si>
  <si>
    <t>9869-0009-T</t>
  </si>
  <si>
    <t>9880-0022-026-t</t>
  </si>
  <si>
    <t>9880-0046-005-T</t>
  </si>
  <si>
    <t>9941-0155-004-T</t>
  </si>
  <si>
    <t>AD1021-01</t>
  </si>
  <si>
    <t>FAC1366</t>
  </si>
  <si>
    <t>FAC1374</t>
  </si>
  <si>
    <t>FAC1375</t>
  </si>
  <si>
    <t>FAC1377</t>
  </si>
  <si>
    <t>FAC1378</t>
  </si>
  <si>
    <t>RSA-0120</t>
  </si>
  <si>
    <t>RSA-0366</t>
  </si>
  <si>
    <t>RSH-0140</t>
  </si>
  <si>
    <t>STA0257</t>
  </si>
  <si>
    <t>010-0187-004-T</t>
  </si>
  <si>
    <t>010-0187-004-T-LB</t>
  </si>
  <si>
    <t>022-0103-004-T</t>
  </si>
  <si>
    <t>022-0162-T</t>
  </si>
  <si>
    <t>022-0163-T</t>
  </si>
  <si>
    <t>031-0185-001-T</t>
  </si>
  <si>
    <t>036-0119-150-T</t>
  </si>
  <si>
    <t>040-0127-001-T</t>
  </si>
  <si>
    <t>042-0139-075-T</t>
  </si>
  <si>
    <t>048-0103-001-T</t>
  </si>
  <si>
    <t>048-0121-001-t</t>
  </si>
  <si>
    <t>054-0106-T</t>
  </si>
  <si>
    <t>054-0119-009-T</t>
  </si>
  <si>
    <t>054-0121-002-T</t>
  </si>
  <si>
    <t>054-0123-006-T</t>
  </si>
  <si>
    <t>054-0128-001-T</t>
  </si>
  <si>
    <t>054-0245-001-T</t>
  </si>
  <si>
    <t>054-0371-T</t>
  </si>
  <si>
    <t>058-0117-008-T</t>
  </si>
  <si>
    <t>058-0119-017-T</t>
  </si>
  <si>
    <t>058-0169-025-T</t>
  </si>
  <si>
    <t>058-0173-002-T</t>
  </si>
  <si>
    <t>058-0180-023-T</t>
  </si>
  <si>
    <t>074-0208-003-T</t>
  </si>
  <si>
    <t>074-0263-001-T</t>
  </si>
  <si>
    <t>074-0381-T</t>
  </si>
  <si>
    <t>074-0381-T-LB</t>
  </si>
  <si>
    <t>074-0382-T</t>
  </si>
  <si>
    <t>080-0147-T</t>
  </si>
  <si>
    <t>158-0509-001-T</t>
  </si>
  <si>
    <t>212-0103-t</t>
  </si>
  <si>
    <t>212-0183-T</t>
  </si>
  <si>
    <t>212-0251-002-T</t>
  </si>
  <si>
    <t>9001-0061-T</t>
  </si>
  <si>
    <t>9002-0005-T</t>
  </si>
  <si>
    <t>9004-0007-T</t>
  </si>
  <si>
    <t>9007-0139-007-T</t>
  </si>
  <si>
    <t>9007-0139-008-T</t>
  </si>
  <si>
    <t>9007-0173-T</t>
  </si>
  <si>
    <t>9043-0065-T</t>
  </si>
  <si>
    <t>9117-0020-T</t>
  </si>
  <si>
    <t>9117-0058-T</t>
  </si>
  <si>
    <t>9222-0061-001-t</t>
  </si>
  <si>
    <t>9261-0010-051-T</t>
  </si>
  <si>
    <t>9261-0030-009-T</t>
  </si>
  <si>
    <t>9261-0030-010-T</t>
  </si>
  <si>
    <t>9261-0046-645-T</t>
  </si>
  <si>
    <t>9261-0046-690-T</t>
  </si>
  <si>
    <t>9292-0003-010-T</t>
  </si>
  <si>
    <t>9292-0003-029-T</t>
  </si>
  <si>
    <t>9292-0012-001-T</t>
  </si>
  <si>
    <t>9292-0020-052-T</t>
  </si>
  <si>
    <t>9292-0041-011-T</t>
  </si>
  <si>
    <t>9292-0048-020-T</t>
  </si>
  <si>
    <t>9292-0048-031-T</t>
  </si>
  <si>
    <t>9292-0050-004-T</t>
  </si>
  <si>
    <t>9292-0050-005-T</t>
  </si>
  <si>
    <t>9292-0050-006-T</t>
  </si>
  <si>
    <t>9292-0050-008-T</t>
  </si>
  <si>
    <t>9292-0050-009-T</t>
  </si>
  <si>
    <t>9292-0050-010-T</t>
  </si>
  <si>
    <t>9326-0101-T</t>
  </si>
  <si>
    <t>9326-0146-T</t>
  </si>
  <si>
    <t>9326-0147-T</t>
  </si>
  <si>
    <t>9326-0148-T</t>
  </si>
  <si>
    <t>9334-0008-004-T</t>
  </si>
  <si>
    <t>9392-0099-T</t>
  </si>
  <si>
    <t>9489-0034-001-T</t>
  </si>
  <si>
    <t>9489-0037-T</t>
  </si>
  <si>
    <t>9489-0052-T</t>
  </si>
  <si>
    <t>9489-0065-T</t>
  </si>
  <si>
    <t>9489-0072-004-T</t>
  </si>
  <si>
    <t>9489-0102-002-T</t>
  </si>
  <si>
    <t>9489-0153-T</t>
  </si>
  <si>
    <t>9545-0028-003-T</t>
  </si>
  <si>
    <t>9591-0106-T</t>
  </si>
  <si>
    <t>9601-0002-025-T</t>
  </si>
  <si>
    <t>9669-0012-T</t>
  </si>
  <si>
    <t>9726-0093-t</t>
  </si>
  <si>
    <t>9733-0003-T</t>
  </si>
  <si>
    <t>9733-0018-T</t>
  </si>
  <si>
    <t>9757-0025-T</t>
  </si>
  <si>
    <t>9757-0036-100-T</t>
  </si>
  <si>
    <t>9757-0097-001-T</t>
  </si>
  <si>
    <t>9757-0149-t</t>
  </si>
  <si>
    <t>9869-0006-052-T</t>
  </si>
  <si>
    <t>9941-0147-001-T</t>
  </si>
  <si>
    <t>9941-0150</t>
  </si>
  <si>
    <t>9941-0231-T</t>
  </si>
  <si>
    <t>9941-0266-001-T</t>
  </si>
  <si>
    <t>9965-0042-T</t>
  </si>
  <si>
    <t>9965-0043-T</t>
  </si>
  <si>
    <t>9965-0044-T</t>
  </si>
  <si>
    <t>9968-0004-004-T</t>
  </si>
  <si>
    <t>AD1039-01</t>
  </si>
  <si>
    <t>FAC0026</t>
  </si>
  <si>
    <t>FAC0584</t>
  </si>
  <si>
    <t>FAC0746</t>
  </si>
  <si>
    <t>FAC0759</t>
  </si>
  <si>
    <t>FAC12572</t>
  </si>
  <si>
    <t>FAC1386</t>
  </si>
  <si>
    <t>FAC1387</t>
  </si>
  <si>
    <t>FST-0556</t>
  </si>
  <si>
    <t>FST-0557</t>
  </si>
  <si>
    <t>FST-0558</t>
  </si>
  <si>
    <t>FST-0559</t>
  </si>
  <si>
    <t>RSA-0268</t>
  </si>
  <si>
    <t>RSF-0174</t>
  </si>
  <si>
    <t>010-0575-002-T</t>
  </si>
  <si>
    <t>031-0151-T</t>
  </si>
  <si>
    <t>054-0128-002-T</t>
  </si>
  <si>
    <t>057-0121-020-T</t>
  </si>
  <si>
    <t>057-0524-080-T</t>
  </si>
  <si>
    <t>058-0180-016-T</t>
  </si>
  <si>
    <t>058-0201-003-T</t>
  </si>
  <si>
    <t>074-0258-001-T</t>
  </si>
  <si>
    <t>115-0104-001-T</t>
  </si>
  <si>
    <t>158-0518-002-T</t>
  </si>
  <si>
    <t>158-0522-T-LB</t>
  </si>
  <si>
    <t>158-0526-T-LB</t>
  </si>
  <si>
    <t>211-3063-T</t>
  </si>
  <si>
    <t>900-0218-T</t>
  </si>
  <si>
    <t>900-0219-T</t>
  </si>
  <si>
    <t>9008-0002-T</t>
  </si>
  <si>
    <t>9043-0063-T</t>
  </si>
  <si>
    <t>9045-0013-T</t>
  </si>
  <si>
    <t>9046-0007-T</t>
  </si>
  <si>
    <t>9118-0051-T</t>
  </si>
  <si>
    <t>9292-0041-010-T</t>
  </si>
  <si>
    <t>9293-0086-T</t>
  </si>
  <si>
    <t>9326-0019-001-T</t>
  </si>
  <si>
    <t>9326-0124-T</t>
  </si>
  <si>
    <t>9326-0126-T</t>
  </si>
  <si>
    <t>9489-0087-T</t>
  </si>
  <si>
    <t>9489-0099-001-T</t>
  </si>
  <si>
    <t>9590-0007-T</t>
  </si>
  <si>
    <t>9591-0071-T</t>
  </si>
  <si>
    <t>9591-0092-T</t>
  </si>
  <si>
    <t>9591-0093-T</t>
  </si>
  <si>
    <t>9591-0112-T</t>
  </si>
  <si>
    <t>9591-0113-T</t>
  </si>
  <si>
    <t>9591-0114-T</t>
  </si>
  <si>
    <t>9594-0013-002-T</t>
  </si>
  <si>
    <t>9596-0004-060-T</t>
  </si>
  <si>
    <t>9596-0004-150-T</t>
  </si>
  <si>
    <t>9601-0024-001-t</t>
  </si>
  <si>
    <t>9740-0043-t</t>
  </si>
  <si>
    <t>9941-0186-T</t>
  </si>
  <si>
    <t>9941-0269-T</t>
  </si>
  <si>
    <t>9968-0010-004-T</t>
  </si>
  <si>
    <t>FAC0071</t>
  </si>
  <si>
    <t>FAC0085</t>
  </si>
  <si>
    <t>FAC0090</t>
  </si>
  <si>
    <t>FAC0091</t>
  </si>
  <si>
    <t>FAC0092</t>
  </si>
  <si>
    <t>FST-0427</t>
  </si>
  <si>
    <t>RAA-0277</t>
  </si>
  <si>
    <t>RAA-0420</t>
  </si>
  <si>
    <t>RSF-0133</t>
  </si>
  <si>
    <t>RSH-0108</t>
  </si>
  <si>
    <t>031-0185-004-T</t>
  </si>
  <si>
    <t>031-0193-005-T</t>
  </si>
  <si>
    <t>054-0124-026-t</t>
  </si>
  <si>
    <t>058-0215-202-T</t>
  </si>
  <si>
    <t>070-0117-003-T</t>
  </si>
  <si>
    <t>074-0205-003-T</t>
  </si>
  <si>
    <t>074-0234-T</t>
  </si>
  <si>
    <t>074-0381-001-T</t>
  </si>
  <si>
    <t>074-0381-001-T-LB</t>
  </si>
  <si>
    <t>115-0113-006-T</t>
  </si>
  <si>
    <t>158-0344-001-T</t>
  </si>
  <si>
    <t>158-0504-001-T</t>
  </si>
  <si>
    <t>158-0504-002-T</t>
  </si>
  <si>
    <t>158-0507-t</t>
  </si>
  <si>
    <t>211-3436-T</t>
  </si>
  <si>
    <t>212-0105-t</t>
  </si>
  <si>
    <t>220-0100-124-T</t>
  </si>
  <si>
    <t>263-0103-002-T</t>
  </si>
  <si>
    <t>263-0103-005-T</t>
  </si>
  <si>
    <t>263-0103-006-T</t>
  </si>
  <si>
    <t>701-0395-001-T</t>
  </si>
  <si>
    <t>9007-0172-001-T</t>
  </si>
  <si>
    <t>9043-0022-150-T</t>
  </si>
  <si>
    <t>9047-0080-001-T</t>
  </si>
  <si>
    <t>9118-0061-T</t>
  </si>
  <si>
    <t>9122-0043-T</t>
  </si>
  <si>
    <t>9142-0021-T</t>
  </si>
  <si>
    <t>9142-0022-T</t>
  </si>
  <si>
    <t>9226-0002-012-T</t>
  </si>
  <si>
    <t>9267-0008-T</t>
  </si>
  <si>
    <t>9292-0003-026-T</t>
  </si>
  <si>
    <t>9292-0050-012-T</t>
  </si>
  <si>
    <t>9297-0001-009-T</t>
  </si>
  <si>
    <t>9326-0030-002-T</t>
  </si>
  <si>
    <t>9326-0081-T</t>
  </si>
  <si>
    <t>9333-0008-t</t>
  </si>
  <si>
    <t>9379-0013-001-t</t>
  </si>
  <si>
    <t>9379-0013-t</t>
  </si>
  <si>
    <t>9383-0005-T</t>
  </si>
  <si>
    <t>9473-0015-T</t>
  </si>
  <si>
    <t>9489-0012-001-T</t>
  </si>
  <si>
    <t>9489-0046-T</t>
  </si>
  <si>
    <t>9489-0062-007-T</t>
  </si>
  <si>
    <t>9492-0019-T</t>
  </si>
  <si>
    <t>9501-0050-T</t>
  </si>
  <si>
    <t>9501-0051-T</t>
  </si>
  <si>
    <t>9591-0069-T</t>
  </si>
  <si>
    <t>9591-0107-T</t>
  </si>
  <si>
    <t>9591-0108-T</t>
  </si>
  <si>
    <t>9591-0109-T</t>
  </si>
  <si>
    <t>9591-0110-T</t>
  </si>
  <si>
    <t>9596-0006-T</t>
  </si>
  <si>
    <t>9674-0002-T</t>
  </si>
  <si>
    <t>9755-0002-T</t>
  </si>
  <si>
    <t>9757-0094-001-T</t>
  </si>
  <si>
    <t>9757-0138-T</t>
  </si>
  <si>
    <t>9757-0151-T</t>
  </si>
  <si>
    <t>9757-0156-T</t>
  </si>
  <si>
    <t>9874-0030-T</t>
  </si>
  <si>
    <t>9880-0046-005-t</t>
  </si>
  <si>
    <t>9941-0271-T</t>
  </si>
  <si>
    <t>9941-0295-001-T</t>
  </si>
  <si>
    <t>9966-0034-T</t>
  </si>
  <si>
    <t>AD1017-01</t>
  </si>
  <si>
    <t>AE1001-01</t>
  </si>
  <si>
    <t>FAC0725</t>
  </si>
  <si>
    <t>FST-0296</t>
  </si>
  <si>
    <t>FST-0313</t>
  </si>
  <si>
    <t>FST-0483</t>
  </si>
  <si>
    <t>RAA-0298</t>
  </si>
  <si>
    <t>RSA-0453</t>
  </si>
  <si>
    <t>RSF-0130</t>
  </si>
  <si>
    <t>031-0133-001-T</t>
  </si>
  <si>
    <t>035-0216-T</t>
  </si>
  <si>
    <t>054-0138-001-T</t>
  </si>
  <si>
    <t>058-0119-011-T</t>
  </si>
  <si>
    <t>058-0159-200-T</t>
  </si>
  <si>
    <t>070-0121-t</t>
  </si>
  <si>
    <t>074-0258-001-t</t>
  </si>
  <si>
    <t>115-0124-006-T</t>
  </si>
  <si>
    <t>151-0340-T</t>
  </si>
  <si>
    <t>158-0273-t</t>
  </si>
  <si>
    <t>158-0525-t</t>
  </si>
  <si>
    <t>158-0526-t</t>
  </si>
  <si>
    <t>211-2111-001-T</t>
  </si>
  <si>
    <t>212-0356-003-T</t>
  </si>
  <si>
    <t>300012-LB</t>
  </si>
  <si>
    <t>9001-0051-T</t>
  </si>
  <si>
    <t>9007-0176-t</t>
  </si>
  <si>
    <t>9043-0018-085-T</t>
  </si>
  <si>
    <t>9043-0042-T</t>
  </si>
  <si>
    <t>9045-0007-T</t>
  </si>
  <si>
    <t>9125-0020-T</t>
  </si>
  <si>
    <t>9129-0012-T</t>
  </si>
  <si>
    <t>9129-0015-T</t>
  </si>
  <si>
    <t>9136-0052-t</t>
  </si>
  <si>
    <t>9142-0005-T</t>
  </si>
  <si>
    <t>9142-0016-T</t>
  </si>
  <si>
    <t>9267-0008-001-T</t>
  </si>
  <si>
    <t>9267-0014-001-t</t>
  </si>
  <si>
    <t>9292-0003-064-T</t>
  </si>
  <si>
    <t>9292-0037-T</t>
  </si>
  <si>
    <t>9292-0048-030-T</t>
  </si>
  <si>
    <t>9392-0101-T</t>
  </si>
  <si>
    <t>9488-0002-001-T</t>
  </si>
  <si>
    <t>9489-0005-T</t>
  </si>
  <si>
    <t>9489-0006-T</t>
  </si>
  <si>
    <t>9489-0067-004-T</t>
  </si>
  <si>
    <t>9489-0068-004-T</t>
  </si>
  <si>
    <t>9489-0073-004-T</t>
  </si>
  <si>
    <t>9489-0080-T</t>
  </si>
  <si>
    <t>9489-0142-T</t>
  </si>
  <si>
    <t>9492-0017-t</t>
  </si>
  <si>
    <t>9601-0039-T</t>
  </si>
  <si>
    <t>9669-0005-T</t>
  </si>
  <si>
    <t>9674-0018-t</t>
  </si>
  <si>
    <t>9675-0030-T</t>
  </si>
  <si>
    <t>9742-0006-002-T</t>
  </si>
  <si>
    <t>9757-0155-T</t>
  </si>
  <si>
    <t>9874-0042-T</t>
  </si>
  <si>
    <t>9880-0045-t</t>
  </si>
  <si>
    <t>9941-0107-001-T</t>
  </si>
  <si>
    <t>9941-0204-T</t>
  </si>
  <si>
    <t>9966-0030-T</t>
  </si>
  <si>
    <t>9968-0023-T</t>
  </si>
  <si>
    <t>AD1040-01</t>
  </si>
  <si>
    <t>FAC0190</t>
  </si>
  <si>
    <t>FST-0186</t>
  </si>
  <si>
    <t>FST-0250</t>
  </si>
  <si>
    <t>FST-0392</t>
  </si>
  <si>
    <t>FST-0426</t>
  </si>
  <si>
    <t>RAA-0367</t>
  </si>
  <si>
    <t>rsa-0112</t>
  </si>
  <si>
    <t>003-0121-T</t>
  </si>
  <si>
    <t>005-0104-T</t>
  </si>
  <si>
    <t>010-0524-T</t>
  </si>
  <si>
    <t>031-0171-001-T</t>
  </si>
  <si>
    <t>042-0142-080-T</t>
  </si>
  <si>
    <t>042-0156-051-T</t>
  </si>
  <si>
    <t>048-0135-062-T</t>
  </si>
  <si>
    <t>048-0145-001-T</t>
  </si>
  <si>
    <t>054-0100-001-T</t>
  </si>
  <si>
    <t>054-0100-004-T</t>
  </si>
  <si>
    <t>054-0273-t</t>
  </si>
  <si>
    <t>054-0308-001-T</t>
  </si>
  <si>
    <t>054-0309-T</t>
  </si>
  <si>
    <t>057-0121-016-T</t>
  </si>
  <si>
    <t>058-0119-007-T</t>
  </si>
  <si>
    <t>058-0119-021-T</t>
  </si>
  <si>
    <t>058-0157-001-T</t>
  </si>
  <si>
    <t>058-0271-t</t>
  </si>
  <si>
    <t>058-0272-t</t>
  </si>
  <si>
    <t>058-0276-012-T</t>
  </si>
  <si>
    <t>058-0276-150-T</t>
  </si>
  <si>
    <t>060-0104-002-T</t>
  </si>
  <si>
    <t>067-0122-017-T</t>
  </si>
  <si>
    <t>070-0136-002-T</t>
  </si>
  <si>
    <t>070-0136-004-T</t>
  </si>
  <si>
    <t>070-0140-T</t>
  </si>
  <si>
    <t>070-0156-001-T</t>
  </si>
  <si>
    <t>070-0156-003-T</t>
  </si>
  <si>
    <t>074-0162-001-T</t>
  </si>
  <si>
    <t>074-0251-003-T</t>
  </si>
  <si>
    <t>075-0125-002-T</t>
  </si>
  <si>
    <t>080-0147-t</t>
  </si>
  <si>
    <t>108-0200-002-T</t>
  </si>
  <si>
    <t>111-1038-001-T-LB</t>
  </si>
  <si>
    <t>111-1038-002-T-LB</t>
  </si>
  <si>
    <t>112-1106-003-T</t>
  </si>
  <si>
    <t>112-1231-T</t>
  </si>
  <si>
    <t>112-1233-T</t>
  </si>
  <si>
    <t>134-0849-001-T-LB</t>
  </si>
  <si>
    <t>134-1185-T</t>
  </si>
  <si>
    <t>134-1186-T</t>
  </si>
  <si>
    <t>151-0100-002-T</t>
  </si>
  <si>
    <t>151-0100-003-T</t>
  </si>
  <si>
    <t>151-0424-001-T</t>
  </si>
  <si>
    <t>151-0424-005-T</t>
  </si>
  <si>
    <t>158-0585-012-T</t>
  </si>
  <si>
    <t>158-0585-150-T</t>
  </si>
  <si>
    <t>211-1179-001-T</t>
  </si>
  <si>
    <t>211-1179-002-T</t>
  </si>
  <si>
    <t>211-2191-T</t>
  </si>
  <si>
    <t>211-3062-T</t>
  </si>
  <si>
    <t>211-3063-001-T</t>
  </si>
  <si>
    <t>211-3063-002-T</t>
  </si>
  <si>
    <t>211-3066-T</t>
  </si>
  <si>
    <t>212-0104-t</t>
  </si>
  <si>
    <t>212-0228-001-t</t>
  </si>
  <si>
    <t>212-0230-013-t</t>
  </si>
  <si>
    <t>212-0230-015-t</t>
  </si>
  <si>
    <t>212-0230-016-t</t>
  </si>
  <si>
    <t>212-0230-018-t</t>
  </si>
  <si>
    <t>212-0230-022-t</t>
  </si>
  <si>
    <t>212-0230-062-t</t>
  </si>
  <si>
    <t>212-0230-068-t</t>
  </si>
  <si>
    <t>212-0323-001-t</t>
  </si>
  <si>
    <t>212-0324-001-t</t>
  </si>
  <si>
    <t>212-0325-t</t>
  </si>
  <si>
    <t>212-0327-t</t>
  </si>
  <si>
    <t>212-0332-t</t>
  </si>
  <si>
    <t>212-0340-001-t</t>
  </si>
  <si>
    <t>212-0341-001-t</t>
  </si>
  <si>
    <t>212-0341-003-t</t>
  </si>
  <si>
    <t>212-0341-005-t</t>
  </si>
  <si>
    <t>212-0341-009-t</t>
  </si>
  <si>
    <t>212-0345-001-t</t>
  </si>
  <si>
    <t>212-0356-003-t</t>
  </si>
  <si>
    <t>9001-0011-T</t>
  </si>
  <si>
    <t>9001-0066-T</t>
  </si>
  <si>
    <t>9007-0097-T</t>
  </si>
  <si>
    <t>9007-0139-003-T</t>
  </si>
  <si>
    <t>9007-0139-004-T</t>
  </si>
  <si>
    <t>9008-0007-T</t>
  </si>
  <si>
    <t>9043-0018-075-T</t>
  </si>
  <si>
    <t>9046-0006-002-T</t>
  </si>
  <si>
    <t>9047-0122-T</t>
  </si>
  <si>
    <t>9047-0123-T</t>
  </si>
  <si>
    <t>9051-0009-T</t>
  </si>
  <si>
    <t>9051-0038-t</t>
  </si>
  <si>
    <t>9116-0002-T</t>
  </si>
  <si>
    <t>9117-0077-t</t>
  </si>
  <si>
    <t>9118-0006-002-T</t>
  </si>
  <si>
    <t>9118-0027-075-T</t>
  </si>
  <si>
    <t>9122-0012-005-T</t>
  </si>
  <si>
    <t>9125-0008-051-t</t>
  </si>
  <si>
    <t>9125-0008-T</t>
  </si>
  <si>
    <t>9125-0014-T</t>
  </si>
  <si>
    <t>9125-0029-001-T</t>
  </si>
  <si>
    <t>9132-0001-t</t>
  </si>
  <si>
    <t>9133-0010-T</t>
  </si>
  <si>
    <t>9222-0033-t</t>
  </si>
  <si>
    <t>9222-0034-t</t>
  </si>
  <si>
    <t>9222-0053-001-t</t>
  </si>
  <si>
    <t>9261-0010-038-T</t>
  </si>
  <si>
    <t>9261-0035-T</t>
  </si>
  <si>
    <t>9261-0039-T</t>
  </si>
  <si>
    <t>9266-0011-001-t</t>
  </si>
  <si>
    <t>9267-0035-T</t>
  </si>
  <si>
    <t>9289-0012-T</t>
  </si>
  <si>
    <t>9289-0013-T</t>
  </si>
  <si>
    <t>9289-0014-T</t>
  </si>
  <si>
    <t>9289-0015-T</t>
  </si>
  <si>
    <t>9289-0027-T</t>
  </si>
  <si>
    <t>9289-0038-T</t>
  </si>
  <si>
    <t>9291-0025-T</t>
  </si>
  <si>
    <t>9292-0010-003-T</t>
  </si>
  <si>
    <t>9292-0010-006-T</t>
  </si>
  <si>
    <t>9292-0010-009-T</t>
  </si>
  <si>
    <t>9292-0010-010-T</t>
  </si>
  <si>
    <t>9292-0010-011-T</t>
  </si>
  <si>
    <t>9292-0026-T</t>
  </si>
  <si>
    <t>9292-0029-005-T</t>
  </si>
  <si>
    <t>9326-0043-001-T</t>
  </si>
  <si>
    <t>9326-0045-001-T</t>
  </si>
  <si>
    <t>9326-0045-002-T</t>
  </si>
  <si>
    <t>9378-0006-T</t>
  </si>
  <si>
    <t>9379-0014-T</t>
  </si>
  <si>
    <t>9383-0008-T</t>
  </si>
  <si>
    <t>9392-0017-T</t>
  </si>
  <si>
    <t>9392-0061-T</t>
  </si>
  <si>
    <t>9392-0102-001-T</t>
  </si>
  <si>
    <t>9392-0102-002-T</t>
  </si>
  <si>
    <t>9392-0102-T</t>
  </si>
  <si>
    <t>9394-0018-T</t>
  </si>
  <si>
    <t>9442-0008-T</t>
  </si>
  <si>
    <t>9489-0026-001-T</t>
  </si>
  <si>
    <t>9489-0126-T</t>
  </si>
  <si>
    <t>9492-0008-T</t>
  </si>
  <si>
    <t>9492-0011-T</t>
  </si>
  <si>
    <t>9493-0002-T</t>
  </si>
  <si>
    <t>9501-0034-t</t>
  </si>
  <si>
    <t>9543-0008-t</t>
  </si>
  <si>
    <t>9545-0041-T</t>
  </si>
  <si>
    <t>9560-0019-T</t>
  </si>
  <si>
    <t>9560-0308</t>
  </si>
  <si>
    <t>9560-0356-001-T</t>
  </si>
  <si>
    <t>9561-0011-T</t>
  </si>
  <si>
    <t>9573-0002-t</t>
  </si>
  <si>
    <t>9574-0018-T</t>
  </si>
  <si>
    <t>9574-0023-T</t>
  </si>
  <si>
    <t>9577-0015-T</t>
  </si>
  <si>
    <t>9577-0017-T</t>
  </si>
  <si>
    <t>9591-0031-T</t>
  </si>
  <si>
    <t>9591-0043-t</t>
  </si>
  <si>
    <t>9591-0115-T</t>
  </si>
  <si>
    <t>9591-0116-T</t>
  </si>
  <si>
    <t>9591-0117-T</t>
  </si>
  <si>
    <t>9591-0118-T</t>
  </si>
  <si>
    <t>9595-0005-T</t>
  </si>
  <si>
    <t>9595-0013-T</t>
  </si>
  <si>
    <t>9595-0018-T</t>
  </si>
  <si>
    <t>9669-0019-T</t>
  </si>
  <si>
    <t>9671-0005-T</t>
  </si>
  <si>
    <t>9671-0006-T</t>
  </si>
  <si>
    <t>9671-0009-T</t>
  </si>
  <si>
    <t>9671-0017-t</t>
  </si>
  <si>
    <t>9671-0019-t</t>
  </si>
  <si>
    <t>9671-0021-t</t>
  </si>
  <si>
    <t>9674-0003-T</t>
  </si>
  <si>
    <t>9726-0021-001-T</t>
  </si>
  <si>
    <t>9726-0025-075-T</t>
  </si>
  <si>
    <t>9726-0072-T</t>
  </si>
  <si>
    <t>9726-0097-T</t>
  </si>
  <si>
    <t>9738-0003-T</t>
  </si>
  <si>
    <t>9752-0015-T</t>
  </si>
  <si>
    <t>9756-0001-051-T</t>
  </si>
  <si>
    <t>9757-0036-T</t>
  </si>
  <si>
    <t>9757-0154-001-T</t>
  </si>
  <si>
    <t>9757-0154-002-T</t>
  </si>
  <si>
    <t>9878-0003-T</t>
  </si>
  <si>
    <t>9935-0001-038-T</t>
  </si>
  <si>
    <t>9935-0002-076-T</t>
  </si>
  <si>
    <t>9935-0012-075-T</t>
  </si>
  <si>
    <t>9941-0109-T</t>
  </si>
  <si>
    <t>9941-0124-T</t>
  </si>
  <si>
    <t>9941-0136-001-T</t>
  </si>
  <si>
    <t>9941-0208-T</t>
  </si>
  <si>
    <t>9941-0218-051-T</t>
  </si>
  <si>
    <t>9941-0251-T</t>
  </si>
  <si>
    <t>9941-0319-T</t>
  </si>
  <si>
    <t>9941-0324-T</t>
  </si>
  <si>
    <t>9968-0010-001-T</t>
  </si>
  <si>
    <t>9968-0044-001-T</t>
  </si>
  <si>
    <t>9970-0001-T</t>
  </si>
  <si>
    <t>FAC1347</t>
  </si>
  <si>
    <t>FAC1392</t>
  </si>
  <si>
    <t>FST-0385</t>
  </si>
  <si>
    <t>RAA-0307</t>
  </si>
  <si>
    <t>raa-0417</t>
  </si>
  <si>
    <t>RSA-0525</t>
  </si>
  <si>
    <t>RSA-0526</t>
  </si>
  <si>
    <t>RSA-0528</t>
  </si>
  <si>
    <t>RSA-0530</t>
  </si>
  <si>
    <t>Item</t>
  </si>
  <si>
    <t>Item Description</t>
  </si>
  <si>
    <t>M10 WASHER SS</t>
  </si>
  <si>
    <t>M8 FLAT WASHER SS</t>
  </si>
  <si>
    <t>FLAT WASHER M16 CLASS10 ZINC PLATED</t>
  </si>
  <si>
    <t>M10-1.5 HH LOCK NUT SS</t>
  </si>
  <si>
    <t>M8-1.25 LOCKNUT SS</t>
  </si>
  <si>
    <t>M6 WASHER SS</t>
  </si>
  <si>
    <t>M12 WASHER SS</t>
  </si>
  <si>
    <t>M10-1.5 HH Bolt x 40 Lg. SS</t>
  </si>
  <si>
    <t>M6 x1.00 LOCKNUT SS</t>
  </si>
  <si>
    <t>M16x2.0 DIN 980 Class 10 Zinc Lock Nut</t>
  </si>
  <si>
    <t>M12-1.75 LOCKNUT SS</t>
  </si>
  <si>
    <t>M10 - 1.5 HH BOLT x 30mmLG SS</t>
  </si>
  <si>
    <t>M4 WASHER SS304</t>
  </si>
  <si>
    <t>1/2" SPRING WASHER SS304</t>
  </si>
  <si>
    <t>M8-1.25 HH Bolt x 25 Lg. SS</t>
  </si>
  <si>
    <t>SELF DRILLING SCREW 1" SUS#8X1" JP</t>
  </si>
  <si>
    <t>M6 JP BOLT x 30 mm LG SS304</t>
  </si>
  <si>
    <t>M10-1.5 HH Bolt x 35 Lg. SS</t>
  </si>
  <si>
    <t>NUT STUD SS. SIZE 1/2" - 13 NC</t>
  </si>
  <si>
    <t>M8-1.25 HH Bolt x 30 Lg. SS</t>
  </si>
  <si>
    <t>5/8 HUCK BOLT 0.75-1GP (C50LR-BR20-12GA)</t>
  </si>
  <si>
    <t>CABLE TIE REMOVE SIZ11-12" W4.5-4.8mm BK</t>
  </si>
  <si>
    <t>CABLE TIE SIZE 14 1/2" xWide7.6 mm BLACK</t>
  </si>
  <si>
    <t>M16x2.0 LOCK NUT PLATED GRADE 8.8</t>
  </si>
  <si>
    <t>Self Drilling Screw SUS#8X1-1/2" JP</t>
  </si>
  <si>
    <t>Self Drilling Screw SUS#8X1-1/4" JP</t>
  </si>
  <si>
    <t>BLIND RIVET SS DIA3.2X9.6mm. No.4-4</t>
  </si>
  <si>
    <t>M10-1.5 NUT SS</t>
  </si>
  <si>
    <t>M10-1.5  HH BOLT x 45mm LG  STLSS</t>
  </si>
  <si>
    <t>M10-1.5 BOTTON HEAD SOCKET x 30mm LG. SS</t>
  </si>
  <si>
    <t>M8-1.25 HH Bolt x 40 Lg. SS</t>
  </si>
  <si>
    <t>M6-1.00 HH Bolt x 25 Lg. SS</t>
  </si>
  <si>
    <t>FLAT WASHER M14 CLASS10 ZINC PLATED</t>
  </si>
  <si>
    <t>M12-1.75 HH BOLT 40 LG. A2-70 SS304</t>
  </si>
  <si>
    <t>CABLE TIE SIZE 20-21 1/16" x W8-8.8mm BK</t>
  </si>
  <si>
    <t>M12 X 1.75 BOLT 70LG-35TH  A2-70 SS304</t>
  </si>
  <si>
    <t>3/8-16 NC NYLOCK NUT</t>
  </si>
  <si>
    <t>M6-1.00 HH BOLT X 16mmLG. SS</t>
  </si>
  <si>
    <t>INSULATED TERMINAL"RING TYPE" 5.3 mm#2-5</t>
  </si>
  <si>
    <t>FAC0171</t>
  </si>
  <si>
    <t>DIESEL OIL (SHELL V-POWER)</t>
  </si>
  <si>
    <t>SELF DRILLING HEX WASHER NO.14x1"</t>
  </si>
  <si>
    <t>BOLT M16-2.0x65 DIN 931 Class 10.9 Zinc</t>
  </si>
  <si>
    <t>M12 - 1.75 HH BOLT x 45mmLG SS</t>
  </si>
  <si>
    <t>M8-1.25 NUT SS</t>
  </si>
  <si>
    <t>FAC0762</t>
  </si>
  <si>
    <t>13081-00664 4PLY CARBON FACE MASK</t>
  </si>
  <si>
    <t>BOLT M16-2.0x55 DIN 931 Class 10.9 Zinc</t>
  </si>
  <si>
    <t>FAC0714</t>
  </si>
  <si>
    <t>BENZINE/GASOHOL 91 FOR FOLKLIFT KOMAT</t>
  </si>
  <si>
    <t>1/2-13 NC ALL THREAD [4.5"] LG=114mm. SS</t>
  </si>
  <si>
    <t>CLOTHS SCRAP</t>
  </si>
  <si>
    <t>COPPER CRIMP SLEEVES BF6 CODE IL112003</t>
  </si>
  <si>
    <t>BOLT M16-2.0x45 DIN 933 Class 10.9 Zinc</t>
  </si>
  <si>
    <t>STUD SS M12x1.75 x 55 mm LONG</t>
  </si>
  <si>
    <t>M10-1.5x70MM DIN931CLASS A2 SS CAP SCREW</t>
  </si>
  <si>
    <t>M14x2.0 DIN 980 Class 10 Zinc Lock Nut</t>
  </si>
  <si>
    <t>M16x2.0 HH BOLT x 65mm LG GRADE 8.8</t>
  </si>
  <si>
    <t>M16-2.0 x45 mm. FLAT HEAD(สีเงิน)(G12.9)</t>
  </si>
  <si>
    <t>M16-2.0 HH BOLTx55mm LG  G8.8 ZINCPLATE</t>
  </si>
  <si>
    <t>CLEAR GLASS SIZE 2"x4.1/4"x2mm.THK.</t>
  </si>
  <si>
    <t>153501005  TIP 1.2 MM. (ID. 1.4 mm #17)</t>
  </si>
  <si>
    <t>BOLT HEX HEAD 5/16-18NC HHx1" LG SS</t>
  </si>
  <si>
    <t>M16-2.0HH BOLTx60mm LG,GRADE 8.8 ZP/HALF</t>
  </si>
  <si>
    <t>M8-1.25 HH Bolt x 35 Lg. SS</t>
  </si>
  <si>
    <t>5/16"-18 NC LOCK NUT, SUS</t>
  </si>
  <si>
    <t>5/16" WASHER SPRINR SS</t>
  </si>
  <si>
    <t>SS WASHER 5/16</t>
  </si>
  <si>
    <t>M6-1.00 HH Bolt x 55Lg. SS ALL THREAD</t>
  </si>
  <si>
    <t>HEAD COVER ELASTIC CLOTH #CREAM,BROWN</t>
  </si>
  <si>
    <t>M10-1.5 BOLT x 60 LG SS (HALF THREAD)</t>
  </si>
  <si>
    <t>ALUMINA CERAMIC CUPS #6</t>
  </si>
  <si>
    <t>M12-1.75 HH BOLT X 50 SUS เกลียวตลอด</t>
  </si>
  <si>
    <t>BOLT M16-2.0x75 DIN 931 Class 10.9 Zinc</t>
  </si>
  <si>
    <t>M6 JP BOLT x 20 mmLG SS304</t>
  </si>
  <si>
    <t>ALUMINIUM OXIDE NO. 60</t>
  </si>
  <si>
    <t>Ear Plug Corded Rocket NRR24d</t>
  </si>
  <si>
    <t>FAC1138</t>
  </si>
  <si>
    <t>Business Card นามบัตร</t>
  </si>
  <si>
    <t>206189 FAS TIP MILLER XR CONTROL</t>
  </si>
  <si>
    <t>206191 FAS TIP MILLER XR CONTROL</t>
  </si>
  <si>
    <t>COLLET 3.2 MM. (TT-10N25)</t>
  </si>
  <si>
    <t>M16-2.0 HH BOLT 45 mm LG  GRADE 8.8</t>
  </si>
  <si>
    <t>SAW BLADES "MAKITA" NO.23 P/N 792148-9</t>
  </si>
  <si>
    <t>COLLET BODY 3.2 MM. (TT-10N28)</t>
  </si>
  <si>
    <t>ALUMINA CERAMIC CUPS #7</t>
  </si>
  <si>
    <t>SCOTBITE 7447B"3M" SIZE 6"X9"(60PCS/BX)</t>
  </si>
  <si>
    <t>ALUMINA CERAMIC CUPS #8</t>
  </si>
  <si>
    <t>PEN PERMANENT MARKER 2 HEAD #HORSE  BLUE</t>
  </si>
  <si>
    <t>CLOTH GLOVE [GREEN RIM/5]</t>
  </si>
  <si>
    <t>TUNGSTEN ELECTRODE 3.2 MM. (GREEN)</t>
  </si>
  <si>
    <t>1"- 8 HH BOLT x 6" LG, NUT F/M</t>
  </si>
  <si>
    <t>SIDE MILLING CUTTER  &lt;STAR CUTTER&gt; 9.5mm</t>
  </si>
  <si>
    <t>3/8" HH BOLT x 5-1/2" ALL THREAD SS</t>
  </si>
  <si>
    <t>3M#14446ใบเจียร์SUS 7"(180x4x22.23mm)</t>
  </si>
  <si>
    <t>M12-1.75 HH BOLT x 110 mm SS</t>
  </si>
  <si>
    <t>FAC0757</t>
  </si>
  <si>
    <t>13081-00663 PLASTIC SHOE COVER(PAIR)</t>
  </si>
  <si>
    <t>FAC0841</t>
  </si>
  <si>
    <t>Black Garbage bag size 30 x 40 inches</t>
  </si>
  <si>
    <t>FAC0130</t>
  </si>
  <si>
    <t>Safety Glass 3M 10903 TH-201</t>
  </si>
  <si>
    <t>FAC1382</t>
  </si>
  <si>
    <t>ปลอกแขนสำหรับกั้นความร้อนจากการเชื่อม</t>
  </si>
  <si>
    <t>PAINT BRUSH 2" NEOTECH BRAND</t>
  </si>
  <si>
    <t>FAC0587</t>
  </si>
  <si>
    <t>DRINKING WATER (7.52BTT) "SINGHA"</t>
  </si>
  <si>
    <t>Gloves Uncoated UHMWPE Size M</t>
  </si>
  <si>
    <t>FAC0795</t>
  </si>
  <si>
    <t>DRINKING WATER (330cc) "SINGHA"</t>
  </si>
  <si>
    <t>WIRE TAPE BLACK "3M" BRAND</t>
  </si>
  <si>
    <t>FAC1331</t>
  </si>
  <si>
    <t>Card case A4</t>
  </si>
  <si>
    <t>ANTI-SPATTER SPRAY 450g</t>
  </si>
  <si>
    <t>050622 NOZZLE 16 MM SPOOLMATIC &amp; XR</t>
  </si>
  <si>
    <t>DRILL BIT RUKO SILVER 5.0MM #9561214050</t>
  </si>
  <si>
    <t>Cut Resistant Gloves HPPE PU Coated XL</t>
  </si>
  <si>
    <t>Blackstone Unlined Cowhide Mig L</t>
  </si>
  <si>
    <t>CONTACT TIP 1.6 FOR RANSOME</t>
  </si>
  <si>
    <t>FAC0862</t>
  </si>
  <si>
    <t>Coffee Mate Foil Bag 1000g</t>
  </si>
  <si>
    <t>FAC0863</t>
  </si>
  <si>
    <t>Ovaltine Malt Beverage Chocolate Flavor</t>
  </si>
  <si>
    <t>FAC1133</t>
  </si>
  <si>
    <t>SHIH-TZU Paper A4 70 Gram.</t>
  </si>
  <si>
    <t>FAC202</t>
  </si>
  <si>
    <t>0070100 MITR PHOL น้ำตาลทราย, 1kg=1ถุง</t>
  </si>
  <si>
    <t>SAND PAPER DISC NO.P120, 5" (100 EA/RL)</t>
  </si>
  <si>
    <t>Modify Shaft PTO for AD1015-01 TO 02</t>
  </si>
  <si>
    <t>Modify Shaft PTO for AD1010-01   TO  02</t>
  </si>
  <si>
    <t>Modify Shaft PTO for   AD1011-01 TO 02</t>
  </si>
  <si>
    <t>SUNDRY FOR PLASTIC PALLETS  100*120 cm.</t>
  </si>
  <si>
    <t>Modify Shaft PTO for   AD1025-01 TO  02</t>
  </si>
  <si>
    <t>Modify Shaft PTO for   AD1025-03</t>
  </si>
  <si>
    <t>Modify Shaft PTO for   AD1031-01</t>
  </si>
  <si>
    <t>Modify Shaft PTO for   AD1033-01</t>
  </si>
  <si>
    <t>Modify Shaft PTO for   AD1011-01TO02</t>
  </si>
  <si>
    <t>Modify Shaft PTO for   AD1030-01 TO 02</t>
  </si>
  <si>
    <t>Modify Shaft PTO for   AD1036-01</t>
  </si>
  <si>
    <t>Modify Shaft PTO for   AE1028-01</t>
  </si>
  <si>
    <t>Modify Shaft PTO for   AE1033-01</t>
  </si>
  <si>
    <t>Modify Shaft PTO for   AE1035-01</t>
  </si>
  <si>
    <t>100 X 1R X 16 twist knot brush stainless</t>
  </si>
  <si>
    <t>QUIK EPOXY STEEL</t>
  </si>
  <si>
    <t>BOLT M16-2.0x85 DIN 931 Class 10.9 Zinc</t>
  </si>
  <si>
    <t>STONE CHLOCK  &lt;100 EA/BX&gt;</t>
  </si>
  <si>
    <t>NOZZLE, PMX 85/105,85A #220816</t>
  </si>
  <si>
    <t>SHEILD, PMX 65/85/105 #220818</t>
  </si>
  <si>
    <t>ELECTRODE, PMX 65-105,45/65/85/105A #220</t>
  </si>
  <si>
    <t>FAC0864</t>
  </si>
  <si>
    <t>Oral Rehydrtion Therapy , ORT เกลือแร่</t>
  </si>
  <si>
    <t>FAC0890</t>
  </si>
  <si>
    <t>Contact tube</t>
  </si>
  <si>
    <t>FAC1196</t>
  </si>
  <si>
    <t>Card case plastic A3</t>
  </si>
  <si>
    <t>FAC1350</t>
  </si>
  <si>
    <t>Artline Marker 853 Black(F)</t>
  </si>
  <si>
    <t>PERMANENT PEN LUMOCOLOR "STAEDTLER"</t>
  </si>
  <si>
    <t>Mini-Hand Scratch Brush Curved Edge (SS)</t>
  </si>
  <si>
    <t>LUBRICATE WD-40 SMART STRAW SPRAY 2 WAY</t>
  </si>
  <si>
    <t>FAC0844</t>
  </si>
  <si>
    <t>Sunvo Hand Cleaner Gummy 3.8 Liters</t>
  </si>
  <si>
    <t>LOCTITE NO. 577 PIPE SEALANT (50ml)</t>
  </si>
  <si>
    <t>LEATHER CLOTH #JEANS</t>
  </si>
  <si>
    <t>CO2 {20 KGS,6Q.}</t>
  </si>
  <si>
    <t>MASKING TAPE 2"3M#2214</t>
  </si>
  <si>
    <t>SPRAY CLEANER KUT-COOL CUTTING OIL</t>
  </si>
  <si>
    <t>NOZZLE 15.9 MM TWECO#4  24CT-62-S</t>
  </si>
  <si>
    <t>GREEN CORP CUT-OFF WHEEL 4" FOR SS</t>
  </si>
  <si>
    <t>OXYGEN</t>
  </si>
  <si>
    <t>MASKING TAPE 1" 3M# 2214</t>
  </si>
  <si>
    <t>ALCOHOL PURITY 100%  "J11" BRAND</t>
  </si>
  <si>
    <t>Body Guard Keystone Cowhide SizeL</t>
  </si>
  <si>
    <t>UNI PAINT MARKER PX-20 #WHITE,YELLOW,RED</t>
  </si>
  <si>
    <t>FAC0294</t>
  </si>
  <si>
    <t>FACE SHIELD MODEL FC-48C CLEAR</t>
  </si>
  <si>
    <t>FAC0838</t>
  </si>
  <si>
    <t>Large Paper towels 1-ply</t>
  </si>
  <si>
    <t>FAC1180</t>
  </si>
  <si>
    <t>Pentel Energel-x BLN105 ปากาเจล</t>
  </si>
  <si>
    <t>Pointed brush Size 12</t>
  </si>
  <si>
    <t>SHIELD 105A #220992 FOR PMX 1650</t>
  </si>
  <si>
    <t>NOZZLE 105A #220990 FOR PMX 1650</t>
  </si>
  <si>
    <t>ELECTRODE 105A #220842 FOR PMX 1650</t>
  </si>
  <si>
    <t>1001883 3M#2091/P-100 FILTER 2CT</t>
  </si>
  <si>
    <t>Cutter Blade "Tajima" LCR-39 (30 degree)</t>
  </si>
  <si>
    <t>WELDING CLOTHS, HALF, VEST POY</t>
  </si>
  <si>
    <t>WELDING WIRE STL.CO2 KOBE MG-51T 0.9 mm</t>
  </si>
  <si>
    <t>NOZZLE #199613</t>
  </si>
  <si>
    <t>TUNGSTEN 3.2 MM (RED)</t>
  </si>
  <si>
    <t>CLEAR SILICONE "DOWNCORNING"</t>
  </si>
  <si>
    <t>BROOM (THICK)</t>
  </si>
  <si>
    <t>STRONG BROOM</t>
  </si>
  <si>
    <t>FAC0874</t>
  </si>
  <si>
    <t>Torch body WP-18</t>
  </si>
  <si>
    <t>FAC0893</t>
  </si>
  <si>
    <t>Support feeder weld</t>
  </si>
  <si>
    <t>FAC1142</t>
  </si>
  <si>
    <t>Paper cone for drinking water</t>
  </si>
  <si>
    <t>FAC1172</t>
  </si>
  <si>
    <t>Flax 0.47" x 1.71" Post-it</t>
  </si>
  <si>
    <t>FAC1208</t>
  </si>
  <si>
    <t>polar spray Eucalyptus 280 ml.</t>
  </si>
  <si>
    <t>Gloves Uncoated UHMWPE Size L</t>
  </si>
  <si>
    <t>SAW BELT M42-34-1.1-PFV-5/8-4350MM</t>
  </si>
  <si>
    <t>THINNER AAA    (10 KGS/EA)</t>
  </si>
  <si>
    <t>DUST PROTECTION PADS,3M, #2078 P95</t>
  </si>
  <si>
    <t>ENDMILL CARBIDE NEOCUT-PRO # SL3 M2</t>
  </si>
  <si>
    <t>AL COVER PLASTIC BLUE 0.002" (CHINA)</t>
  </si>
  <si>
    <t>FAC0708</t>
  </si>
  <si>
    <t>HALF MASK FILTER, DOUBLE 3M #7502 SIZE M</t>
  </si>
  <si>
    <t>3M#14437ใบเจียรSUS 4"(100x3x16mm)</t>
  </si>
  <si>
    <t>SAW BLADE DIEBAND M42 3/8x030x4SAB</t>
  </si>
  <si>
    <t>DRILL BIT HIGH-SPEED 16 mm.</t>
  </si>
  <si>
    <t>FAC0843</t>
  </si>
  <si>
    <t>Paper covered tube หลอดพลาสติกหุ้มกระดาษ</t>
  </si>
  <si>
    <t>FAC1148</t>
  </si>
  <si>
    <t>Moccona Royal Gold (120 g.)</t>
  </si>
  <si>
    <t>FAC1149</t>
  </si>
  <si>
    <t>Glade automatic refill 252 ml.</t>
  </si>
  <si>
    <t>FRAME STL LOADING FOR BARREL (LABOR)</t>
  </si>
  <si>
    <t>BOHLER WELDING DMO-IG TIG ROD ER70S-A1</t>
  </si>
  <si>
    <t>RUBBER GLOVE SIZE L (50 PAIR/BX)</t>
  </si>
  <si>
    <t>WELDING GLASS NO.13 FOR TIG WELDING</t>
  </si>
  <si>
    <t>FAC1097</t>
  </si>
  <si>
    <t>รองเท้านิรภัย #9518 พื้น PU-BL#7</t>
  </si>
  <si>
    <t>High Power Head lamp</t>
  </si>
  <si>
    <t>PLASTIC ZIP BAG 25 X 38 cm.  (BY KG)</t>
  </si>
  <si>
    <t>DRILL BIT HIGH-SPEED 6 MM "OSBORN BRAND"</t>
  </si>
  <si>
    <t>ENDMILL SHANK 9.5 mm. No. XXL128</t>
  </si>
  <si>
    <t>DISHES DETERGENT 20LIT "SUNLIGHT"</t>
  </si>
  <si>
    <t>FAC0853</t>
  </si>
  <si>
    <t>Breeze Power Bag 2,250 G. Red</t>
  </si>
  <si>
    <t>PAINT BRUSH 4" NEOTECHBRAND</t>
  </si>
  <si>
    <t>SAW BELT SILCO S-6MM.-0.63MM-4-30 ME/RL</t>
  </si>
  <si>
    <t>LOCTITE NO.76764 SILVER GRADE ANTI SEIZE</t>
  </si>
  <si>
    <t>ENDMILL CARBIDE  #  Model   SM-1</t>
  </si>
  <si>
    <t>NOZZLE INSULATOR #4  34CT</t>
  </si>
  <si>
    <t>Carpet for pack tank blue 2x25m</t>
  </si>
  <si>
    <t>COLOR SPRAY #BLACK (สีดำเงา)</t>
  </si>
  <si>
    <t>FAC0533</t>
  </si>
  <si>
    <t>GREASE#3 UN-72 NON-MELT MOLY BENTONE</t>
  </si>
  <si>
    <t>FAC1209</t>
  </si>
  <si>
    <t>Scothtape Clear 1"x36YdxCore1"</t>
  </si>
  <si>
    <t>FAC1273</t>
  </si>
  <si>
    <t>Double-sided tape เทปกาว2หน้า</t>
  </si>
  <si>
    <t>SUPER GLUE</t>
  </si>
  <si>
    <t>3M#769F G120 RIGID FLAP DISC 100X16MM</t>
  </si>
  <si>
    <t>METAL CONDITIONER  KINO R900 CODE M-001</t>
  </si>
  <si>
    <t>Tissue Tape size 48mm.x50M "3M"</t>
  </si>
  <si>
    <t>LOCTITE NO. 567 STAINLESS STEEL (50ml)</t>
  </si>
  <si>
    <t>SAW BLADE"MAKITA"NO.A-82694(180x2.0x20mm</t>
  </si>
  <si>
    <t>SAKURA SOLID MARKER (YELLOW)</t>
  </si>
  <si>
    <t>FAC0019</t>
  </si>
  <si>
    <t>LPG GAS (48 KGS)</t>
  </si>
  <si>
    <t>FAC0187</t>
  </si>
  <si>
    <t>TAP 1/4" NPT "CARBORUNDUM ABRASIVES"</t>
  </si>
  <si>
    <t>SQUIRT</t>
  </si>
  <si>
    <t>DRILL BIT RUKO SILVER 4.0MM #9561214040</t>
  </si>
  <si>
    <t>FAC0839</t>
  </si>
  <si>
    <t>Jumbo roll toilet paper</t>
  </si>
  <si>
    <t>FAC0856</t>
  </si>
  <si>
    <t>Laminating Pouch Film A4 พลาสติกเคลือบบั</t>
  </si>
  <si>
    <t>FAC0859</t>
  </si>
  <si>
    <t>Lipton Yellow Label Tea 2g</t>
  </si>
  <si>
    <t>FAC1145</t>
  </si>
  <si>
    <t>Panasonic Alkaline AAA</t>
  </si>
  <si>
    <t>FAC1175</t>
  </si>
  <si>
    <t>Ballpoint pen 0.5 mm. blue (50pens)</t>
  </si>
  <si>
    <t>FAC1207</t>
  </si>
  <si>
    <t>Baygon Spray 600ml.</t>
  </si>
  <si>
    <t>FAC1329</t>
  </si>
  <si>
    <t>Punch card Lever MA for NEOCAL machine -</t>
  </si>
  <si>
    <t>THINNER USEWELLA (10KGS/ EA)</t>
  </si>
  <si>
    <t>JETBROACH 20mm X 50mm</t>
  </si>
  <si>
    <t>HEAD SHIELD #BLACK NO.453833</t>
  </si>
  <si>
    <t>SAND PAPER DISC NO. P400 5" (175 EA/RL)</t>
  </si>
  <si>
    <t>Kleengurad SP suze XL (PPE)</t>
  </si>
  <si>
    <t>DU-3920S DEGREASER CLEANING SOLVENT(5LT)</t>
  </si>
  <si>
    <t>WIRE,SEAL COPPER 0.6MM W/THEAD WIRE COVE</t>
  </si>
  <si>
    <t>RUBBER GLUE "SUNBEAM"  (GA)</t>
  </si>
  <si>
    <t>FAC0040</t>
  </si>
  <si>
    <t>DISHES DETERGENT 4500ml "SUNLIGHT"</t>
  </si>
  <si>
    <t>FAC0172</t>
  </si>
  <si>
    <t>COLOR SPRAY #RED</t>
  </si>
  <si>
    <t>FAC0801</t>
  </si>
  <si>
    <t>ARGON GASES PACK CRATE RENTAL MONTH</t>
  </si>
  <si>
    <t>FAC1215</t>
  </si>
  <si>
    <t>Extension plug ปลั๊กพ่วง</t>
  </si>
  <si>
    <t>FAC1271</t>
  </si>
  <si>
    <t>PEN PERMANENT MARKER 2 HEAD #HORSE RED</t>
  </si>
  <si>
    <t>FAC1394</t>
  </si>
  <si>
    <t>เข็มขัดพยุงหลัง 3M Back Support Size M</t>
  </si>
  <si>
    <t>DRILL BIT HIGH-SPEED 3 MM</t>
  </si>
  <si>
    <t>DRILL BIT 10 mm  "OSBORN BRAND"</t>
  </si>
  <si>
    <t>DRILL BIT HIGH-SPEED 8 MM.</t>
  </si>
  <si>
    <t>DU-769R  2K PE PUTTY FINE (2KG/GA)</t>
  </si>
  <si>
    <t>DU-759R  HARDENER FOR POLYESTER (50G.)</t>
  </si>
  <si>
    <t>ล้อสก๊อตไบร์ทสีแดง 60x25x6</t>
  </si>
  <si>
    <t>BULB 24V 35W SINGLE  POINT</t>
  </si>
  <si>
    <t>Weld Brite</t>
  </si>
  <si>
    <t>น้ำยาล้างแนวเชื่อมสแตนเลส</t>
  </si>
  <si>
    <t>ABRASIVE FLAP WHEEL size 50X10</t>
  </si>
  <si>
    <t>size 50X10 #80(มีแกน)</t>
  </si>
  <si>
    <t>ENDMILL CARBIDE</t>
  </si>
  <si>
    <t>NEOCUT-PRO # SL3 M2</t>
  </si>
  <si>
    <t>FIBER GRIDER DISC 14"</t>
  </si>
  <si>
    <t>SPRING WASHER SS 13 mm. 1/2"</t>
  </si>
  <si>
    <t>INSULATED TERMINALS PIN</t>
  </si>
  <si>
    <t>5.5-AF (4-6 YELLOW)</t>
  </si>
  <si>
    <t>FAC1094</t>
  </si>
  <si>
    <t>STOCK CARD FORM Size 15x21 cm</t>
  </si>
  <si>
    <t>ตรายางผู้รับคืนได้ตรวจสอบรับรถ</t>
  </si>
  <si>
    <t>ตรายางผู้รับคืนได้ตรวจสอบรับรถสีน้ำเงิน</t>
  </si>
  <si>
    <t>THB</t>
  </si>
  <si>
    <t>ค่าขนส่ง ประจำเดือนเมษายน 2026</t>
  </si>
  <si>
    <t>Warehouse Service(JJ)</t>
  </si>
  <si>
    <t>ค่าเช่าJ&amp;JWarehouseประจำเดือนเมษายน 2026</t>
  </si>
  <si>
    <t>Load the container Operation</t>
  </si>
  <si>
    <t>ค่าเช่าJ&amp;J Warehouse ประจำเดือนเมษายน</t>
  </si>
  <si>
    <t>ค่าเช่าJ&amp;JWarehouseประจำเดือนพฤษภาคม2026</t>
  </si>
  <si>
    <t>ค่าเช่าJ&amp;J Warehouse ประจำเดือนพฤษภาคม</t>
  </si>
  <si>
    <t>ตะแกรงเหล็กพับได้100 X 120X 89</t>
  </si>
  <si>
    <t>ตะแกรงเหล็กพับได้ size100 X 120X 89 ซม.</t>
  </si>
  <si>
    <t>ค่าขนส่งประจำเดือนมิถุนายน2026</t>
  </si>
  <si>
    <t>ค่าเช่าJ&amp;J Warehouse ประจำเดือนมิถุนายน</t>
  </si>
  <si>
    <t>BATTERY 1.5 VOLT SIZE D "NATIONAL"</t>
  </si>
  <si>
    <t>WYTEBOARD MARKER, BLUE  #11000</t>
  </si>
  <si>
    <t>WELDING GLASS NO.12 FOR MIG WELDING</t>
  </si>
  <si>
    <t>PIPE THREAD TAPE ""AZUMA"" BRAND</t>
  </si>
  <si>
    <t>FST-0499</t>
  </si>
  <si>
    <t>M5 HH BOLT SS 16mm LONG</t>
  </si>
  <si>
    <t>BLIND RIVET SS DIA.4.8mm=3/16"X13.5mmLG</t>
  </si>
  <si>
    <t>M16-2.0 BOLT x60mm TAPER HEAD BLACK</t>
  </si>
  <si>
    <t>FAC0727</t>
  </si>
  <si>
    <t>LOCTITE NO.263 THREADLOCKER (50ml)</t>
  </si>
  <si>
    <t>LONG BACK CAP,C/W 98W O-RING#3025YXG0034</t>
  </si>
  <si>
    <t>FAC0251</t>
  </si>
  <si>
    <t>INSULATED TERMINAL PIN 2-AF IC 0502 BLUE</t>
  </si>
  <si>
    <t>FAC0619</t>
  </si>
  <si>
    <t>HOSE CLAMP 1/2" SUS</t>
  </si>
  <si>
    <t>WELDING WIRE 308L-16 SIZE 3.2MM</t>
  </si>
  <si>
    <t>FAC0501</t>
  </si>
  <si>
    <t>FUSE 5 A. 30mm LG (TYPE BULB)</t>
  </si>
  <si>
    <t>FAC0502</t>
  </si>
  <si>
    <t>FUSE 10 A. 30mm LG (TYPE BULB)</t>
  </si>
  <si>
    <t>PLASTIC ZIP BAG  9 X 13 cm.</t>
  </si>
  <si>
    <t>STUD SS M12x1.75 ,60mm LONG</t>
  </si>
  <si>
    <t>FST0530</t>
  </si>
  <si>
    <t>M16-2.00 HH BoltX45 Taper Head (Black)</t>
  </si>
  <si>
    <t>FAC0867</t>
  </si>
  <si>
    <t>ALUMINIZE FOIL FOR ANTI HEAT #11G0-01</t>
  </si>
  <si>
    <t>SHORT BACK CAP (57Y04)</t>
  </si>
  <si>
    <t>SAW "ECLIPSE" SKY-BLUE SIZE 18 INC.</t>
  </si>
  <si>
    <t>0405 Soft Bristle Flow-thru Brush</t>
  </si>
  <si>
    <t>STIKIT DISC PAD SIZE 5"{"3M" P/N 5575}</t>
  </si>
  <si>
    <t>WELD.WIRE FT-51 3.2 MM.  "YAWATA"</t>
  </si>
  <si>
    <t>INSULATED TERMINAL "RING TYPE" (AL)C25-6</t>
  </si>
  <si>
    <t>M6 x1.00 NUT SS  [ แบบไม่ Lock ]</t>
  </si>
  <si>
    <t>M6 JP BOLT x 15 SmmLG SS304</t>
  </si>
  <si>
    <t>SAW BLADE WESPAHICARBON 3/8x 030x 4SAB</t>
  </si>
  <si>
    <t>Weld Brite For wash Stainless</t>
  </si>
  <si>
    <t>Scratch Brush(Steel)เเปลงเหล็กขัดเเท็งค์</t>
  </si>
  <si>
    <t>M12-1.75HH BOLTx100mmLG SS HALF</t>
  </si>
  <si>
    <t>M10-1.5 HH Bolt x 95 Lg. SS HALF THREAD</t>
  </si>
  <si>
    <t>M6-1.00 HH Bolt x 20 Lg. SS</t>
  </si>
  <si>
    <t>Welding wire FT-51 2.6mm. yawata</t>
  </si>
  <si>
    <t>M16-2.0 x55 mm. FLATHEAD (สีเงิน)(G12.9)</t>
  </si>
  <si>
    <t>M10-1.5 HH BOLT 80 mm SUS304 HALF THREAD</t>
  </si>
  <si>
    <t>Electrical Terminals "RING TYPE"</t>
  </si>
  <si>
    <t>FAC1262</t>
  </si>
  <si>
    <t>flexible heat shrink tube</t>
  </si>
  <si>
    <t>M16-2.0 x60 mm. FLAT HEAD(สีเงิน)(G12.9)</t>
  </si>
  <si>
    <t>FST-0544</t>
  </si>
  <si>
    <t>M16-2.0 x70 mm. FLAT HEAD(สีเงิน)(G12.9)</t>
  </si>
  <si>
    <t>M16x2.0 HH BOLT x 50mm LG (G 8.8) PLATED</t>
  </si>
  <si>
    <t>FST-0147</t>
  </si>
  <si>
    <t>1/4-20 NC NYLOCK NUT</t>
  </si>
  <si>
    <t>M10-1.5 HH BOLT X 90mmLG. SS HALF THREAD</t>
  </si>
  <si>
    <t>M8-1.25 HH Bolt x 50 Lg. SS</t>
  </si>
  <si>
    <t>M10-1.5 HH Bolt x 85 Lg. SS HALF THREAD</t>
  </si>
  <si>
    <t>M10-1.5 HH BOLT x 75 Lg SS, HALF THREAD</t>
  </si>
  <si>
    <t>FAC0056</t>
  </si>
  <si>
    <t>GB-OX-GARD 800</t>
  </si>
  <si>
    <t>SAW BELT SIZE 4555x34x5/8</t>
  </si>
  <si>
    <t>M12x1.75 HH BOLT x 20 LG SS</t>
  </si>
  <si>
    <t>M10 SPRING WASHER,  304 SS</t>
  </si>
  <si>
    <t>M10-1.5 HH BOLT x 70 Lg SS, HALF THREAD</t>
  </si>
  <si>
    <t>M16-2.0 x60 mm. FLAT HEAD (BLACK)(G12.9)</t>
  </si>
  <si>
    <t>M4 JP BOLT x 20 mmLG  SS</t>
  </si>
  <si>
    <t>1/2-13 NC ALL THREAD 7" LG=178mm. SUS304</t>
  </si>
  <si>
    <t>M8-1.25 HH Bolt x 60 Lg. SS</t>
  </si>
  <si>
    <t>FAC0276</t>
  </si>
  <si>
    <t>GRINDING CYLINDER POINT NO.W-187 1/2"x1"</t>
  </si>
  <si>
    <t>CUTTING TIP#2NX  "HARRIS"</t>
  </si>
  <si>
    <t>M12-1.75 HH Bolt x 35 Lg. SS</t>
  </si>
  <si>
    <t>9043-0027-090-T</t>
  </si>
  <si>
    <t>M16-2.0 x90 mm. FLAT HEAD (BLACK)(G12.9)</t>
  </si>
  <si>
    <t>FAC0031</t>
  </si>
  <si>
    <t>NITTO SAND PAPER 20x520 NO.60 B-20C</t>
  </si>
  <si>
    <t>M10-1.5 HH BOLT X 120mmLG. SS</t>
  </si>
  <si>
    <t>M10-1.5 HH BOLTx110mmLG. SS HALF THREAD</t>
  </si>
  <si>
    <t>Y966TN(T)#80 251826mm [ผ้าทรายสายพาน]</t>
  </si>
  <si>
    <t>CAP SPLICE PLASTIC "KSS" CE2</t>
  </si>
  <si>
    <t>FAC1367</t>
  </si>
  <si>
    <t>CAP SPLICE PLASTIC "KSS" CE5</t>
  </si>
  <si>
    <t>FST-0425</t>
  </si>
  <si>
    <t>M4 JP BOLT x 50mmLG SS</t>
  </si>
  <si>
    <t>GRIND DIA. 6 mm. AL TYPE MODEL AL251</t>
  </si>
  <si>
    <t>M16-2.00 HH BOLTx75mmLG(G8.8)ZINC PLATED</t>
  </si>
  <si>
    <t>FAC0703</t>
  </si>
  <si>
    <t>LPG GAS (15KG) FOR FOLK LIFT</t>
  </si>
  <si>
    <t>FAC1380</t>
  </si>
  <si>
    <t>สายพานสก๊อตไบร์ทสีแดง 25*1826 mm</t>
  </si>
  <si>
    <t>FAC1381</t>
  </si>
  <si>
    <t>สายพานสก๊อตไบร์ทสีน้ำตาล 50*1826 mm</t>
  </si>
  <si>
    <t>สายรัดยาว 12 เมตร กว้าง 5 เซนต์</t>
  </si>
  <si>
    <t>สายรัดยาว6 เมตรกว้าง 5 เซนต์</t>
  </si>
  <si>
    <t>9043-0018-110-T</t>
  </si>
  <si>
    <t>BOLT M16-2.0x110 DIN 931 Class 10.9 Zinc</t>
  </si>
  <si>
    <t>5/8 HUCK BOLT 1-1.25GP (C50LR-BR20-16GA)</t>
  </si>
  <si>
    <t>M6-1.00 HH Bolt x 60 Lg. SS [เกลียวตลอด]</t>
  </si>
  <si>
    <t>M12 X 1.75 BOLT 130LG-40TH  A2-70 SS304</t>
  </si>
  <si>
    <t>M20x30-Bolt+Nut+Washer</t>
  </si>
  <si>
    <t>M20x120-Bolt+Nut+Washer</t>
  </si>
  <si>
    <t>FST-0368</t>
  </si>
  <si>
    <t>M10 - 1.5 HH BOLT x 25mmLG SS304</t>
  </si>
  <si>
    <t>9043-0027-045-T</t>
  </si>
  <si>
    <t>M16-2.0 x45 mm. FLAT HEAD (BLACK)(G12.9)</t>
  </si>
  <si>
    <t>M20x120-Bolt+Nut+Washer  ZINC  (G8.8)</t>
  </si>
  <si>
    <t>FST-0560</t>
  </si>
  <si>
    <t>M12-1.25 HH BOLT x 35MM LG ZINC (G8.8)</t>
  </si>
  <si>
    <t>FST-0308</t>
  </si>
  <si>
    <t>M12-1.75 HH Bolt x 60 Lg. SS HALF THREAD</t>
  </si>
  <si>
    <t>FAC1393</t>
  </si>
  <si>
    <t>ANTI-CLOGGING  AGENT[ [ น้ำยาล้างหัวมิก]</t>
  </si>
  <si>
    <t>M4 LOCK NUT SS304</t>
  </si>
  <si>
    <t>M8-1.25 HH Bolt x 20 Lg. SS</t>
  </si>
  <si>
    <t>FAC1068</t>
  </si>
  <si>
    <t>Bearing # 6301-ZZ</t>
  </si>
  <si>
    <t>9043-0018-100-T</t>
  </si>
  <si>
    <t>BOLT M16-2.0x100 DIN 931 Class 10.9 Zinc</t>
  </si>
  <si>
    <t>9043-0079-002-T</t>
  </si>
  <si>
    <t>BOLT,HUCK 5/8 (LP-RS20-12G)</t>
  </si>
  <si>
    <t>FAC1420</t>
  </si>
  <si>
    <t>FAC0449</t>
  </si>
  <si>
    <t>INSULATED TERMINAL"RING TYPE" 5.3 mm#2-8</t>
  </si>
  <si>
    <t>FAC0455</t>
  </si>
  <si>
    <t>INSULATED TERMINAL"RING TYPE" VF 3.5 - 5</t>
  </si>
  <si>
    <t>OLD NEWSPAPER</t>
  </si>
  <si>
    <t>DRILL BIT HIGH-SPEED 4 mm "OSBORN BRAND"</t>
  </si>
  <si>
    <t>UNIBIT STEP DRILLS NO.4M  [4mm - 22mm]</t>
  </si>
  <si>
    <t>UNIBIT STEP DRILLS NO.3M  [6mm - 18mm]</t>
  </si>
  <si>
    <t>UNIBIT STEP DRILL NO.1 (1/8" x 1/2")</t>
  </si>
  <si>
    <t>FAC0350</t>
  </si>
  <si>
    <t>DRILL BIT COBOND 3mm FOR SS "OSBORN"</t>
  </si>
  <si>
    <t>FAC0474</t>
  </si>
  <si>
    <t>METRIC METRE 5M LENGTH "STANLEY"</t>
  </si>
  <si>
    <t>SAND PAPER DISC NO. G80, 5" (100 EA/RL)</t>
  </si>
  <si>
    <t>DRILL BIT HIGH SPEED 3.5 MM "OSBORN"</t>
  </si>
  <si>
    <t>FAC0580</t>
  </si>
  <si>
    <t>METRIC METRE 7.5ME LENGTH "KDS"</t>
  </si>
  <si>
    <t>FAC0590</t>
  </si>
  <si>
    <t>ALUMINIUN OXIDE NO 24</t>
  </si>
  <si>
    <t>769F G80 RIGID FLAP DISC 100X16MM</t>
  </si>
  <si>
    <t>M-001 KINO MATAL R-900 200LT(GREEN)</t>
  </si>
  <si>
    <t>จารบีตราจระเข้ SG-306 No.3 ขนาด 20 Kgs</t>
  </si>
  <si>
    <t>น้ำมัน Castrol Hyspin AWS10</t>
  </si>
  <si>
    <t>FAC0840</t>
  </si>
  <si>
    <t>Black Garbage bag size 18 x 20 inches</t>
  </si>
  <si>
    <t>FAC0857</t>
  </si>
  <si>
    <t>Laminating Pouch Film A3 พลาสติกเคลือบบั</t>
  </si>
  <si>
    <t>FAC1042</t>
  </si>
  <si>
    <t>PP 1633" VENA" Power Plug</t>
  </si>
  <si>
    <t>FAC1098</t>
  </si>
  <si>
    <t>Safety Shoes แบบช่างเชื่อม รุ่น TS328EST</t>
  </si>
  <si>
    <t>FAC1100</t>
  </si>
  <si>
    <t>PEN PERMANENT MARKEK 2 HEAD #HORSE RED</t>
  </si>
  <si>
    <t>FAC1101</t>
  </si>
  <si>
    <t>OTC2670-033 OTC SUPPER COOLANT 10 L</t>
  </si>
  <si>
    <t>FAC1139</t>
  </si>
  <si>
    <t>Hightlighter Yellow ปากกาเน้น</t>
  </si>
  <si>
    <t>FAC1141</t>
  </si>
  <si>
    <t>Correction Tape เทปลบคำผิด</t>
  </si>
  <si>
    <t>FAC1168</t>
  </si>
  <si>
    <t>PP Filter 10"</t>
  </si>
  <si>
    <t>FAC1177</t>
  </si>
  <si>
    <t>MAX HD-10N เครื่องเย็บกระดาษ</t>
  </si>
  <si>
    <t>FAC1178</t>
  </si>
  <si>
    <t>Pentel Pencill lead 2B 0.5mm. ไส้ดินสอ</t>
  </si>
  <si>
    <t>FAC1210</t>
  </si>
  <si>
    <t>Scothtape Clear 1"x36YdxCore3"</t>
  </si>
  <si>
    <t>FAC1235</t>
  </si>
  <si>
    <t>Alcohol size 3.8 liters</t>
  </si>
  <si>
    <t>FAC1251</t>
  </si>
  <si>
    <t>MOUSE USB</t>
  </si>
  <si>
    <t>FAC1280</t>
  </si>
  <si>
    <t>Windsock 50cm.</t>
  </si>
  <si>
    <t>FAC1333</t>
  </si>
  <si>
    <t>Eraser</t>
  </si>
  <si>
    <t>FAC1342</t>
  </si>
  <si>
    <t>Fluorescent Philips 36W</t>
  </si>
  <si>
    <t>FAC1345</t>
  </si>
  <si>
    <t>Drill Bit Higt-Speed 17mm</t>
  </si>
  <si>
    <t>กาพ่นสี ANEST IWATA AIRREX KATANA-13G</t>
  </si>
  <si>
    <t>FAC1376</t>
  </si>
  <si>
    <t>NESCAFE RED CUP 620g.</t>
  </si>
  <si>
    <t>รองเท้าบูรยางพื้นนิ่ม</t>
  </si>
  <si>
    <t>FAC1379</t>
  </si>
  <si>
    <t>Document Protector Sleeves 11 holes, A4</t>
  </si>
  <si>
    <t>FAC1384</t>
  </si>
  <si>
    <t>Wax ขี้ผึ้งนับแบงค์</t>
  </si>
  <si>
    <t>FAC1385</t>
  </si>
  <si>
    <t>Calculator</t>
  </si>
  <si>
    <t>Transfer Clear Tape 10" Width</t>
  </si>
  <si>
    <t>Transfer Clear Tape 2" Width</t>
  </si>
  <si>
    <t>FAC1388</t>
  </si>
  <si>
    <t>Clear plastic sheet for A4 แผ่นพลาสติกทำ</t>
  </si>
  <si>
    <t>FAC1389</t>
  </si>
  <si>
    <t>12mm.Binder Ring.Home&amp;Office Series,Blue</t>
  </si>
  <si>
    <t>FAC1390</t>
  </si>
  <si>
    <t>16mm.Binder Ring.Home&amp;Office Series,Blue</t>
  </si>
  <si>
    <t>FAC1391</t>
  </si>
  <si>
    <t>กระดาษความร้อน Thermal80x80มม.</t>
  </si>
  <si>
    <t>FAC1395</t>
  </si>
  <si>
    <t>Plastic Envelope A4 ซองกระดุมพลาสติก</t>
  </si>
  <si>
    <t>FAC1396</t>
  </si>
  <si>
    <t>Panasonic Lithium Button CR-2025PT/1B</t>
  </si>
  <si>
    <t>9590-0005-T</t>
  </si>
  <si>
    <t>PAD SUPERBUFF POLISHING PAD 7",WHT,3M</t>
  </si>
  <si>
    <t>0</t>
  </si>
  <si>
    <t>Avg. usage n18</t>
  </si>
  <si>
    <t xml:space="preserve">Dairy Uage </t>
  </si>
  <si>
    <t>Total</t>
  </si>
  <si>
    <t>Total%</t>
  </si>
  <si>
    <t>Cum%</t>
  </si>
  <si>
    <t>Group</t>
  </si>
  <si>
    <t>cv%</t>
  </si>
  <si>
    <t>Match</t>
  </si>
  <si>
    <t>F-Jan25</t>
  </si>
  <si>
    <t>F-Feb25</t>
  </si>
  <si>
    <t>F-Mar25</t>
  </si>
  <si>
    <t>F-Apr25</t>
  </si>
  <si>
    <t>F-May25</t>
  </si>
  <si>
    <t>F-Jun25</t>
  </si>
  <si>
    <t>F-July25</t>
  </si>
  <si>
    <t>F-Aug25</t>
  </si>
  <si>
    <t>F-Sep25</t>
  </si>
  <si>
    <t>F-JOct25</t>
  </si>
  <si>
    <t>F-Nov25</t>
  </si>
  <si>
    <t>F-Dec25</t>
  </si>
  <si>
    <t>F-Jan26</t>
  </si>
  <si>
    <t>F-Feb26</t>
  </si>
  <si>
    <t>F-Mar26</t>
  </si>
  <si>
    <t>F-Apr26</t>
  </si>
  <si>
    <t>F-May26</t>
  </si>
  <si>
    <t>F-Jun26</t>
  </si>
  <si>
    <t>ae</t>
  </si>
  <si>
    <t>ape</t>
  </si>
  <si>
    <t>mape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</si>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</sst>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7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/>
    </xf>
    <xf numFmtId="3" fontId="0" fillId="0" borderId="0" xfId="0" applyNumberFormat="1"/>
    <xf numFmtId="9" fontId="0" fillId="0" borderId="0" xfId="42" applyFont="1"/>
    <xf numFmtId="4" fontId="0" fillId="0" borderId="0" xfId="0" applyNumberFormat="1"/>
    <xf numFmtId="0" fontId="0" fillId="33" borderId="0" xfId="0" applyFill="1" applyAlignment="1">
      <alignment horizontal="center"/>
    </xf>
    <xf numFmtId="17" fontId="0" fillId="33" borderId="0" xfId="0" applyNumberFormat="1" applyFill="1" applyAlignment="1">
      <alignment horizontal="center" vertical="center"/>
    </xf>
    <xf numFmtId="3" fontId="0" fillId="33" borderId="0" xfId="0" applyNumberFormat="1" applyFill="1" applyAlignment="1">
      <alignment horizontal="center"/>
    </xf>
    <xf numFmtId="17" fontId="18" fillId="33" borderId="0" xfId="0" applyNumberFormat="1" applyFont="1" applyFill="1" applyAlignment="1">
      <alignment horizontal="center" vertical="center"/>
    </xf>
    <xf numFmtId="17" fontId="0" fillId="0" borderId="0" xfId="0" applyNumberFormat="1" applyAlignment="1">
      <alignment horizontal="center"/>
    </xf>
    <xf numFmtId="0" fontId="18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238125</xdr:colOff>
      <xdr:row>6</xdr:row>
      <xdr:rowOff>85725</xdr:rowOff>
    </xdr:from>
    <xdr:to>
      <xdr:col>19</xdr:col>
      <xdr:colOff>276996</xdr:colOff>
      <xdr:row>18</xdr:row>
      <xdr:rowOff>19360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F7D6FDE-F039-D2C2-61DC-7F32E01526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58625" y="1562100"/>
          <a:ext cx="5525271" cy="2219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B5DF3-0787-407E-B2D7-B168EBF2791A}">
  <dimension ref="B2:AN894"/>
  <sheetViews>
    <sheetView tabSelected="1" workbookViewId="0">
      <selection activeCell="C8" sqref="C8"/>
    </sheetView>
  </sheetViews>
  <sheetFormatPr defaultRowHeight="15" x14ac:dyDescent="0.25"/>
  <cols>
    <col min="2" max="2" width="17" bestFit="1" customWidth="1"/>
    <col min="3" max="3" width="15" bestFit="1" customWidth="1"/>
    <col min="4" max="4" width="15" customWidth="1"/>
    <col min="5" max="5" width="17" bestFit="1" customWidth="1"/>
    <col min="6" max="6" width="15" bestFit="1" customWidth="1"/>
    <col min="7" max="7" width="15" customWidth="1"/>
    <col min="8" max="8" width="17" bestFit="1" customWidth="1"/>
    <col min="9" max="9" width="15" bestFit="1" customWidth="1"/>
    <col min="10" max="10" width="17" bestFit="1" customWidth="1"/>
    <col min="11" max="11" width="15" bestFit="1" customWidth="1"/>
    <col min="12" max="12" width="17" bestFit="1" customWidth="1"/>
    <col min="13" max="13" width="11.7109375" bestFit="1" customWidth="1"/>
    <col min="15" max="15" width="17" bestFit="1" customWidth="1"/>
    <col min="16" max="16" width="11.7109375" bestFit="1" customWidth="1"/>
    <col min="17" max="17" width="17" bestFit="1" customWidth="1"/>
    <col min="18" max="18" width="12.7109375" bestFit="1" customWidth="1"/>
    <col min="19" max="19" width="16" bestFit="1" customWidth="1"/>
    <col min="20" max="20" width="12.7109375" bestFit="1" customWidth="1"/>
    <col min="21" max="21" width="17" bestFit="1" customWidth="1"/>
    <col min="22" max="22" width="11.7109375" bestFit="1" customWidth="1"/>
    <col min="23" max="23" width="16" bestFit="1" customWidth="1"/>
    <col min="24" max="24" width="11.7109375" bestFit="1" customWidth="1"/>
    <col min="25" max="25" width="16" bestFit="1" customWidth="1"/>
    <col min="26" max="26" width="11.7109375" bestFit="1" customWidth="1"/>
    <col min="27" max="27" width="16" bestFit="1" customWidth="1"/>
    <col min="28" max="28" width="9.7109375" bestFit="1" customWidth="1"/>
    <col min="29" max="29" width="17" bestFit="1" customWidth="1"/>
    <col min="30" max="30" width="10.7109375" bestFit="1" customWidth="1"/>
    <col min="31" max="31" width="17" bestFit="1" customWidth="1"/>
    <col min="32" max="32" width="11.7109375" bestFit="1" customWidth="1"/>
    <col min="33" max="33" width="17" bestFit="1" customWidth="1"/>
    <col min="34" max="34" width="9.7109375" bestFit="1" customWidth="1"/>
    <col min="35" max="35" width="17" bestFit="1" customWidth="1"/>
    <col min="36" max="36" width="11.7109375" bestFit="1" customWidth="1"/>
    <col min="37" max="37" width="17" bestFit="1" customWidth="1"/>
    <col min="38" max="38" width="11.7109375" bestFit="1" customWidth="1"/>
    <col min="39" max="39" width="17" bestFit="1" customWidth="1"/>
    <col min="40" max="40" width="11.7109375" bestFit="1" customWidth="1"/>
  </cols>
  <sheetData>
    <row r="2" spans="2:40" s="1" customFormat="1" x14ac:dyDescent="0.25">
      <c r="B2" s="12">
        <v>45658</v>
      </c>
      <c r="E2" s="12">
        <v>45689</v>
      </c>
      <c r="H2" s="12">
        <v>45717</v>
      </c>
      <c r="J2" s="12">
        <v>45748</v>
      </c>
      <c r="L2" s="12">
        <v>45778</v>
      </c>
      <c r="O2" s="12">
        <v>45809</v>
      </c>
      <c r="Q2" s="12">
        <v>45839</v>
      </c>
      <c r="S2" s="12">
        <v>45870</v>
      </c>
      <c r="U2" s="12">
        <v>45901</v>
      </c>
      <c r="W2" s="12">
        <v>45931</v>
      </c>
      <c r="Y2" s="12">
        <v>45962</v>
      </c>
      <c r="AA2" s="12">
        <v>45992</v>
      </c>
      <c r="AC2" s="12">
        <v>46023</v>
      </c>
      <c r="AE2" s="12">
        <v>46054</v>
      </c>
      <c r="AG2" s="12">
        <v>46082</v>
      </c>
      <c r="AI2" s="12">
        <v>46113</v>
      </c>
      <c r="AK2" s="12">
        <v>46143</v>
      </c>
      <c r="AM2" s="12">
        <v>46174</v>
      </c>
    </row>
    <row r="3" spans="2:40" x14ac:dyDescent="0.25">
      <c r="B3" s="13" t="s">
        <v>2525</v>
      </c>
      <c r="C3" s="13" t="s">
        <v>3087</v>
      </c>
      <c r="E3" s="13" t="s">
        <v>2525</v>
      </c>
      <c r="F3" s="13" t="s">
        <v>3087</v>
      </c>
      <c r="H3" s="13" t="s">
        <v>2525</v>
      </c>
      <c r="I3" s="13" t="s">
        <v>3087</v>
      </c>
      <c r="J3" s="13" t="s">
        <v>2525</v>
      </c>
      <c r="K3" s="13" t="s">
        <v>3087</v>
      </c>
      <c r="L3" t="s">
        <v>2525</v>
      </c>
      <c r="M3" t="s">
        <v>3087</v>
      </c>
      <c r="O3" t="s">
        <v>2525</v>
      </c>
      <c r="P3" t="s">
        <v>3087</v>
      </c>
      <c r="Q3" t="s">
        <v>2525</v>
      </c>
      <c r="R3" t="s">
        <v>3087</v>
      </c>
      <c r="S3" t="s">
        <v>2525</v>
      </c>
      <c r="T3" t="s">
        <v>3087</v>
      </c>
      <c r="U3" t="s">
        <v>2525</v>
      </c>
      <c r="V3" t="s">
        <v>3087</v>
      </c>
      <c r="W3" t="s">
        <v>2525</v>
      </c>
      <c r="X3" t="s">
        <v>3087</v>
      </c>
      <c r="Y3" t="s">
        <v>2525</v>
      </c>
      <c r="Z3" t="s">
        <v>3087</v>
      </c>
      <c r="AA3" t="s">
        <v>2525</v>
      </c>
      <c r="AB3" t="s">
        <v>3087</v>
      </c>
      <c r="AC3" t="s">
        <v>2525</v>
      </c>
      <c r="AD3" t="s">
        <v>3087</v>
      </c>
      <c r="AE3" t="s">
        <v>2525</v>
      </c>
      <c r="AF3" t="s">
        <v>3087</v>
      </c>
      <c r="AG3" t="s">
        <v>2525</v>
      </c>
      <c r="AH3" t="s">
        <v>3087</v>
      </c>
      <c r="AI3" t="s">
        <v>2525</v>
      </c>
      <c r="AJ3" t="s">
        <v>3087</v>
      </c>
      <c r="AK3" t="s">
        <v>2525</v>
      </c>
      <c r="AL3" t="s">
        <v>3087</v>
      </c>
      <c r="AM3" t="s">
        <v>2525</v>
      </c>
      <c r="AN3" t="s">
        <v>3087</v>
      </c>
    </row>
    <row r="4" spans="2:40" x14ac:dyDescent="0.25">
      <c r="B4" t="s">
        <v>200</v>
      </c>
      <c r="C4">
        <v>-28</v>
      </c>
      <c r="E4" t="s">
        <v>200</v>
      </c>
      <c r="F4">
        <v>-70</v>
      </c>
      <c r="H4" t="s">
        <v>200</v>
      </c>
      <c r="I4">
        <v>-68</v>
      </c>
      <c r="J4" t="s">
        <v>200</v>
      </c>
      <c r="K4">
        <v>-30</v>
      </c>
      <c r="L4" t="s">
        <v>200</v>
      </c>
      <c r="M4">
        <v>-24</v>
      </c>
      <c r="O4" t="s">
        <v>1380</v>
      </c>
      <c r="P4">
        <v>-1</v>
      </c>
      <c r="Q4" t="s">
        <v>200</v>
      </c>
      <c r="R4">
        <v>-62</v>
      </c>
      <c r="S4" t="s">
        <v>1380</v>
      </c>
      <c r="T4">
        <v>-1</v>
      </c>
      <c r="U4" t="s">
        <v>200</v>
      </c>
      <c r="V4">
        <v>-63</v>
      </c>
      <c r="W4" t="s">
        <v>200</v>
      </c>
      <c r="X4">
        <v>-71</v>
      </c>
      <c r="Y4" t="s">
        <v>200</v>
      </c>
      <c r="Z4">
        <v>-12</v>
      </c>
      <c r="AA4" t="s">
        <v>200</v>
      </c>
      <c r="AB4">
        <v>-4</v>
      </c>
      <c r="AC4" t="s">
        <v>200</v>
      </c>
      <c r="AD4">
        <v>-8</v>
      </c>
      <c r="AE4" t="s">
        <v>200</v>
      </c>
      <c r="AF4">
        <v>-16</v>
      </c>
      <c r="AG4" t="s">
        <v>200</v>
      </c>
      <c r="AH4">
        <v>-40</v>
      </c>
      <c r="AI4" t="s">
        <v>200</v>
      </c>
      <c r="AJ4">
        <v>-34</v>
      </c>
      <c r="AK4" t="s">
        <v>200</v>
      </c>
      <c r="AL4">
        <v>-40</v>
      </c>
      <c r="AM4" t="s">
        <v>200</v>
      </c>
      <c r="AN4">
        <v>-54</v>
      </c>
    </row>
    <row r="5" spans="2:40" x14ac:dyDescent="0.25">
      <c r="B5" t="s">
        <v>20</v>
      </c>
      <c r="C5">
        <v>-38</v>
      </c>
      <c r="E5" t="s">
        <v>20</v>
      </c>
      <c r="F5">
        <v>-64</v>
      </c>
      <c r="H5" t="s">
        <v>20</v>
      </c>
      <c r="I5">
        <v>-23</v>
      </c>
      <c r="J5" t="s">
        <v>20</v>
      </c>
      <c r="K5">
        <v>-30</v>
      </c>
      <c r="L5" t="s">
        <v>20</v>
      </c>
      <c r="M5">
        <v>-36</v>
      </c>
      <c r="O5" t="s">
        <v>200</v>
      </c>
      <c r="P5">
        <v>-30</v>
      </c>
      <c r="Q5" t="s">
        <v>20</v>
      </c>
      <c r="R5">
        <v>-44</v>
      </c>
      <c r="S5" t="s">
        <v>200</v>
      </c>
      <c r="T5">
        <v>-78</v>
      </c>
      <c r="U5" t="s">
        <v>20</v>
      </c>
      <c r="V5">
        <v>-54</v>
      </c>
      <c r="W5" t="s">
        <v>20</v>
      </c>
      <c r="X5">
        <v>-58</v>
      </c>
      <c r="Y5" t="s">
        <v>20</v>
      </c>
      <c r="Z5">
        <v>-8</v>
      </c>
      <c r="AA5" t="s">
        <v>20</v>
      </c>
      <c r="AB5">
        <v>-10</v>
      </c>
      <c r="AC5" t="s">
        <v>20</v>
      </c>
      <c r="AD5">
        <v>-8</v>
      </c>
      <c r="AE5" t="s">
        <v>20</v>
      </c>
      <c r="AF5">
        <v>-48</v>
      </c>
      <c r="AG5" t="s">
        <v>20</v>
      </c>
      <c r="AH5">
        <v>-53</v>
      </c>
      <c r="AI5" t="s">
        <v>20</v>
      </c>
      <c r="AJ5">
        <v>-33</v>
      </c>
      <c r="AK5" t="s">
        <v>20</v>
      </c>
      <c r="AL5">
        <v>-22</v>
      </c>
      <c r="AM5" t="s">
        <v>20</v>
      </c>
      <c r="AN5">
        <v>-38</v>
      </c>
    </row>
    <row r="6" spans="2:40" x14ac:dyDescent="0.25">
      <c r="B6" t="s">
        <v>14</v>
      </c>
      <c r="C6">
        <v>-20</v>
      </c>
      <c r="E6" t="s">
        <v>389</v>
      </c>
      <c r="F6">
        <v>-1906</v>
      </c>
      <c r="H6" t="s">
        <v>389</v>
      </c>
      <c r="I6">
        <v>-343</v>
      </c>
      <c r="J6" t="s">
        <v>14</v>
      </c>
      <c r="K6">
        <v>-215.98999999999995</v>
      </c>
      <c r="L6" t="s">
        <v>14</v>
      </c>
      <c r="M6">
        <v>-280</v>
      </c>
      <c r="O6" t="s">
        <v>20</v>
      </c>
      <c r="P6">
        <v>-62</v>
      </c>
      <c r="Q6" t="s">
        <v>14</v>
      </c>
      <c r="R6">
        <v>-88</v>
      </c>
      <c r="S6" t="s">
        <v>20</v>
      </c>
      <c r="T6">
        <v>-36</v>
      </c>
      <c r="U6" t="s">
        <v>14</v>
      </c>
      <c r="V6">
        <v>-120</v>
      </c>
      <c r="W6" t="s">
        <v>14</v>
      </c>
      <c r="X6">
        <v>-80</v>
      </c>
      <c r="Y6" t="s">
        <v>389</v>
      </c>
      <c r="Z6">
        <v>-48</v>
      </c>
      <c r="AA6" t="s">
        <v>14</v>
      </c>
      <c r="AB6">
        <v>-66</v>
      </c>
      <c r="AC6" t="s">
        <v>389</v>
      </c>
      <c r="AD6">
        <v>-896</v>
      </c>
      <c r="AE6" t="s">
        <v>389</v>
      </c>
      <c r="AF6">
        <v>-1497</v>
      </c>
      <c r="AG6" t="s">
        <v>389</v>
      </c>
      <c r="AH6">
        <v>-913</v>
      </c>
      <c r="AI6" t="s">
        <v>14</v>
      </c>
      <c r="AJ6">
        <v>-8</v>
      </c>
      <c r="AK6" t="s">
        <v>14</v>
      </c>
      <c r="AL6">
        <v>-8</v>
      </c>
      <c r="AM6" t="s">
        <v>389</v>
      </c>
      <c r="AN6">
        <v>-696</v>
      </c>
    </row>
    <row r="7" spans="2:40" x14ac:dyDescent="0.25">
      <c r="B7" t="s">
        <v>389</v>
      </c>
      <c r="C7">
        <v>-1680</v>
      </c>
      <c r="E7" t="s">
        <v>23</v>
      </c>
      <c r="F7">
        <v>-364</v>
      </c>
      <c r="H7" t="s">
        <v>23</v>
      </c>
      <c r="I7">
        <v>-230</v>
      </c>
      <c r="J7" t="s">
        <v>389</v>
      </c>
      <c r="K7">
        <v>-224</v>
      </c>
      <c r="L7" t="s">
        <v>1104</v>
      </c>
      <c r="M7">
        <v>-1232</v>
      </c>
      <c r="O7" t="s">
        <v>14</v>
      </c>
      <c r="P7">
        <v>-104</v>
      </c>
      <c r="Q7" t="s">
        <v>389</v>
      </c>
      <c r="R7">
        <v>-1040</v>
      </c>
      <c r="S7" t="s">
        <v>14</v>
      </c>
      <c r="T7">
        <v>-40</v>
      </c>
      <c r="U7" t="s">
        <v>389</v>
      </c>
      <c r="V7">
        <v>-648</v>
      </c>
      <c r="W7" t="s">
        <v>389</v>
      </c>
      <c r="X7">
        <v>-802</v>
      </c>
      <c r="Y7" t="s">
        <v>1878</v>
      </c>
      <c r="Z7">
        <v>-8</v>
      </c>
      <c r="AA7" t="s">
        <v>389</v>
      </c>
      <c r="AB7">
        <v>-176</v>
      </c>
      <c r="AC7" t="s">
        <v>1802</v>
      </c>
      <c r="AD7">
        <v>-28</v>
      </c>
      <c r="AE7" t="s">
        <v>23</v>
      </c>
      <c r="AF7">
        <v>-50</v>
      </c>
      <c r="AG7" t="s">
        <v>1802</v>
      </c>
      <c r="AH7">
        <v>-98</v>
      </c>
      <c r="AI7" t="s">
        <v>389</v>
      </c>
      <c r="AJ7">
        <v>-866</v>
      </c>
      <c r="AK7" t="s">
        <v>389</v>
      </c>
      <c r="AL7">
        <v>-288</v>
      </c>
      <c r="AM7" t="s">
        <v>2324</v>
      </c>
      <c r="AN7">
        <v>-1</v>
      </c>
    </row>
    <row r="8" spans="2:40" x14ac:dyDescent="0.25">
      <c r="B8" t="s">
        <v>23</v>
      </c>
      <c r="C8">
        <v>-176</v>
      </c>
      <c r="E8" t="s">
        <v>172</v>
      </c>
      <c r="F8">
        <v>-50</v>
      </c>
      <c r="H8" t="s">
        <v>172</v>
      </c>
      <c r="I8">
        <v>-87.5</v>
      </c>
      <c r="J8" t="s">
        <v>23</v>
      </c>
      <c r="K8">
        <v>-30</v>
      </c>
      <c r="L8" t="s">
        <v>23</v>
      </c>
      <c r="M8">
        <v>-64</v>
      </c>
      <c r="O8" t="s">
        <v>389</v>
      </c>
      <c r="P8">
        <v>-134</v>
      </c>
      <c r="Q8" t="s">
        <v>23</v>
      </c>
      <c r="R8">
        <v>-21</v>
      </c>
      <c r="S8" t="s">
        <v>389</v>
      </c>
      <c r="T8">
        <v>-533</v>
      </c>
      <c r="U8" t="s">
        <v>23</v>
      </c>
      <c r="V8">
        <v>-83</v>
      </c>
      <c r="W8" t="s">
        <v>1801</v>
      </c>
      <c r="X8">
        <v>-9</v>
      </c>
      <c r="Y8" t="s">
        <v>1802</v>
      </c>
      <c r="Z8">
        <v>-14</v>
      </c>
      <c r="AA8" t="s">
        <v>1802</v>
      </c>
      <c r="AB8">
        <v>-14</v>
      </c>
      <c r="AC8" t="s">
        <v>23</v>
      </c>
      <c r="AD8">
        <v>-81</v>
      </c>
      <c r="AE8" t="s">
        <v>2031</v>
      </c>
      <c r="AF8">
        <v>-2</v>
      </c>
      <c r="AG8" t="s">
        <v>23</v>
      </c>
      <c r="AH8">
        <v>-185</v>
      </c>
      <c r="AI8" t="s">
        <v>1802</v>
      </c>
      <c r="AJ8">
        <v>-116</v>
      </c>
      <c r="AK8" t="s">
        <v>1802</v>
      </c>
      <c r="AL8">
        <v>-88</v>
      </c>
      <c r="AM8" t="s">
        <v>1802</v>
      </c>
      <c r="AN8">
        <v>-98</v>
      </c>
    </row>
    <row r="9" spans="2:40" x14ac:dyDescent="0.25">
      <c r="B9" t="s">
        <v>516</v>
      </c>
      <c r="C9">
        <v>-2</v>
      </c>
      <c r="E9" t="s">
        <v>176</v>
      </c>
      <c r="F9">
        <v>-287</v>
      </c>
      <c r="H9" t="s">
        <v>379</v>
      </c>
      <c r="I9">
        <v>-27</v>
      </c>
      <c r="J9" t="s">
        <v>952</v>
      </c>
      <c r="K9">
        <v>-6</v>
      </c>
      <c r="L9" t="s">
        <v>952</v>
      </c>
      <c r="M9">
        <v>-8</v>
      </c>
      <c r="O9" t="s">
        <v>1381</v>
      </c>
      <c r="P9">
        <v>-24</v>
      </c>
      <c r="Q9" t="s">
        <v>172</v>
      </c>
      <c r="R9">
        <v>-72.999999999999986</v>
      </c>
      <c r="S9" t="s">
        <v>23</v>
      </c>
      <c r="T9">
        <v>-79</v>
      </c>
      <c r="U9" t="s">
        <v>1719</v>
      </c>
      <c r="V9">
        <v>-2</v>
      </c>
      <c r="W9" t="s">
        <v>1802</v>
      </c>
      <c r="X9">
        <v>-28</v>
      </c>
      <c r="Y9" t="s">
        <v>23</v>
      </c>
      <c r="Z9">
        <v>-7</v>
      </c>
      <c r="AA9" t="s">
        <v>23</v>
      </c>
      <c r="AB9">
        <v>-12</v>
      </c>
      <c r="AC9" t="s">
        <v>379</v>
      </c>
      <c r="AD9">
        <v>-12</v>
      </c>
      <c r="AE9" t="s">
        <v>2032</v>
      </c>
      <c r="AF9">
        <v>-2</v>
      </c>
      <c r="AG9" t="s">
        <v>2139</v>
      </c>
      <c r="AH9">
        <v>-5</v>
      </c>
      <c r="AI9" t="s">
        <v>23</v>
      </c>
      <c r="AJ9">
        <v>-65</v>
      </c>
      <c r="AK9" t="s">
        <v>23</v>
      </c>
      <c r="AL9">
        <v>-54</v>
      </c>
      <c r="AM9" t="s">
        <v>23</v>
      </c>
      <c r="AN9">
        <v>-51</v>
      </c>
    </row>
    <row r="10" spans="2:40" x14ac:dyDescent="0.25">
      <c r="B10" t="s">
        <v>172</v>
      </c>
      <c r="C10">
        <v>-23.1</v>
      </c>
      <c r="E10" t="s">
        <v>69</v>
      </c>
      <c r="F10">
        <v>-87</v>
      </c>
      <c r="H10" t="s">
        <v>176</v>
      </c>
      <c r="I10">
        <v>-176</v>
      </c>
      <c r="J10" t="s">
        <v>172</v>
      </c>
      <c r="K10">
        <v>-15</v>
      </c>
      <c r="L10" t="s">
        <v>172</v>
      </c>
      <c r="M10">
        <v>-28.5</v>
      </c>
      <c r="O10" t="s">
        <v>1382</v>
      </c>
      <c r="P10">
        <v>-48</v>
      </c>
      <c r="Q10" t="s">
        <v>176</v>
      </c>
      <c r="R10">
        <v>-31</v>
      </c>
      <c r="S10" t="s">
        <v>172</v>
      </c>
      <c r="T10">
        <v>-46.1</v>
      </c>
      <c r="U10" t="s">
        <v>508</v>
      </c>
      <c r="V10">
        <v>-73.349999999999994</v>
      </c>
      <c r="W10" t="s">
        <v>23</v>
      </c>
      <c r="X10">
        <v>-48</v>
      </c>
      <c r="Y10" t="s">
        <v>172</v>
      </c>
      <c r="Z10">
        <v>-18.8</v>
      </c>
      <c r="AA10" t="s">
        <v>379</v>
      </c>
      <c r="AB10">
        <v>-8</v>
      </c>
      <c r="AC10" t="s">
        <v>176</v>
      </c>
      <c r="AD10">
        <v>-16</v>
      </c>
      <c r="AE10" t="s">
        <v>172</v>
      </c>
      <c r="AF10">
        <v>-41.300000000000004</v>
      </c>
      <c r="AG10" t="s">
        <v>172</v>
      </c>
      <c r="AH10">
        <v>-39</v>
      </c>
      <c r="AI10" t="s">
        <v>952</v>
      </c>
      <c r="AJ10">
        <v>-2</v>
      </c>
      <c r="AK10" t="s">
        <v>2032</v>
      </c>
      <c r="AL10">
        <v>-2</v>
      </c>
      <c r="AM10" t="s">
        <v>2325</v>
      </c>
      <c r="AN10">
        <v>-2</v>
      </c>
    </row>
    <row r="11" spans="2:40" x14ac:dyDescent="0.25">
      <c r="B11" t="s">
        <v>507</v>
      </c>
      <c r="C11">
        <v>-4.4000000000000004</v>
      </c>
      <c r="E11" t="s">
        <v>334</v>
      </c>
      <c r="F11">
        <v>-7</v>
      </c>
      <c r="H11" t="s">
        <v>841</v>
      </c>
      <c r="I11">
        <v>-17</v>
      </c>
      <c r="J11" t="s">
        <v>176</v>
      </c>
      <c r="K11">
        <v>-41</v>
      </c>
      <c r="L11" t="s">
        <v>379</v>
      </c>
      <c r="M11">
        <v>-16</v>
      </c>
      <c r="O11" t="s">
        <v>23</v>
      </c>
      <c r="P11">
        <v>-32</v>
      </c>
      <c r="Q11" t="s">
        <v>334</v>
      </c>
      <c r="R11">
        <v>-24</v>
      </c>
      <c r="S11" t="s">
        <v>379</v>
      </c>
      <c r="T11">
        <v>-6</v>
      </c>
      <c r="U11" t="s">
        <v>379</v>
      </c>
      <c r="V11">
        <v>-18</v>
      </c>
      <c r="W11" t="s">
        <v>172</v>
      </c>
      <c r="X11">
        <v>-78.949999999999989</v>
      </c>
      <c r="Y11" t="s">
        <v>379</v>
      </c>
      <c r="Z11">
        <v>-24</v>
      </c>
      <c r="AA11" t="s">
        <v>176</v>
      </c>
      <c r="AB11">
        <v>-26</v>
      </c>
      <c r="AC11" t="s">
        <v>841</v>
      </c>
      <c r="AD11">
        <v>-10</v>
      </c>
      <c r="AE11" t="s">
        <v>379</v>
      </c>
      <c r="AF11">
        <v>-9</v>
      </c>
      <c r="AG11" t="s">
        <v>379</v>
      </c>
      <c r="AH11">
        <v>-4</v>
      </c>
      <c r="AI11" t="s">
        <v>172</v>
      </c>
      <c r="AJ11">
        <v>-21.4</v>
      </c>
      <c r="AK11" t="s">
        <v>508</v>
      </c>
      <c r="AL11">
        <v>-2</v>
      </c>
      <c r="AM11" t="s">
        <v>516</v>
      </c>
      <c r="AN11">
        <v>-3</v>
      </c>
    </row>
    <row r="12" spans="2:40" x14ac:dyDescent="0.25">
      <c r="B12" t="s">
        <v>379</v>
      </c>
      <c r="C12">
        <v>-4</v>
      </c>
      <c r="E12" t="s">
        <v>186</v>
      </c>
      <c r="F12">
        <v>-16</v>
      </c>
      <c r="H12" t="s">
        <v>334</v>
      </c>
      <c r="I12">
        <v>-5</v>
      </c>
      <c r="J12" t="s">
        <v>180</v>
      </c>
      <c r="K12">
        <v>-4</v>
      </c>
      <c r="L12" t="s">
        <v>176</v>
      </c>
      <c r="M12">
        <v>-80</v>
      </c>
      <c r="O12" t="s">
        <v>952</v>
      </c>
      <c r="P12">
        <v>-7</v>
      </c>
      <c r="Q12" t="s">
        <v>186</v>
      </c>
      <c r="R12">
        <v>-14</v>
      </c>
      <c r="S12" t="s">
        <v>176</v>
      </c>
      <c r="T12">
        <v>-46</v>
      </c>
      <c r="U12" t="s">
        <v>176</v>
      </c>
      <c r="V12">
        <v>-62</v>
      </c>
      <c r="W12" t="s">
        <v>379</v>
      </c>
      <c r="X12">
        <v>-3</v>
      </c>
      <c r="Y12" t="s">
        <v>176</v>
      </c>
      <c r="Z12">
        <v>-13</v>
      </c>
      <c r="AA12" t="s">
        <v>841</v>
      </c>
      <c r="AB12">
        <v>-8</v>
      </c>
      <c r="AC12" t="s">
        <v>186</v>
      </c>
      <c r="AD12">
        <v>-2</v>
      </c>
      <c r="AE12" t="s">
        <v>176</v>
      </c>
      <c r="AF12">
        <v>-167</v>
      </c>
      <c r="AG12" t="s">
        <v>176</v>
      </c>
      <c r="AH12">
        <v>-111</v>
      </c>
      <c r="AI12" t="s">
        <v>379</v>
      </c>
      <c r="AJ12">
        <v>-4</v>
      </c>
      <c r="AK12" t="s">
        <v>379</v>
      </c>
      <c r="AL12">
        <v>-16</v>
      </c>
      <c r="AM12" t="s">
        <v>2031</v>
      </c>
      <c r="AN12">
        <v>-2</v>
      </c>
    </row>
    <row r="13" spans="2:40" x14ac:dyDescent="0.25">
      <c r="B13" t="s">
        <v>176</v>
      </c>
      <c r="C13">
        <v>-174</v>
      </c>
      <c r="E13" t="s">
        <v>783</v>
      </c>
      <c r="F13">
        <v>-48</v>
      </c>
      <c r="H13" t="s">
        <v>186</v>
      </c>
      <c r="I13">
        <v>-12</v>
      </c>
      <c r="J13" t="s">
        <v>841</v>
      </c>
      <c r="K13">
        <v>-24</v>
      </c>
      <c r="L13" t="s">
        <v>841</v>
      </c>
      <c r="M13">
        <v>-8</v>
      </c>
      <c r="O13" t="s">
        <v>172</v>
      </c>
      <c r="P13">
        <v>-91</v>
      </c>
      <c r="Q13" t="s">
        <v>783</v>
      </c>
      <c r="R13">
        <v>-80</v>
      </c>
      <c r="S13" t="s">
        <v>841</v>
      </c>
      <c r="T13">
        <v>-10</v>
      </c>
      <c r="U13" t="s">
        <v>841</v>
      </c>
      <c r="V13">
        <v>-12</v>
      </c>
      <c r="W13" t="s">
        <v>176</v>
      </c>
      <c r="X13">
        <v>-68</v>
      </c>
      <c r="Y13" t="s">
        <v>334</v>
      </c>
      <c r="Z13">
        <v>-28</v>
      </c>
      <c r="AA13" t="s">
        <v>186</v>
      </c>
      <c r="AB13">
        <v>-2</v>
      </c>
      <c r="AC13" t="s">
        <v>783</v>
      </c>
      <c r="AD13">
        <v>-12</v>
      </c>
      <c r="AE13" t="s">
        <v>334</v>
      </c>
      <c r="AF13">
        <v>-44.5</v>
      </c>
      <c r="AG13" t="s">
        <v>841</v>
      </c>
      <c r="AH13">
        <v>-2</v>
      </c>
      <c r="AI13" t="s">
        <v>176</v>
      </c>
      <c r="AJ13">
        <v>-88</v>
      </c>
      <c r="AK13" t="s">
        <v>176</v>
      </c>
      <c r="AL13">
        <v>-86</v>
      </c>
      <c r="AM13" t="s">
        <v>2326</v>
      </c>
      <c r="AN13">
        <v>-2</v>
      </c>
    </row>
    <row r="14" spans="2:40" x14ac:dyDescent="0.25">
      <c r="B14" t="s">
        <v>180</v>
      </c>
      <c r="C14">
        <v>-4</v>
      </c>
      <c r="E14" t="s">
        <v>169</v>
      </c>
      <c r="F14">
        <v>-95</v>
      </c>
      <c r="H14" t="s">
        <v>783</v>
      </c>
      <c r="I14">
        <v>-72</v>
      </c>
      <c r="J14" t="s">
        <v>186</v>
      </c>
      <c r="K14">
        <v>-2</v>
      </c>
      <c r="L14" t="s">
        <v>334</v>
      </c>
      <c r="M14">
        <v>-52</v>
      </c>
      <c r="O14" t="s">
        <v>379</v>
      </c>
      <c r="P14">
        <v>-6</v>
      </c>
      <c r="Q14" t="s">
        <v>472</v>
      </c>
      <c r="R14">
        <v>-8</v>
      </c>
      <c r="S14" t="s">
        <v>334</v>
      </c>
      <c r="T14">
        <v>-116</v>
      </c>
      <c r="U14" t="s">
        <v>186</v>
      </c>
      <c r="V14">
        <v>-8</v>
      </c>
      <c r="W14" t="s">
        <v>841</v>
      </c>
      <c r="X14">
        <v>-8</v>
      </c>
      <c r="Y14" t="s">
        <v>186</v>
      </c>
      <c r="Z14">
        <v>-2</v>
      </c>
      <c r="AA14" t="s">
        <v>842</v>
      </c>
      <c r="AB14">
        <v>-1</v>
      </c>
      <c r="AC14" t="s">
        <v>515</v>
      </c>
      <c r="AD14">
        <v>-2</v>
      </c>
      <c r="AE14" t="s">
        <v>186</v>
      </c>
      <c r="AF14">
        <v>-8</v>
      </c>
      <c r="AG14" t="s">
        <v>334</v>
      </c>
      <c r="AH14">
        <v>-38.5</v>
      </c>
      <c r="AI14" t="s">
        <v>841</v>
      </c>
      <c r="AJ14">
        <v>-28</v>
      </c>
      <c r="AK14" t="s">
        <v>69</v>
      </c>
      <c r="AL14">
        <v>-8</v>
      </c>
      <c r="AM14" t="s">
        <v>172</v>
      </c>
      <c r="AN14">
        <v>-20.2</v>
      </c>
    </row>
    <row r="15" spans="2:40" x14ac:dyDescent="0.25">
      <c r="B15" t="s">
        <v>69</v>
      </c>
      <c r="C15">
        <v>-90</v>
      </c>
      <c r="E15" t="s">
        <v>81</v>
      </c>
      <c r="F15">
        <v>-80</v>
      </c>
      <c r="H15" t="s">
        <v>842</v>
      </c>
      <c r="I15">
        <v>-8</v>
      </c>
      <c r="J15" t="s">
        <v>842</v>
      </c>
      <c r="K15">
        <v>-3</v>
      </c>
      <c r="L15" t="s">
        <v>186</v>
      </c>
      <c r="M15">
        <v>-9</v>
      </c>
      <c r="O15" t="s">
        <v>176</v>
      </c>
      <c r="P15">
        <v>-56</v>
      </c>
      <c r="Q15" t="s">
        <v>1545</v>
      </c>
      <c r="R15">
        <v>-1</v>
      </c>
      <c r="S15" t="s">
        <v>186</v>
      </c>
      <c r="T15">
        <v>-5</v>
      </c>
      <c r="U15" t="s">
        <v>783</v>
      </c>
      <c r="V15">
        <v>-72</v>
      </c>
      <c r="W15" t="s">
        <v>334</v>
      </c>
      <c r="X15">
        <v>-27.5</v>
      </c>
      <c r="Y15" t="s">
        <v>783</v>
      </c>
      <c r="Z15">
        <v>-16</v>
      </c>
      <c r="AA15" t="s">
        <v>515</v>
      </c>
      <c r="AB15">
        <v>-3</v>
      </c>
      <c r="AC15" t="s">
        <v>1973</v>
      </c>
      <c r="AD15">
        <v>-2</v>
      </c>
      <c r="AE15" t="s">
        <v>783</v>
      </c>
      <c r="AF15">
        <v>-36</v>
      </c>
      <c r="AG15" t="s">
        <v>186</v>
      </c>
      <c r="AH15">
        <v>-12</v>
      </c>
      <c r="AI15" t="s">
        <v>334</v>
      </c>
      <c r="AJ15">
        <v>-62.5</v>
      </c>
      <c r="AK15" t="s">
        <v>334</v>
      </c>
      <c r="AL15">
        <v>-30</v>
      </c>
      <c r="AM15" t="s">
        <v>176</v>
      </c>
      <c r="AN15">
        <v>-58</v>
      </c>
    </row>
    <row r="16" spans="2:40" x14ac:dyDescent="0.25">
      <c r="B16" t="s">
        <v>334</v>
      </c>
      <c r="C16">
        <v>-3</v>
      </c>
      <c r="E16" t="s">
        <v>463</v>
      </c>
      <c r="F16">
        <v>-40</v>
      </c>
      <c r="H16" t="s">
        <v>843</v>
      </c>
      <c r="I16">
        <v>-7</v>
      </c>
      <c r="J16" t="s">
        <v>515</v>
      </c>
      <c r="K16">
        <v>-9</v>
      </c>
      <c r="L16" t="s">
        <v>783</v>
      </c>
      <c r="M16">
        <v>-12</v>
      </c>
      <c r="O16" t="s">
        <v>180</v>
      </c>
      <c r="P16">
        <v>-8</v>
      </c>
      <c r="Q16" t="s">
        <v>1546</v>
      </c>
      <c r="R16">
        <v>-2</v>
      </c>
      <c r="S16" t="s">
        <v>783</v>
      </c>
      <c r="T16">
        <v>-36</v>
      </c>
      <c r="U16" t="s">
        <v>842</v>
      </c>
      <c r="V16">
        <v>-3</v>
      </c>
      <c r="W16" t="s">
        <v>186</v>
      </c>
      <c r="X16">
        <v>-4</v>
      </c>
      <c r="Y16" t="s">
        <v>953</v>
      </c>
      <c r="Z16">
        <v>-11</v>
      </c>
      <c r="AA16" t="s">
        <v>472</v>
      </c>
      <c r="AB16">
        <v>-3</v>
      </c>
      <c r="AC16" t="s">
        <v>731</v>
      </c>
      <c r="AD16">
        <v>-31</v>
      </c>
      <c r="AE16" t="s">
        <v>842</v>
      </c>
      <c r="AF16">
        <v>-1</v>
      </c>
      <c r="AG16" t="s">
        <v>783</v>
      </c>
      <c r="AH16">
        <v>-24</v>
      </c>
      <c r="AI16" t="s">
        <v>186</v>
      </c>
      <c r="AJ16">
        <v>-7</v>
      </c>
      <c r="AK16" t="s">
        <v>186</v>
      </c>
      <c r="AL16">
        <v>-7</v>
      </c>
      <c r="AM16" t="s">
        <v>180</v>
      </c>
      <c r="AN16">
        <v>-8</v>
      </c>
    </row>
    <row r="17" spans="2:40" x14ac:dyDescent="0.25">
      <c r="B17" t="s">
        <v>186</v>
      </c>
      <c r="C17">
        <v>-12</v>
      </c>
      <c r="E17" t="s">
        <v>392</v>
      </c>
      <c r="F17">
        <v>-137</v>
      </c>
      <c r="H17" t="s">
        <v>844</v>
      </c>
      <c r="I17">
        <v>-2</v>
      </c>
      <c r="J17" t="s">
        <v>953</v>
      </c>
      <c r="K17">
        <v>-3</v>
      </c>
      <c r="L17" t="s">
        <v>842</v>
      </c>
      <c r="M17">
        <v>-4</v>
      </c>
      <c r="O17" t="s">
        <v>841</v>
      </c>
      <c r="P17">
        <v>-12</v>
      </c>
      <c r="Q17" t="s">
        <v>844</v>
      </c>
      <c r="R17">
        <v>-15</v>
      </c>
      <c r="S17" t="s">
        <v>842</v>
      </c>
      <c r="T17">
        <v>-2</v>
      </c>
      <c r="U17" t="s">
        <v>515</v>
      </c>
      <c r="V17">
        <v>-3</v>
      </c>
      <c r="W17" t="s">
        <v>783</v>
      </c>
      <c r="X17">
        <v>-68</v>
      </c>
      <c r="Y17" t="s">
        <v>954</v>
      </c>
      <c r="Z17">
        <v>-2</v>
      </c>
      <c r="AA17" t="s">
        <v>1105</v>
      </c>
      <c r="AB17">
        <v>-2</v>
      </c>
      <c r="AC17" t="s">
        <v>846</v>
      </c>
      <c r="AD17">
        <v>-6</v>
      </c>
      <c r="AE17" t="s">
        <v>515</v>
      </c>
      <c r="AF17">
        <v>-3</v>
      </c>
      <c r="AG17" t="s">
        <v>842</v>
      </c>
      <c r="AH17">
        <v>-1</v>
      </c>
      <c r="AI17" t="s">
        <v>783</v>
      </c>
      <c r="AJ17">
        <v>-12</v>
      </c>
      <c r="AK17" t="s">
        <v>842</v>
      </c>
      <c r="AL17">
        <v>-1</v>
      </c>
      <c r="AM17" t="s">
        <v>841</v>
      </c>
      <c r="AN17">
        <v>-30</v>
      </c>
    </row>
    <row r="18" spans="2:40" x14ac:dyDescent="0.25">
      <c r="B18" t="s">
        <v>515</v>
      </c>
      <c r="C18">
        <v>-2</v>
      </c>
      <c r="E18" t="s">
        <v>784</v>
      </c>
      <c r="F18">
        <v>-48</v>
      </c>
      <c r="H18" t="s">
        <v>845</v>
      </c>
      <c r="I18">
        <v>-82</v>
      </c>
      <c r="J18" t="s">
        <v>954</v>
      </c>
      <c r="K18">
        <v>-54</v>
      </c>
      <c r="L18" t="s">
        <v>472</v>
      </c>
      <c r="M18">
        <v>-6</v>
      </c>
      <c r="O18" t="s">
        <v>334</v>
      </c>
      <c r="P18">
        <v>-145.5</v>
      </c>
      <c r="Q18" t="s">
        <v>1387</v>
      </c>
      <c r="R18">
        <v>-12</v>
      </c>
      <c r="S18" t="s">
        <v>515</v>
      </c>
      <c r="T18">
        <v>-3</v>
      </c>
      <c r="U18" t="s">
        <v>472</v>
      </c>
      <c r="V18">
        <v>-5</v>
      </c>
      <c r="W18" t="s">
        <v>842</v>
      </c>
      <c r="X18">
        <v>-1</v>
      </c>
      <c r="Y18" t="s">
        <v>1879</v>
      </c>
      <c r="Z18">
        <v>-4</v>
      </c>
      <c r="AA18" t="s">
        <v>1384</v>
      </c>
      <c r="AB18">
        <v>-3</v>
      </c>
      <c r="AC18" t="s">
        <v>463</v>
      </c>
      <c r="AD18">
        <v>-16</v>
      </c>
      <c r="AE18" t="s">
        <v>2033</v>
      </c>
      <c r="AF18">
        <v>-8</v>
      </c>
      <c r="AG18" t="s">
        <v>844</v>
      </c>
      <c r="AH18">
        <v>-4</v>
      </c>
      <c r="AI18" t="s">
        <v>842</v>
      </c>
      <c r="AJ18">
        <v>-3</v>
      </c>
      <c r="AK18" t="s">
        <v>1805</v>
      </c>
      <c r="AL18">
        <v>-3</v>
      </c>
      <c r="AM18" t="s">
        <v>334</v>
      </c>
      <c r="AN18">
        <v>-40</v>
      </c>
    </row>
    <row r="19" spans="2:40" x14ac:dyDescent="0.25">
      <c r="B19" t="s">
        <v>472</v>
      </c>
      <c r="C19">
        <v>-2</v>
      </c>
      <c r="E19" t="s">
        <v>395</v>
      </c>
      <c r="F19">
        <v>-16</v>
      </c>
      <c r="H19" t="s">
        <v>731</v>
      </c>
      <c r="I19">
        <v>-10</v>
      </c>
      <c r="J19" t="s">
        <v>955</v>
      </c>
      <c r="K19">
        <v>-3</v>
      </c>
      <c r="L19" t="s">
        <v>1105</v>
      </c>
      <c r="M19">
        <v>-1</v>
      </c>
      <c r="O19" t="s">
        <v>186</v>
      </c>
      <c r="P19">
        <v>-16</v>
      </c>
      <c r="Q19" t="s">
        <v>81</v>
      </c>
      <c r="R19">
        <v>-16</v>
      </c>
      <c r="S19" t="s">
        <v>472</v>
      </c>
      <c r="T19">
        <v>-1</v>
      </c>
      <c r="U19" t="s">
        <v>954</v>
      </c>
      <c r="V19">
        <v>-2</v>
      </c>
      <c r="W19" t="s">
        <v>515</v>
      </c>
      <c r="X19">
        <v>-3</v>
      </c>
      <c r="Y19" t="s">
        <v>844</v>
      </c>
      <c r="Z19">
        <v>-1</v>
      </c>
      <c r="AA19" t="s">
        <v>1940</v>
      </c>
      <c r="AB19">
        <v>-1</v>
      </c>
      <c r="AC19" t="s">
        <v>392</v>
      </c>
      <c r="AD19">
        <v>-7</v>
      </c>
      <c r="AE19" t="s">
        <v>955</v>
      </c>
      <c r="AF19">
        <v>-1</v>
      </c>
      <c r="AG19" t="s">
        <v>2035</v>
      </c>
      <c r="AH19">
        <v>-4</v>
      </c>
      <c r="AI19" t="s">
        <v>515</v>
      </c>
      <c r="AJ19">
        <v>-9</v>
      </c>
      <c r="AK19" t="s">
        <v>957</v>
      </c>
      <c r="AL19">
        <v>-1</v>
      </c>
      <c r="AM19" t="s">
        <v>186</v>
      </c>
      <c r="AN19">
        <v>-8</v>
      </c>
    </row>
    <row r="20" spans="2:40" x14ac:dyDescent="0.25">
      <c r="B20" t="s">
        <v>169</v>
      </c>
      <c r="C20">
        <v>-118</v>
      </c>
      <c r="E20" t="s">
        <v>133</v>
      </c>
      <c r="F20">
        <v>-1</v>
      </c>
      <c r="H20" t="s">
        <v>169</v>
      </c>
      <c r="I20">
        <v>-2</v>
      </c>
      <c r="J20" t="s">
        <v>956</v>
      </c>
      <c r="K20">
        <v>-5</v>
      </c>
      <c r="L20" t="s">
        <v>953</v>
      </c>
      <c r="M20">
        <v>-8</v>
      </c>
      <c r="O20" t="s">
        <v>783</v>
      </c>
      <c r="P20">
        <v>-48</v>
      </c>
      <c r="Q20" t="s">
        <v>846</v>
      </c>
      <c r="R20">
        <v>-20</v>
      </c>
      <c r="S20" t="s">
        <v>953</v>
      </c>
      <c r="T20">
        <v>-10</v>
      </c>
      <c r="U20" t="s">
        <v>1720</v>
      </c>
      <c r="V20">
        <v>-2</v>
      </c>
      <c r="W20" t="s">
        <v>472</v>
      </c>
      <c r="X20">
        <v>-5</v>
      </c>
      <c r="Y20" t="s">
        <v>1720</v>
      </c>
      <c r="Z20">
        <v>-1</v>
      </c>
      <c r="AA20" t="s">
        <v>392</v>
      </c>
      <c r="AB20">
        <v>-8</v>
      </c>
      <c r="AC20" t="s">
        <v>133</v>
      </c>
      <c r="AD20">
        <v>-1</v>
      </c>
      <c r="AE20" t="s">
        <v>844</v>
      </c>
      <c r="AF20">
        <v>-6</v>
      </c>
      <c r="AG20" t="s">
        <v>731</v>
      </c>
      <c r="AH20">
        <v>-40</v>
      </c>
      <c r="AI20" t="s">
        <v>472</v>
      </c>
      <c r="AJ20">
        <v>-2</v>
      </c>
      <c r="AK20" t="s">
        <v>731</v>
      </c>
      <c r="AL20">
        <v>-13</v>
      </c>
      <c r="AM20" t="s">
        <v>783</v>
      </c>
      <c r="AN20">
        <v>-44</v>
      </c>
    </row>
    <row r="21" spans="2:40" x14ac:dyDescent="0.25">
      <c r="B21" t="s">
        <v>81</v>
      </c>
      <c r="C21">
        <v>-118</v>
      </c>
      <c r="E21" t="s">
        <v>135</v>
      </c>
      <c r="F21">
        <v>-2</v>
      </c>
      <c r="H21" t="s">
        <v>81</v>
      </c>
      <c r="I21">
        <v>-16</v>
      </c>
      <c r="J21" t="s">
        <v>957</v>
      </c>
      <c r="K21">
        <v>-7</v>
      </c>
      <c r="L21" t="s">
        <v>954</v>
      </c>
      <c r="M21">
        <v>-33</v>
      </c>
      <c r="O21" t="s">
        <v>842</v>
      </c>
      <c r="P21">
        <v>-3</v>
      </c>
      <c r="Q21" t="s">
        <v>847</v>
      </c>
      <c r="R21">
        <v>-32</v>
      </c>
      <c r="S21" t="s">
        <v>1641</v>
      </c>
      <c r="T21">
        <v>-10</v>
      </c>
      <c r="U21" t="s">
        <v>1388</v>
      </c>
      <c r="V21">
        <v>-6</v>
      </c>
      <c r="W21" t="s">
        <v>843</v>
      </c>
      <c r="X21">
        <v>-1</v>
      </c>
      <c r="Y21" t="s">
        <v>126</v>
      </c>
      <c r="Z21">
        <v>-1</v>
      </c>
      <c r="AA21" t="s">
        <v>395</v>
      </c>
      <c r="AB21">
        <v>-8</v>
      </c>
      <c r="AC21" t="s">
        <v>135</v>
      </c>
      <c r="AD21">
        <v>-8</v>
      </c>
      <c r="AE21" t="s">
        <v>1720</v>
      </c>
      <c r="AF21">
        <v>-21</v>
      </c>
      <c r="AG21" t="s">
        <v>846</v>
      </c>
      <c r="AH21">
        <v>-2</v>
      </c>
      <c r="AI21" t="s">
        <v>844</v>
      </c>
      <c r="AJ21">
        <v>-4</v>
      </c>
      <c r="AK21" t="s">
        <v>847</v>
      </c>
      <c r="AL21">
        <v>-24</v>
      </c>
      <c r="AM21" t="s">
        <v>842</v>
      </c>
      <c r="AN21">
        <v>-1</v>
      </c>
    </row>
    <row r="22" spans="2:40" x14ac:dyDescent="0.25">
      <c r="B22" t="s">
        <v>463</v>
      </c>
      <c r="C22">
        <v>-5</v>
      </c>
      <c r="E22" t="s">
        <v>44</v>
      </c>
      <c r="F22">
        <v>-38</v>
      </c>
      <c r="H22" t="s">
        <v>847</v>
      </c>
      <c r="I22">
        <v>-16</v>
      </c>
      <c r="J22" t="s">
        <v>958</v>
      </c>
      <c r="K22">
        <v>-20</v>
      </c>
      <c r="L22" t="s">
        <v>956</v>
      </c>
      <c r="M22">
        <v>-23</v>
      </c>
      <c r="O22" t="s">
        <v>515</v>
      </c>
      <c r="P22">
        <v>-3</v>
      </c>
      <c r="Q22" t="s">
        <v>392</v>
      </c>
      <c r="R22">
        <v>-6</v>
      </c>
      <c r="S22" t="s">
        <v>1642</v>
      </c>
      <c r="T22">
        <v>-2</v>
      </c>
      <c r="U22" t="s">
        <v>1721</v>
      </c>
      <c r="V22">
        <v>-2</v>
      </c>
      <c r="W22" t="s">
        <v>1105</v>
      </c>
      <c r="X22">
        <v>-2</v>
      </c>
      <c r="Y22" t="s">
        <v>133</v>
      </c>
      <c r="Z22">
        <v>-2</v>
      </c>
      <c r="AA22" t="s">
        <v>133</v>
      </c>
      <c r="AB22">
        <v>-1</v>
      </c>
      <c r="AC22" t="s">
        <v>44</v>
      </c>
      <c r="AD22">
        <v>-9</v>
      </c>
      <c r="AE22" t="s">
        <v>2034</v>
      </c>
      <c r="AF22">
        <v>-3</v>
      </c>
      <c r="AG22" t="s">
        <v>847</v>
      </c>
      <c r="AH22">
        <v>-16</v>
      </c>
      <c r="AI22" t="s">
        <v>1388</v>
      </c>
      <c r="AJ22">
        <v>-6</v>
      </c>
      <c r="AK22" t="s">
        <v>463</v>
      </c>
      <c r="AL22">
        <v>-16</v>
      </c>
      <c r="AM22" t="s">
        <v>515</v>
      </c>
      <c r="AN22">
        <v>-6</v>
      </c>
    </row>
    <row r="23" spans="2:40" x14ac:dyDescent="0.25">
      <c r="B23" t="s">
        <v>392</v>
      </c>
      <c r="C23">
        <v>-125</v>
      </c>
      <c r="E23" t="s">
        <v>270</v>
      </c>
      <c r="F23">
        <v>-161</v>
      </c>
      <c r="H23" t="s">
        <v>463</v>
      </c>
      <c r="I23">
        <v>-13</v>
      </c>
      <c r="J23" t="s">
        <v>959</v>
      </c>
      <c r="K23">
        <v>-12</v>
      </c>
      <c r="L23" t="s">
        <v>1106</v>
      </c>
      <c r="M23">
        <v>-2</v>
      </c>
      <c r="O23" t="s">
        <v>1383</v>
      </c>
      <c r="P23">
        <v>-1</v>
      </c>
      <c r="Q23" t="s">
        <v>133</v>
      </c>
      <c r="R23">
        <v>-13</v>
      </c>
      <c r="S23" t="s">
        <v>1387</v>
      </c>
      <c r="T23">
        <v>-26</v>
      </c>
      <c r="U23" t="s">
        <v>1722</v>
      </c>
      <c r="V23">
        <v>-2</v>
      </c>
      <c r="W23" t="s">
        <v>1384</v>
      </c>
      <c r="X23">
        <v>-3</v>
      </c>
      <c r="Y23" t="s">
        <v>135</v>
      </c>
      <c r="Z23">
        <v>-3</v>
      </c>
      <c r="AA23" t="s">
        <v>135</v>
      </c>
      <c r="AB23">
        <v>-2</v>
      </c>
      <c r="AC23" t="s">
        <v>270</v>
      </c>
      <c r="AD23">
        <v>-4</v>
      </c>
      <c r="AE23" t="s">
        <v>2035</v>
      </c>
      <c r="AF23">
        <v>-4</v>
      </c>
      <c r="AG23" t="s">
        <v>463</v>
      </c>
      <c r="AH23">
        <v>-5</v>
      </c>
      <c r="AI23" t="s">
        <v>2034</v>
      </c>
      <c r="AJ23">
        <v>-2</v>
      </c>
      <c r="AK23" t="s">
        <v>392</v>
      </c>
      <c r="AL23">
        <v>-29</v>
      </c>
      <c r="AM23" t="s">
        <v>953</v>
      </c>
      <c r="AN23">
        <v>-4.5</v>
      </c>
    </row>
    <row r="24" spans="2:40" x14ac:dyDescent="0.25">
      <c r="B24" t="s">
        <v>395</v>
      </c>
      <c r="C24">
        <v>-113</v>
      </c>
      <c r="E24" t="s">
        <v>273</v>
      </c>
      <c r="F24">
        <v>-102</v>
      </c>
      <c r="H24" t="s">
        <v>392</v>
      </c>
      <c r="I24">
        <v>-12</v>
      </c>
      <c r="J24" t="s">
        <v>846</v>
      </c>
      <c r="K24">
        <v>-39</v>
      </c>
      <c r="L24" t="s">
        <v>844</v>
      </c>
      <c r="M24">
        <v>-21</v>
      </c>
      <c r="O24" t="s">
        <v>1384</v>
      </c>
      <c r="P24">
        <v>-1</v>
      </c>
      <c r="Q24" t="s">
        <v>44</v>
      </c>
      <c r="R24">
        <v>-28</v>
      </c>
      <c r="S24" t="s">
        <v>1643</v>
      </c>
      <c r="T24">
        <v>-2</v>
      </c>
      <c r="U24" t="s">
        <v>846</v>
      </c>
      <c r="V24">
        <v>-25</v>
      </c>
      <c r="W24" t="s">
        <v>954</v>
      </c>
      <c r="X24">
        <v>-3</v>
      </c>
      <c r="Y24" t="s">
        <v>1880</v>
      </c>
      <c r="Z24">
        <v>-3</v>
      </c>
      <c r="AA24" t="s">
        <v>44</v>
      </c>
      <c r="AB24">
        <v>-4</v>
      </c>
      <c r="AC24" t="s">
        <v>273</v>
      </c>
      <c r="AD24">
        <v>-11</v>
      </c>
      <c r="AE24" t="s">
        <v>731</v>
      </c>
      <c r="AF24">
        <v>-16</v>
      </c>
      <c r="AG24" t="s">
        <v>392</v>
      </c>
      <c r="AH24">
        <v>-50</v>
      </c>
      <c r="AI24" t="s">
        <v>2035</v>
      </c>
      <c r="AJ24">
        <v>-12</v>
      </c>
      <c r="AK24" t="s">
        <v>2263</v>
      </c>
      <c r="AL24">
        <v>-1</v>
      </c>
      <c r="AM24" t="s">
        <v>1386</v>
      </c>
      <c r="AN24">
        <v>-2</v>
      </c>
    </row>
    <row r="25" spans="2:40" x14ac:dyDescent="0.25">
      <c r="B25" t="s">
        <v>135</v>
      </c>
      <c r="C25">
        <v>-1</v>
      </c>
      <c r="E25" t="s">
        <v>196</v>
      </c>
      <c r="F25">
        <v>-72</v>
      </c>
      <c r="H25" t="s">
        <v>784</v>
      </c>
      <c r="I25">
        <v>-10</v>
      </c>
      <c r="J25" t="s">
        <v>847</v>
      </c>
      <c r="K25">
        <v>-16</v>
      </c>
      <c r="L25" t="s">
        <v>957</v>
      </c>
      <c r="M25">
        <v>-20</v>
      </c>
      <c r="O25" t="s">
        <v>1385</v>
      </c>
      <c r="P25">
        <v>-1</v>
      </c>
      <c r="Q25" t="s">
        <v>270</v>
      </c>
      <c r="R25">
        <v>-4</v>
      </c>
      <c r="S25" t="s">
        <v>731</v>
      </c>
      <c r="T25">
        <v>-22</v>
      </c>
      <c r="U25" t="s">
        <v>847</v>
      </c>
      <c r="V25">
        <v>-30.000000000000011</v>
      </c>
      <c r="W25" t="s">
        <v>1803</v>
      </c>
      <c r="X25">
        <v>-6</v>
      </c>
      <c r="Y25" t="s">
        <v>270</v>
      </c>
      <c r="Z25">
        <v>-2</v>
      </c>
      <c r="AA25" t="s">
        <v>1941</v>
      </c>
      <c r="AB25">
        <v>-3</v>
      </c>
      <c r="AC25" t="s">
        <v>1646</v>
      </c>
      <c r="AD25">
        <v>-10</v>
      </c>
      <c r="AE25" t="s">
        <v>392</v>
      </c>
      <c r="AF25">
        <v>-36</v>
      </c>
      <c r="AG25" t="s">
        <v>395</v>
      </c>
      <c r="AH25">
        <v>-5</v>
      </c>
      <c r="AI25" t="s">
        <v>731</v>
      </c>
      <c r="AJ25">
        <v>-26</v>
      </c>
      <c r="AK25" t="s">
        <v>133</v>
      </c>
      <c r="AL25">
        <v>-9</v>
      </c>
      <c r="AM25" t="s">
        <v>844</v>
      </c>
      <c r="AN25">
        <v>-9</v>
      </c>
    </row>
    <row r="26" spans="2:40" x14ac:dyDescent="0.25">
      <c r="B26" t="s">
        <v>44</v>
      </c>
      <c r="C26">
        <v>-49</v>
      </c>
      <c r="E26" t="s">
        <v>73</v>
      </c>
      <c r="F26">
        <v>-266</v>
      </c>
      <c r="H26" t="s">
        <v>395</v>
      </c>
      <c r="I26">
        <v>-137</v>
      </c>
      <c r="J26" t="s">
        <v>960</v>
      </c>
      <c r="K26">
        <v>-200</v>
      </c>
      <c r="L26" t="s">
        <v>1107</v>
      </c>
      <c r="M26">
        <v>-27</v>
      </c>
      <c r="O26" t="s">
        <v>954</v>
      </c>
      <c r="P26">
        <v>-4</v>
      </c>
      <c r="Q26" t="s">
        <v>273</v>
      </c>
      <c r="R26">
        <v>-12</v>
      </c>
      <c r="S26" t="s">
        <v>169</v>
      </c>
      <c r="T26">
        <v>-13</v>
      </c>
      <c r="U26" t="s">
        <v>392</v>
      </c>
      <c r="V26">
        <v>-13</v>
      </c>
      <c r="W26" t="s">
        <v>1804</v>
      </c>
      <c r="X26">
        <v>-2</v>
      </c>
      <c r="Y26" t="s">
        <v>273</v>
      </c>
      <c r="Z26">
        <v>-5</v>
      </c>
      <c r="AA26" t="s">
        <v>270</v>
      </c>
      <c r="AB26">
        <v>-2</v>
      </c>
      <c r="AC26" t="s">
        <v>1113</v>
      </c>
      <c r="AD26">
        <v>-2</v>
      </c>
      <c r="AE26" t="s">
        <v>126</v>
      </c>
      <c r="AF26">
        <v>-1</v>
      </c>
      <c r="AG26" t="s">
        <v>126</v>
      </c>
      <c r="AH26">
        <v>-2</v>
      </c>
      <c r="AI26" t="s">
        <v>846</v>
      </c>
      <c r="AJ26">
        <v>-12</v>
      </c>
      <c r="AK26" t="s">
        <v>2191</v>
      </c>
      <c r="AL26">
        <v>-1</v>
      </c>
      <c r="AM26" t="s">
        <v>957</v>
      </c>
      <c r="AN26">
        <v>-9</v>
      </c>
    </row>
    <row r="27" spans="2:40" x14ac:dyDescent="0.25">
      <c r="B27" t="s">
        <v>270</v>
      </c>
      <c r="C27">
        <v>-96</v>
      </c>
      <c r="E27" t="s">
        <v>785</v>
      </c>
      <c r="F27">
        <v>-142</v>
      </c>
      <c r="H27" t="s">
        <v>133</v>
      </c>
      <c r="I27">
        <v>-8</v>
      </c>
      <c r="J27" t="s">
        <v>961</v>
      </c>
      <c r="K27">
        <v>-3</v>
      </c>
      <c r="L27" t="s">
        <v>1108</v>
      </c>
      <c r="M27">
        <v>-34</v>
      </c>
      <c r="O27" t="s">
        <v>1386</v>
      </c>
      <c r="P27">
        <v>-8</v>
      </c>
      <c r="Q27" t="s">
        <v>196</v>
      </c>
      <c r="R27">
        <v>-4</v>
      </c>
      <c r="S27" t="s">
        <v>392</v>
      </c>
      <c r="T27">
        <v>-45</v>
      </c>
      <c r="U27" t="s">
        <v>395</v>
      </c>
      <c r="V27">
        <v>-8</v>
      </c>
      <c r="W27" t="s">
        <v>1642</v>
      </c>
      <c r="X27">
        <v>-12</v>
      </c>
      <c r="Y27" t="s">
        <v>1113</v>
      </c>
      <c r="Z27">
        <v>-2</v>
      </c>
      <c r="AA27" t="s">
        <v>273</v>
      </c>
      <c r="AB27">
        <v>-10</v>
      </c>
      <c r="AC27" t="s">
        <v>196</v>
      </c>
      <c r="AD27">
        <v>-6</v>
      </c>
      <c r="AE27" t="s">
        <v>133</v>
      </c>
      <c r="AF27">
        <v>-4</v>
      </c>
      <c r="AG27" t="s">
        <v>133</v>
      </c>
      <c r="AH27">
        <v>-10</v>
      </c>
      <c r="AI27" t="s">
        <v>463</v>
      </c>
      <c r="AJ27">
        <v>-5</v>
      </c>
      <c r="AK27" t="s">
        <v>135</v>
      </c>
      <c r="AL27">
        <v>-5</v>
      </c>
      <c r="AM27" t="s">
        <v>1388</v>
      </c>
      <c r="AN27">
        <v>-10</v>
      </c>
    </row>
    <row r="28" spans="2:40" x14ac:dyDescent="0.25">
      <c r="B28" t="s">
        <v>273</v>
      </c>
      <c r="C28">
        <v>-50</v>
      </c>
      <c r="E28" t="s">
        <v>179</v>
      </c>
      <c r="F28">
        <v>-82</v>
      </c>
      <c r="H28" t="s">
        <v>135</v>
      </c>
      <c r="I28">
        <v>-8</v>
      </c>
      <c r="J28" t="s">
        <v>133</v>
      </c>
      <c r="K28">
        <v>-9</v>
      </c>
      <c r="L28" t="s">
        <v>731</v>
      </c>
      <c r="M28">
        <v>-14</v>
      </c>
      <c r="O28" t="s">
        <v>844</v>
      </c>
      <c r="P28">
        <v>-53</v>
      </c>
      <c r="Q28" t="s">
        <v>73</v>
      </c>
      <c r="R28">
        <v>-45</v>
      </c>
      <c r="S28" t="s">
        <v>395</v>
      </c>
      <c r="T28">
        <v>-13</v>
      </c>
      <c r="U28" t="s">
        <v>133</v>
      </c>
      <c r="V28">
        <v>-15</v>
      </c>
      <c r="W28" t="s">
        <v>1805</v>
      </c>
      <c r="X28">
        <v>-2</v>
      </c>
      <c r="Y28" t="s">
        <v>196</v>
      </c>
      <c r="Z28">
        <v>-2</v>
      </c>
      <c r="AA28" t="s">
        <v>196</v>
      </c>
      <c r="AB28">
        <v>-2</v>
      </c>
      <c r="AC28" t="s">
        <v>178</v>
      </c>
      <c r="AD28">
        <v>-12</v>
      </c>
      <c r="AE28" t="s">
        <v>2036</v>
      </c>
      <c r="AF28">
        <v>-1</v>
      </c>
      <c r="AG28" t="s">
        <v>2140</v>
      </c>
      <c r="AH28">
        <v>-2</v>
      </c>
      <c r="AI28" t="s">
        <v>392</v>
      </c>
      <c r="AJ28">
        <v>-31</v>
      </c>
      <c r="AK28" t="s">
        <v>44</v>
      </c>
      <c r="AL28">
        <v>-47</v>
      </c>
      <c r="AM28" t="s">
        <v>2034</v>
      </c>
      <c r="AN28">
        <v>-1</v>
      </c>
    </row>
    <row r="29" spans="2:40" x14ac:dyDescent="0.25">
      <c r="B29" t="s">
        <v>196</v>
      </c>
      <c r="C29">
        <v>-36</v>
      </c>
      <c r="E29" t="s">
        <v>13</v>
      </c>
      <c r="F29">
        <v>-1613</v>
      </c>
      <c r="H29" t="s">
        <v>270</v>
      </c>
      <c r="I29">
        <v>-76</v>
      </c>
      <c r="J29" t="s">
        <v>962</v>
      </c>
      <c r="K29">
        <v>-3</v>
      </c>
      <c r="L29" t="s">
        <v>81</v>
      </c>
      <c r="M29">
        <v>-64</v>
      </c>
      <c r="O29" t="s">
        <v>1387</v>
      </c>
      <c r="P29">
        <v>-18</v>
      </c>
      <c r="Q29" t="s">
        <v>785</v>
      </c>
      <c r="R29">
        <v>-25</v>
      </c>
      <c r="S29" t="s">
        <v>133</v>
      </c>
      <c r="T29">
        <v>-15</v>
      </c>
      <c r="U29" t="s">
        <v>135</v>
      </c>
      <c r="V29">
        <v>-5</v>
      </c>
      <c r="W29" t="s">
        <v>1806</v>
      </c>
      <c r="X29">
        <v>-11</v>
      </c>
      <c r="Y29" t="s">
        <v>178</v>
      </c>
      <c r="Z29">
        <v>-24</v>
      </c>
      <c r="AA29" t="s">
        <v>178</v>
      </c>
      <c r="AB29">
        <v>-8</v>
      </c>
      <c r="AC29" t="s">
        <v>73</v>
      </c>
      <c r="AD29">
        <v>-17</v>
      </c>
      <c r="AE29" t="s">
        <v>135</v>
      </c>
      <c r="AF29">
        <v>-5</v>
      </c>
      <c r="AG29" t="s">
        <v>135</v>
      </c>
      <c r="AH29">
        <v>-11</v>
      </c>
      <c r="AI29" t="s">
        <v>395</v>
      </c>
      <c r="AJ29">
        <v>-5</v>
      </c>
      <c r="AK29" t="s">
        <v>2264</v>
      </c>
      <c r="AL29">
        <v>-1</v>
      </c>
      <c r="AM29" t="s">
        <v>2035</v>
      </c>
      <c r="AN29">
        <v>-16</v>
      </c>
    </row>
    <row r="30" spans="2:40" x14ac:dyDescent="0.25">
      <c r="B30" t="s">
        <v>178</v>
      </c>
      <c r="C30">
        <v>-8</v>
      </c>
      <c r="E30" t="s">
        <v>385</v>
      </c>
      <c r="F30">
        <v>-220</v>
      </c>
      <c r="H30" t="s">
        <v>273</v>
      </c>
      <c r="I30">
        <v>-44</v>
      </c>
      <c r="J30" t="s">
        <v>963</v>
      </c>
      <c r="K30">
        <v>-3</v>
      </c>
      <c r="L30" t="s">
        <v>846</v>
      </c>
      <c r="M30">
        <v>-18</v>
      </c>
      <c r="O30" t="s">
        <v>1388</v>
      </c>
      <c r="P30">
        <v>-6</v>
      </c>
      <c r="Q30" t="s">
        <v>179</v>
      </c>
      <c r="R30">
        <v>-17.5</v>
      </c>
      <c r="S30" t="s">
        <v>135</v>
      </c>
      <c r="T30">
        <v>-4</v>
      </c>
      <c r="U30" t="s">
        <v>1723</v>
      </c>
      <c r="V30">
        <v>-4</v>
      </c>
      <c r="W30" t="s">
        <v>1807</v>
      </c>
      <c r="X30">
        <v>-8</v>
      </c>
      <c r="Y30" t="s">
        <v>73</v>
      </c>
      <c r="Z30">
        <v>-13</v>
      </c>
      <c r="AA30" t="s">
        <v>73</v>
      </c>
      <c r="AB30">
        <v>-25</v>
      </c>
      <c r="AC30" t="s">
        <v>785</v>
      </c>
      <c r="AD30">
        <v>-107</v>
      </c>
      <c r="AE30" t="s">
        <v>1880</v>
      </c>
      <c r="AF30">
        <v>-2</v>
      </c>
      <c r="AG30" t="s">
        <v>1880</v>
      </c>
      <c r="AH30">
        <v>-2</v>
      </c>
      <c r="AI30" t="s">
        <v>126</v>
      </c>
      <c r="AJ30">
        <v>-1</v>
      </c>
      <c r="AK30" t="s">
        <v>270</v>
      </c>
      <c r="AL30">
        <v>-12</v>
      </c>
      <c r="AM30" t="s">
        <v>846</v>
      </c>
      <c r="AN30">
        <v>-10</v>
      </c>
    </row>
    <row r="31" spans="2:40" x14ac:dyDescent="0.25">
      <c r="B31" t="s">
        <v>73</v>
      </c>
      <c r="C31">
        <v>-200</v>
      </c>
      <c r="E31" t="s">
        <v>239</v>
      </c>
      <c r="F31">
        <v>-192.2</v>
      </c>
      <c r="H31" t="s">
        <v>196</v>
      </c>
      <c r="I31">
        <v>-16</v>
      </c>
      <c r="J31" t="s">
        <v>44</v>
      </c>
      <c r="K31">
        <v>-14</v>
      </c>
      <c r="L31" t="s">
        <v>847</v>
      </c>
      <c r="M31">
        <v>-40</v>
      </c>
      <c r="O31" t="s">
        <v>731</v>
      </c>
      <c r="P31">
        <v>-8</v>
      </c>
      <c r="Q31" t="s">
        <v>13</v>
      </c>
      <c r="R31">
        <v>-497</v>
      </c>
      <c r="S31" t="s">
        <v>44</v>
      </c>
      <c r="T31">
        <v>-36</v>
      </c>
      <c r="U31" t="s">
        <v>44</v>
      </c>
      <c r="V31">
        <v>-7</v>
      </c>
      <c r="W31" t="s">
        <v>731</v>
      </c>
      <c r="X31">
        <v>-17</v>
      </c>
      <c r="Y31" t="s">
        <v>785</v>
      </c>
      <c r="Z31">
        <v>-24</v>
      </c>
      <c r="AA31" t="s">
        <v>785</v>
      </c>
      <c r="AB31">
        <v>-40</v>
      </c>
      <c r="AC31" t="s">
        <v>179</v>
      </c>
      <c r="AD31">
        <v>-6.5</v>
      </c>
      <c r="AE31" t="s">
        <v>44</v>
      </c>
      <c r="AF31">
        <v>-25</v>
      </c>
      <c r="AG31" t="s">
        <v>44</v>
      </c>
      <c r="AH31">
        <v>-48</v>
      </c>
      <c r="AI31" t="s">
        <v>133</v>
      </c>
      <c r="AJ31">
        <v>-9</v>
      </c>
      <c r="AK31" t="s">
        <v>273</v>
      </c>
      <c r="AL31">
        <v>-28</v>
      </c>
      <c r="AM31" t="s">
        <v>392</v>
      </c>
      <c r="AN31">
        <v>-25</v>
      </c>
    </row>
    <row r="32" spans="2:40" x14ac:dyDescent="0.25">
      <c r="B32" t="s">
        <v>517</v>
      </c>
      <c r="C32">
        <v>-2</v>
      </c>
      <c r="E32" t="s">
        <v>240</v>
      </c>
      <c r="F32">
        <v>-320</v>
      </c>
      <c r="H32" t="s">
        <v>178</v>
      </c>
      <c r="I32">
        <v>-29</v>
      </c>
      <c r="J32" t="s">
        <v>964</v>
      </c>
      <c r="K32">
        <v>-1</v>
      </c>
      <c r="L32" t="s">
        <v>1109</v>
      </c>
      <c r="M32">
        <v>-8</v>
      </c>
      <c r="O32" t="s">
        <v>846</v>
      </c>
      <c r="P32">
        <v>-18</v>
      </c>
      <c r="Q32" t="s">
        <v>718</v>
      </c>
      <c r="R32">
        <v>-100</v>
      </c>
      <c r="S32" t="s">
        <v>1644</v>
      </c>
      <c r="T32">
        <v>-3</v>
      </c>
      <c r="U32" t="s">
        <v>270</v>
      </c>
      <c r="V32">
        <v>-12</v>
      </c>
      <c r="W32" t="s">
        <v>392</v>
      </c>
      <c r="X32">
        <v>-18</v>
      </c>
      <c r="Y32" t="s">
        <v>179</v>
      </c>
      <c r="Z32">
        <v>-13.1</v>
      </c>
      <c r="AA32" t="s">
        <v>179</v>
      </c>
      <c r="AB32">
        <v>-8.6</v>
      </c>
      <c r="AC32" t="s">
        <v>13</v>
      </c>
      <c r="AD32">
        <v>-1196</v>
      </c>
      <c r="AE32" t="s">
        <v>964</v>
      </c>
      <c r="AF32">
        <v>-1</v>
      </c>
      <c r="AG32" t="s">
        <v>270</v>
      </c>
      <c r="AH32">
        <v>-20</v>
      </c>
      <c r="AI32" t="s">
        <v>2191</v>
      </c>
      <c r="AJ32">
        <v>-1</v>
      </c>
      <c r="AK32" t="s">
        <v>196</v>
      </c>
      <c r="AL32">
        <v>-12</v>
      </c>
      <c r="AM32" t="s">
        <v>395</v>
      </c>
      <c r="AN32">
        <v>-8</v>
      </c>
    </row>
    <row r="33" spans="2:40" x14ac:dyDescent="0.25">
      <c r="B33" t="s">
        <v>179</v>
      </c>
      <c r="C33">
        <v>-51</v>
      </c>
      <c r="E33" t="s">
        <v>197</v>
      </c>
      <c r="F33">
        <v>-173</v>
      </c>
      <c r="H33" t="s">
        <v>73</v>
      </c>
      <c r="I33">
        <v>-196</v>
      </c>
      <c r="J33" t="s">
        <v>178</v>
      </c>
      <c r="K33">
        <v>-4</v>
      </c>
      <c r="L33" t="s">
        <v>1110</v>
      </c>
      <c r="M33">
        <v>-3</v>
      </c>
      <c r="O33" t="s">
        <v>1110</v>
      </c>
      <c r="P33">
        <v>-2</v>
      </c>
      <c r="Q33" t="s">
        <v>385</v>
      </c>
      <c r="R33">
        <v>-100</v>
      </c>
      <c r="S33" t="s">
        <v>1645</v>
      </c>
      <c r="T33">
        <v>-2</v>
      </c>
      <c r="U33" t="s">
        <v>273</v>
      </c>
      <c r="V33">
        <v>-31</v>
      </c>
      <c r="W33" t="s">
        <v>1808</v>
      </c>
      <c r="X33">
        <v>-7</v>
      </c>
      <c r="Y33" t="s">
        <v>13</v>
      </c>
      <c r="Z33">
        <v>-100</v>
      </c>
      <c r="AA33" t="s">
        <v>13</v>
      </c>
      <c r="AB33">
        <v>-61</v>
      </c>
      <c r="AC33" t="s">
        <v>385</v>
      </c>
      <c r="AD33">
        <v>-96</v>
      </c>
      <c r="AE33" t="s">
        <v>270</v>
      </c>
      <c r="AF33">
        <v>-8</v>
      </c>
      <c r="AG33" t="s">
        <v>273</v>
      </c>
      <c r="AH33">
        <v>-59</v>
      </c>
      <c r="AI33" t="s">
        <v>135</v>
      </c>
      <c r="AJ33">
        <v>-10</v>
      </c>
      <c r="AK33" t="s">
        <v>178</v>
      </c>
      <c r="AL33">
        <v>-16</v>
      </c>
      <c r="AM33" t="s">
        <v>2263</v>
      </c>
      <c r="AN33">
        <v>-2</v>
      </c>
    </row>
    <row r="34" spans="2:40" x14ac:dyDescent="0.25">
      <c r="B34" t="s">
        <v>13</v>
      </c>
      <c r="C34">
        <v>-1526</v>
      </c>
      <c r="E34" t="s">
        <v>235</v>
      </c>
      <c r="F34">
        <v>-263.2</v>
      </c>
      <c r="H34" t="s">
        <v>785</v>
      </c>
      <c r="I34">
        <v>-96</v>
      </c>
      <c r="J34" t="s">
        <v>73</v>
      </c>
      <c r="K34">
        <v>-41</v>
      </c>
      <c r="L34" t="s">
        <v>392</v>
      </c>
      <c r="M34">
        <v>-48</v>
      </c>
      <c r="O34" t="s">
        <v>392</v>
      </c>
      <c r="P34">
        <v>-60</v>
      </c>
      <c r="Q34" t="s">
        <v>239</v>
      </c>
      <c r="R34">
        <v>-16</v>
      </c>
      <c r="S34" t="s">
        <v>270</v>
      </c>
      <c r="T34">
        <v>-10</v>
      </c>
      <c r="U34" t="s">
        <v>196</v>
      </c>
      <c r="V34">
        <v>-8</v>
      </c>
      <c r="W34" t="s">
        <v>961</v>
      </c>
      <c r="X34">
        <v>-3</v>
      </c>
      <c r="Y34" t="s">
        <v>239</v>
      </c>
      <c r="Z34">
        <v>-7</v>
      </c>
      <c r="AA34" t="s">
        <v>239</v>
      </c>
      <c r="AB34">
        <v>-12</v>
      </c>
      <c r="AC34" t="s">
        <v>1115</v>
      </c>
      <c r="AD34">
        <v>-10</v>
      </c>
      <c r="AE34" t="s">
        <v>273</v>
      </c>
      <c r="AF34">
        <v>-24</v>
      </c>
      <c r="AG34" t="s">
        <v>196</v>
      </c>
      <c r="AH34">
        <v>-18</v>
      </c>
      <c r="AI34" t="s">
        <v>1880</v>
      </c>
      <c r="AJ34">
        <v>-1</v>
      </c>
      <c r="AK34" t="s">
        <v>73</v>
      </c>
      <c r="AL34">
        <v>-66</v>
      </c>
      <c r="AM34" t="s">
        <v>126</v>
      </c>
      <c r="AN34">
        <v>-1</v>
      </c>
    </row>
    <row r="35" spans="2:40" x14ac:dyDescent="0.25">
      <c r="B35" t="s">
        <v>385</v>
      </c>
      <c r="C35">
        <v>-160</v>
      </c>
      <c r="E35" t="s">
        <v>228</v>
      </c>
      <c r="F35">
        <v>-289</v>
      </c>
      <c r="H35" t="s">
        <v>179</v>
      </c>
      <c r="I35">
        <v>-56</v>
      </c>
      <c r="J35" t="s">
        <v>517</v>
      </c>
      <c r="K35">
        <v>-17</v>
      </c>
      <c r="L35" t="s">
        <v>1111</v>
      </c>
      <c r="M35">
        <v>-4</v>
      </c>
      <c r="O35" t="s">
        <v>1111</v>
      </c>
      <c r="P35">
        <v>-9</v>
      </c>
      <c r="Q35" t="s">
        <v>240</v>
      </c>
      <c r="R35">
        <v>-20</v>
      </c>
      <c r="S35" t="s">
        <v>273</v>
      </c>
      <c r="T35">
        <v>-29</v>
      </c>
      <c r="U35" t="s">
        <v>178</v>
      </c>
      <c r="V35">
        <v>-18</v>
      </c>
      <c r="W35" t="s">
        <v>126</v>
      </c>
      <c r="X35">
        <v>-2</v>
      </c>
      <c r="Y35" t="s">
        <v>240</v>
      </c>
      <c r="Z35">
        <v>-10</v>
      </c>
      <c r="AA35" t="s">
        <v>240</v>
      </c>
      <c r="AB35">
        <v>-20</v>
      </c>
      <c r="AC35" t="s">
        <v>239</v>
      </c>
      <c r="AD35">
        <v>-15</v>
      </c>
      <c r="AE35" t="s">
        <v>196</v>
      </c>
      <c r="AF35">
        <v>-8</v>
      </c>
      <c r="AG35" t="s">
        <v>178</v>
      </c>
      <c r="AH35">
        <v>-5</v>
      </c>
      <c r="AI35" t="s">
        <v>2192</v>
      </c>
      <c r="AJ35">
        <v>-1</v>
      </c>
      <c r="AK35" t="s">
        <v>785</v>
      </c>
      <c r="AL35">
        <v>-106</v>
      </c>
      <c r="AM35" t="s">
        <v>133</v>
      </c>
      <c r="AN35">
        <v>-8</v>
      </c>
    </row>
    <row r="36" spans="2:40" x14ac:dyDescent="0.25">
      <c r="B36" t="s">
        <v>239</v>
      </c>
      <c r="C36">
        <v>-96</v>
      </c>
      <c r="E36" t="s">
        <v>421</v>
      </c>
      <c r="F36">
        <v>-334</v>
      </c>
      <c r="H36" t="s">
        <v>13</v>
      </c>
      <c r="I36">
        <v>-394</v>
      </c>
      <c r="J36" t="s">
        <v>785</v>
      </c>
      <c r="K36">
        <v>-32</v>
      </c>
      <c r="L36" t="s">
        <v>1112</v>
      </c>
      <c r="M36">
        <v>-2</v>
      </c>
      <c r="O36" t="s">
        <v>961</v>
      </c>
      <c r="P36">
        <v>-5</v>
      </c>
      <c r="Q36" t="s">
        <v>1116</v>
      </c>
      <c r="R36">
        <v>-84</v>
      </c>
      <c r="S36" t="s">
        <v>1646</v>
      </c>
      <c r="T36">
        <v>-120</v>
      </c>
      <c r="U36" t="s">
        <v>73</v>
      </c>
      <c r="V36">
        <v>-60</v>
      </c>
      <c r="W36" t="s">
        <v>133</v>
      </c>
      <c r="X36">
        <v>-13</v>
      </c>
      <c r="Y36" t="s">
        <v>197</v>
      </c>
      <c r="Z36">
        <v>-99</v>
      </c>
      <c r="AA36" t="s">
        <v>1810</v>
      </c>
      <c r="AB36">
        <v>-3</v>
      </c>
      <c r="AC36" t="s">
        <v>518</v>
      </c>
      <c r="AD36">
        <v>-32</v>
      </c>
      <c r="AE36" t="s">
        <v>178</v>
      </c>
      <c r="AF36">
        <v>-9</v>
      </c>
      <c r="AG36" t="s">
        <v>73</v>
      </c>
      <c r="AH36">
        <v>-118</v>
      </c>
      <c r="AI36" t="s">
        <v>44</v>
      </c>
      <c r="AJ36">
        <v>-23</v>
      </c>
      <c r="AK36" t="s">
        <v>179</v>
      </c>
      <c r="AL36">
        <v>-29</v>
      </c>
      <c r="AM36" t="s">
        <v>962</v>
      </c>
      <c r="AN36">
        <v>-2</v>
      </c>
    </row>
    <row r="37" spans="2:40" x14ac:dyDescent="0.25">
      <c r="B37" t="s">
        <v>518</v>
      </c>
      <c r="C37">
        <v>-64</v>
      </c>
      <c r="E37" t="s">
        <v>427</v>
      </c>
      <c r="F37">
        <v>-17.399999999999999</v>
      </c>
      <c r="H37" t="s">
        <v>385</v>
      </c>
      <c r="I37">
        <v>-60</v>
      </c>
      <c r="J37" t="s">
        <v>179</v>
      </c>
      <c r="K37">
        <v>-14</v>
      </c>
      <c r="L37" t="s">
        <v>961</v>
      </c>
      <c r="M37">
        <v>-4</v>
      </c>
      <c r="O37" t="s">
        <v>133</v>
      </c>
      <c r="P37">
        <v>-9</v>
      </c>
      <c r="Q37" t="s">
        <v>1117</v>
      </c>
      <c r="R37">
        <v>-12</v>
      </c>
      <c r="S37" t="s">
        <v>196</v>
      </c>
      <c r="T37">
        <v>-8</v>
      </c>
      <c r="U37" t="s">
        <v>785</v>
      </c>
      <c r="V37">
        <v>-28</v>
      </c>
      <c r="W37" t="s">
        <v>1809</v>
      </c>
      <c r="X37">
        <v>-1</v>
      </c>
      <c r="Y37" t="s">
        <v>235</v>
      </c>
      <c r="Z37">
        <v>-6</v>
      </c>
      <c r="AA37" t="s">
        <v>519</v>
      </c>
      <c r="AB37">
        <v>-12</v>
      </c>
      <c r="AC37" t="s">
        <v>240</v>
      </c>
      <c r="AD37">
        <v>-20</v>
      </c>
      <c r="AE37" t="s">
        <v>73</v>
      </c>
      <c r="AF37">
        <v>-81</v>
      </c>
      <c r="AG37" t="s">
        <v>785</v>
      </c>
      <c r="AH37">
        <v>-152</v>
      </c>
      <c r="AI37" t="s">
        <v>964</v>
      </c>
      <c r="AJ37">
        <v>-3</v>
      </c>
      <c r="AK37" t="s">
        <v>13</v>
      </c>
      <c r="AL37">
        <v>-887</v>
      </c>
      <c r="AM37" t="s">
        <v>2327</v>
      </c>
      <c r="AN37">
        <v>-2</v>
      </c>
    </row>
    <row r="38" spans="2:40" x14ac:dyDescent="0.25">
      <c r="B38" t="s">
        <v>240</v>
      </c>
      <c r="C38">
        <v>-160</v>
      </c>
      <c r="E38" t="s">
        <v>221</v>
      </c>
      <c r="F38">
        <v>-16</v>
      </c>
      <c r="H38" t="s">
        <v>239</v>
      </c>
      <c r="I38">
        <v>-80</v>
      </c>
      <c r="J38" t="s">
        <v>13</v>
      </c>
      <c r="K38">
        <v>-406</v>
      </c>
      <c r="L38" t="s">
        <v>133</v>
      </c>
      <c r="M38">
        <v>-18</v>
      </c>
      <c r="O38" t="s">
        <v>962</v>
      </c>
      <c r="P38">
        <v>-1</v>
      </c>
      <c r="Q38" t="s">
        <v>519</v>
      </c>
      <c r="R38">
        <v>-24</v>
      </c>
      <c r="S38" t="s">
        <v>178</v>
      </c>
      <c r="T38">
        <v>-6</v>
      </c>
      <c r="U38" t="s">
        <v>179</v>
      </c>
      <c r="V38">
        <v>-21</v>
      </c>
      <c r="W38" t="s">
        <v>135</v>
      </c>
      <c r="X38">
        <v>-3</v>
      </c>
      <c r="Y38" t="s">
        <v>228</v>
      </c>
      <c r="Z38">
        <v>-20</v>
      </c>
      <c r="AA38" t="s">
        <v>197</v>
      </c>
      <c r="AB38">
        <v>-23</v>
      </c>
      <c r="AC38" t="s">
        <v>197</v>
      </c>
      <c r="AD38">
        <v>-20</v>
      </c>
      <c r="AE38" t="s">
        <v>2037</v>
      </c>
      <c r="AF38">
        <v>-3</v>
      </c>
      <c r="AG38" t="s">
        <v>179</v>
      </c>
      <c r="AH38">
        <v>-33</v>
      </c>
      <c r="AI38" t="s">
        <v>270</v>
      </c>
      <c r="AJ38">
        <v>-10</v>
      </c>
      <c r="AK38" t="s">
        <v>385</v>
      </c>
      <c r="AL38">
        <v>-78</v>
      </c>
      <c r="AM38" t="s">
        <v>135</v>
      </c>
      <c r="AN38">
        <v>-4</v>
      </c>
    </row>
    <row r="39" spans="2:40" x14ac:dyDescent="0.25">
      <c r="B39" t="s">
        <v>519</v>
      </c>
      <c r="C39">
        <v>-3</v>
      </c>
      <c r="E39" t="s">
        <v>222</v>
      </c>
      <c r="F39">
        <v>-79</v>
      </c>
      <c r="H39" t="s">
        <v>240</v>
      </c>
      <c r="I39">
        <v>-158</v>
      </c>
      <c r="J39" t="s">
        <v>718</v>
      </c>
      <c r="K39">
        <v>-162</v>
      </c>
      <c r="L39" t="s">
        <v>962</v>
      </c>
      <c r="M39">
        <v>-4</v>
      </c>
      <c r="O39" t="s">
        <v>963</v>
      </c>
      <c r="P39">
        <v>-2</v>
      </c>
      <c r="Q39" t="s">
        <v>197</v>
      </c>
      <c r="R39">
        <v>-92</v>
      </c>
      <c r="S39" t="s">
        <v>73</v>
      </c>
      <c r="T39">
        <v>-52</v>
      </c>
      <c r="U39" t="s">
        <v>13</v>
      </c>
      <c r="V39">
        <v>-477</v>
      </c>
      <c r="W39" t="s">
        <v>44</v>
      </c>
      <c r="X39">
        <v>-24</v>
      </c>
      <c r="Y39" t="s">
        <v>421</v>
      </c>
      <c r="Z39">
        <v>-61</v>
      </c>
      <c r="AA39" t="s">
        <v>235</v>
      </c>
      <c r="AB39">
        <v>-16</v>
      </c>
      <c r="AC39" t="s">
        <v>235</v>
      </c>
      <c r="AD39">
        <v>-14</v>
      </c>
      <c r="AE39" t="s">
        <v>785</v>
      </c>
      <c r="AF39">
        <v>-146</v>
      </c>
      <c r="AG39" t="s">
        <v>13</v>
      </c>
      <c r="AH39">
        <v>-1000</v>
      </c>
      <c r="AI39" t="s">
        <v>273</v>
      </c>
      <c r="AJ39">
        <v>-31</v>
      </c>
      <c r="AK39" t="s">
        <v>239</v>
      </c>
      <c r="AL39">
        <v>-50</v>
      </c>
      <c r="AM39" t="s">
        <v>44</v>
      </c>
      <c r="AN39">
        <v>-19</v>
      </c>
    </row>
    <row r="40" spans="2:40" x14ac:dyDescent="0.25">
      <c r="B40" t="s">
        <v>197</v>
      </c>
      <c r="C40">
        <v>-54</v>
      </c>
      <c r="E40" t="s">
        <v>786</v>
      </c>
      <c r="F40">
        <v>-7</v>
      </c>
      <c r="H40" t="s">
        <v>197</v>
      </c>
      <c r="I40">
        <v>-90</v>
      </c>
      <c r="J40" t="s">
        <v>240</v>
      </c>
      <c r="K40">
        <v>-30</v>
      </c>
      <c r="L40" t="s">
        <v>963</v>
      </c>
      <c r="M40">
        <v>-2</v>
      </c>
      <c r="O40" t="s">
        <v>1389</v>
      </c>
      <c r="P40">
        <v>-1</v>
      </c>
      <c r="Q40" t="s">
        <v>235</v>
      </c>
      <c r="R40">
        <v>-24</v>
      </c>
      <c r="S40" t="s">
        <v>785</v>
      </c>
      <c r="T40">
        <v>-70</v>
      </c>
      <c r="U40" t="s">
        <v>718</v>
      </c>
      <c r="V40">
        <v>-4</v>
      </c>
      <c r="W40" t="s">
        <v>270</v>
      </c>
      <c r="X40">
        <v>-6</v>
      </c>
      <c r="Y40" t="s">
        <v>427</v>
      </c>
      <c r="Z40">
        <v>-6</v>
      </c>
      <c r="AA40" t="s">
        <v>228</v>
      </c>
      <c r="AB40">
        <v>-20</v>
      </c>
      <c r="AC40" t="s">
        <v>228</v>
      </c>
      <c r="AD40">
        <v>-48</v>
      </c>
      <c r="AE40" t="s">
        <v>179</v>
      </c>
      <c r="AF40">
        <v>-26</v>
      </c>
      <c r="AG40" t="s">
        <v>385</v>
      </c>
      <c r="AH40">
        <v>-160</v>
      </c>
      <c r="AI40" t="s">
        <v>196</v>
      </c>
      <c r="AJ40">
        <v>-12</v>
      </c>
      <c r="AK40" t="s">
        <v>240</v>
      </c>
      <c r="AL40">
        <v>-110</v>
      </c>
      <c r="AM40" t="s">
        <v>964</v>
      </c>
      <c r="AN40">
        <v>-2</v>
      </c>
    </row>
    <row r="41" spans="2:40" x14ac:dyDescent="0.25">
      <c r="B41" t="s">
        <v>235</v>
      </c>
      <c r="C41">
        <v>-112</v>
      </c>
      <c r="E41" t="s">
        <v>336</v>
      </c>
      <c r="F41">
        <v>-10</v>
      </c>
      <c r="H41" t="s">
        <v>235</v>
      </c>
      <c r="I41">
        <v>-144</v>
      </c>
      <c r="J41" t="s">
        <v>965</v>
      </c>
      <c r="K41">
        <v>-18</v>
      </c>
      <c r="L41" t="s">
        <v>44</v>
      </c>
      <c r="M41">
        <v>-40</v>
      </c>
      <c r="O41" t="s">
        <v>44</v>
      </c>
      <c r="P41">
        <v>-46</v>
      </c>
      <c r="Q41" t="s">
        <v>228</v>
      </c>
      <c r="R41">
        <v>-216</v>
      </c>
      <c r="S41" t="s">
        <v>179</v>
      </c>
      <c r="T41">
        <v>-14</v>
      </c>
      <c r="U41" t="s">
        <v>385</v>
      </c>
      <c r="V41">
        <v>-252</v>
      </c>
      <c r="W41" t="s">
        <v>273</v>
      </c>
      <c r="X41">
        <v>-22</v>
      </c>
      <c r="Y41" t="s">
        <v>7</v>
      </c>
      <c r="Z41">
        <v>-2</v>
      </c>
      <c r="AA41" t="s">
        <v>421</v>
      </c>
      <c r="AB41">
        <v>-49</v>
      </c>
      <c r="AC41" t="s">
        <v>421</v>
      </c>
      <c r="AD41">
        <v>-90</v>
      </c>
      <c r="AE41" t="s">
        <v>13</v>
      </c>
      <c r="AF41">
        <v>-537</v>
      </c>
      <c r="AG41" t="s">
        <v>239</v>
      </c>
      <c r="AH41">
        <v>-76</v>
      </c>
      <c r="AI41" t="s">
        <v>178</v>
      </c>
      <c r="AJ41">
        <v>-5</v>
      </c>
      <c r="AK41" t="s">
        <v>197</v>
      </c>
      <c r="AL41">
        <v>-74</v>
      </c>
      <c r="AM41" t="s">
        <v>270</v>
      </c>
      <c r="AN41">
        <v>-8</v>
      </c>
    </row>
    <row r="42" spans="2:40" x14ac:dyDescent="0.25">
      <c r="B42" t="s">
        <v>228</v>
      </c>
      <c r="C42">
        <v>-176</v>
      </c>
      <c r="E42" t="s">
        <v>50</v>
      </c>
      <c r="F42">
        <v>-255</v>
      </c>
      <c r="H42" t="s">
        <v>228</v>
      </c>
      <c r="I42">
        <v>-216</v>
      </c>
      <c r="J42" t="s">
        <v>235</v>
      </c>
      <c r="K42">
        <v>-14</v>
      </c>
      <c r="L42" t="s">
        <v>270</v>
      </c>
      <c r="M42">
        <v>-6</v>
      </c>
      <c r="O42" t="s">
        <v>273</v>
      </c>
      <c r="P42">
        <v>-4</v>
      </c>
      <c r="Q42" t="s">
        <v>421</v>
      </c>
      <c r="R42">
        <v>-56</v>
      </c>
      <c r="S42" t="s">
        <v>13</v>
      </c>
      <c r="T42">
        <v>-1032</v>
      </c>
      <c r="U42" t="s">
        <v>239</v>
      </c>
      <c r="V42">
        <v>-43</v>
      </c>
      <c r="W42" t="s">
        <v>196</v>
      </c>
      <c r="X42">
        <v>-6</v>
      </c>
      <c r="Y42" t="s">
        <v>125</v>
      </c>
      <c r="Z42">
        <v>-1</v>
      </c>
      <c r="AA42" t="s">
        <v>1942</v>
      </c>
      <c r="AB42">
        <v>-1</v>
      </c>
      <c r="AC42" t="s">
        <v>427</v>
      </c>
      <c r="AD42">
        <v>-11.1</v>
      </c>
      <c r="AE42" t="s">
        <v>1114</v>
      </c>
      <c r="AF42">
        <v>-96</v>
      </c>
      <c r="AG42" t="s">
        <v>240</v>
      </c>
      <c r="AH42">
        <v>-97</v>
      </c>
      <c r="AI42" t="s">
        <v>73</v>
      </c>
      <c r="AJ42">
        <v>-62</v>
      </c>
      <c r="AK42" t="s">
        <v>1118</v>
      </c>
      <c r="AL42">
        <v>-6</v>
      </c>
      <c r="AM42" t="s">
        <v>273</v>
      </c>
      <c r="AN42">
        <v>-31</v>
      </c>
    </row>
    <row r="43" spans="2:40" x14ac:dyDescent="0.25">
      <c r="B43" t="s">
        <v>421</v>
      </c>
      <c r="C43">
        <v>-59</v>
      </c>
      <c r="E43" t="s">
        <v>414</v>
      </c>
      <c r="F43">
        <v>-1080</v>
      </c>
      <c r="H43" t="s">
        <v>421</v>
      </c>
      <c r="I43">
        <v>-90</v>
      </c>
      <c r="J43" t="s">
        <v>228</v>
      </c>
      <c r="K43">
        <v>-72</v>
      </c>
      <c r="L43" t="s">
        <v>273</v>
      </c>
      <c r="M43">
        <v>-18</v>
      </c>
      <c r="O43" t="s">
        <v>178</v>
      </c>
      <c r="P43">
        <v>-14</v>
      </c>
      <c r="Q43" t="s">
        <v>427</v>
      </c>
      <c r="R43">
        <v>-22</v>
      </c>
      <c r="S43" t="s">
        <v>718</v>
      </c>
      <c r="T43">
        <v>-87</v>
      </c>
      <c r="U43" t="s">
        <v>240</v>
      </c>
      <c r="V43">
        <v>-60</v>
      </c>
      <c r="W43" t="s">
        <v>178</v>
      </c>
      <c r="X43">
        <v>-3</v>
      </c>
      <c r="Y43" t="s">
        <v>1547</v>
      </c>
      <c r="Z43">
        <v>-1</v>
      </c>
      <c r="AA43" t="s">
        <v>7</v>
      </c>
      <c r="AB43">
        <v>-4</v>
      </c>
      <c r="AC43" t="s">
        <v>1974</v>
      </c>
      <c r="AD43">
        <v>-2</v>
      </c>
      <c r="AE43" t="s">
        <v>718</v>
      </c>
      <c r="AF43">
        <v>-10</v>
      </c>
      <c r="AG43" t="s">
        <v>197</v>
      </c>
      <c r="AH43">
        <v>-102</v>
      </c>
      <c r="AI43" t="s">
        <v>517</v>
      </c>
      <c r="AJ43">
        <v>-2</v>
      </c>
      <c r="AK43" t="s">
        <v>235</v>
      </c>
      <c r="AL43">
        <v>-52</v>
      </c>
      <c r="AM43" t="s">
        <v>196</v>
      </c>
      <c r="AN43">
        <v>-8</v>
      </c>
    </row>
    <row r="44" spans="2:40" x14ac:dyDescent="0.25">
      <c r="B44" t="s">
        <v>427</v>
      </c>
      <c r="C44">
        <v>-13.899999999999999</v>
      </c>
      <c r="E44" t="s">
        <v>591</v>
      </c>
      <c r="F44">
        <v>-560</v>
      </c>
      <c r="H44" t="s">
        <v>427</v>
      </c>
      <c r="I44">
        <v>-2</v>
      </c>
      <c r="J44" t="s">
        <v>421</v>
      </c>
      <c r="K44">
        <v>-40</v>
      </c>
      <c r="L44" t="s">
        <v>1113</v>
      </c>
      <c r="M44">
        <v>-1</v>
      </c>
      <c r="O44" t="s">
        <v>73</v>
      </c>
      <c r="P44">
        <v>-72</v>
      </c>
      <c r="Q44" t="s">
        <v>848</v>
      </c>
      <c r="R44">
        <v>-19</v>
      </c>
      <c r="S44" t="s">
        <v>385</v>
      </c>
      <c r="T44">
        <v>-100</v>
      </c>
      <c r="U44" t="s">
        <v>519</v>
      </c>
      <c r="V44">
        <v>-7</v>
      </c>
      <c r="W44" t="s">
        <v>73</v>
      </c>
      <c r="X44">
        <v>-45</v>
      </c>
      <c r="Y44" t="s">
        <v>381</v>
      </c>
      <c r="Z44">
        <v>-5</v>
      </c>
      <c r="AA44" t="s">
        <v>221</v>
      </c>
      <c r="AB44">
        <v>-1</v>
      </c>
      <c r="AC44" t="s">
        <v>1975</v>
      </c>
      <c r="AD44">
        <v>-2</v>
      </c>
      <c r="AE44" t="s">
        <v>385</v>
      </c>
      <c r="AF44">
        <v>-82</v>
      </c>
      <c r="AG44" t="s">
        <v>235</v>
      </c>
      <c r="AH44">
        <v>-99</v>
      </c>
      <c r="AI44" t="s">
        <v>785</v>
      </c>
      <c r="AJ44">
        <v>-152</v>
      </c>
      <c r="AK44" t="s">
        <v>228</v>
      </c>
      <c r="AL44">
        <v>-74</v>
      </c>
      <c r="AM44" t="s">
        <v>178</v>
      </c>
      <c r="AN44">
        <v>-8</v>
      </c>
    </row>
    <row r="45" spans="2:40" x14ac:dyDescent="0.25">
      <c r="B45" t="s">
        <v>7</v>
      </c>
      <c r="C45">
        <v>-4</v>
      </c>
      <c r="E45" t="s">
        <v>787</v>
      </c>
      <c r="F45">
        <v>-140</v>
      </c>
      <c r="H45" t="s">
        <v>848</v>
      </c>
      <c r="I45">
        <v>-8.25</v>
      </c>
      <c r="J45" t="s">
        <v>848</v>
      </c>
      <c r="K45">
        <v>-4</v>
      </c>
      <c r="L45" t="s">
        <v>196</v>
      </c>
      <c r="M45">
        <v>-6</v>
      </c>
      <c r="O45" t="s">
        <v>517</v>
      </c>
      <c r="P45">
        <v>-6</v>
      </c>
      <c r="Q45" t="s">
        <v>966</v>
      </c>
      <c r="R45">
        <v>-10</v>
      </c>
      <c r="S45" t="s">
        <v>239</v>
      </c>
      <c r="T45">
        <v>-36</v>
      </c>
      <c r="U45" t="s">
        <v>197</v>
      </c>
      <c r="V45">
        <v>-178</v>
      </c>
      <c r="W45" t="s">
        <v>785</v>
      </c>
      <c r="X45">
        <v>-86</v>
      </c>
      <c r="Y45" t="s">
        <v>380</v>
      </c>
      <c r="Z45">
        <v>-5</v>
      </c>
      <c r="AA45" t="s">
        <v>968</v>
      </c>
      <c r="AB45">
        <v>-1</v>
      </c>
      <c r="AC45" t="s">
        <v>125</v>
      </c>
      <c r="AD45">
        <v>-3</v>
      </c>
      <c r="AE45" t="s">
        <v>1115</v>
      </c>
      <c r="AF45">
        <v>-30</v>
      </c>
      <c r="AG45" t="s">
        <v>228</v>
      </c>
      <c r="AH45">
        <v>-134</v>
      </c>
      <c r="AI45" t="s">
        <v>179</v>
      </c>
      <c r="AJ45">
        <v>-18</v>
      </c>
      <c r="AK45" t="s">
        <v>421</v>
      </c>
      <c r="AL45">
        <v>-189</v>
      </c>
      <c r="AM45" t="s">
        <v>73</v>
      </c>
      <c r="AN45">
        <v>-64</v>
      </c>
    </row>
    <row r="46" spans="2:40" x14ac:dyDescent="0.25">
      <c r="B46" t="s">
        <v>221</v>
      </c>
      <c r="C46">
        <v>-8</v>
      </c>
      <c r="E46" t="s">
        <v>198</v>
      </c>
      <c r="F46">
        <v>-192</v>
      </c>
      <c r="H46" t="s">
        <v>7</v>
      </c>
      <c r="I46">
        <v>-4</v>
      </c>
      <c r="J46" t="s">
        <v>966</v>
      </c>
      <c r="K46">
        <v>-16</v>
      </c>
      <c r="L46" t="s">
        <v>178</v>
      </c>
      <c r="M46">
        <v>-16</v>
      </c>
      <c r="O46" t="s">
        <v>785</v>
      </c>
      <c r="P46">
        <v>-60</v>
      </c>
      <c r="Q46" t="s">
        <v>125</v>
      </c>
      <c r="R46">
        <v>-2</v>
      </c>
      <c r="S46" t="s">
        <v>240</v>
      </c>
      <c r="T46">
        <v>-47</v>
      </c>
      <c r="U46" t="s">
        <v>235</v>
      </c>
      <c r="V46">
        <v>-62</v>
      </c>
      <c r="W46" t="s">
        <v>179</v>
      </c>
      <c r="X46">
        <v>-5.7</v>
      </c>
      <c r="Y46" t="s">
        <v>19</v>
      </c>
      <c r="Z46">
        <v>-1</v>
      </c>
      <c r="AA46" t="s">
        <v>381</v>
      </c>
      <c r="AB46">
        <v>-2</v>
      </c>
      <c r="AC46" t="s">
        <v>381</v>
      </c>
      <c r="AD46">
        <v>-3</v>
      </c>
      <c r="AE46" t="s">
        <v>239</v>
      </c>
      <c r="AF46">
        <v>-32</v>
      </c>
      <c r="AG46" t="s">
        <v>421</v>
      </c>
      <c r="AH46">
        <v>-130</v>
      </c>
      <c r="AI46" t="s">
        <v>13</v>
      </c>
      <c r="AJ46">
        <v>-1266</v>
      </c>
      <c r="AK46" t="s">
        <v>427</v>
      </c>
      <c r="AL46">
        <v>-2</v>
      </c>
      <c r="AM46" t="s">
        <v>517</v>
      </c>
      <c r="AN46">
        <v>-2</v>
      </c>
    </row>
    <row r="47" spans="2:40" x14ac:dyDescent="0.25">
      <c r="B47" t="s">
        <v>381</v>
      </c>
      <c r="C47">
        <v>-2</v>
      </c>
      <c r="E47" t="s">
        <v>600</v>
      </c>
      <c r="F47">
        <v>-3</v>
      </c>
      <c r="H47" t="s">
        <v>221</v>
      </c>
      <c r="I47">
        <v>-12</v>
      </c>
      <c r="J47" t="s">
        <v>967</v>
      </c>
      <c r="K47">
        <v>-24</v>
      </c>
      <c r="L47" t="s">
        <v>73</v>
      </c>
      <c r="M47">
        <v>-89</v>
      </c>
      <c r="O47" t="s">
        <v>179</v>
      </c>
      <c r="P47">
        <v>-37.5</v>
      </c>
      <c r="Q47" t="s">
        <v>1119</v>
      </c>
      <c r="R47">
        <v>-48</v>
      </c>
      <c r="S47" t="s">
        <v>519</v>
      </c>
      <c r="T47">
        <v>-2</v>
      </c>
      <c r="U47" t="s">
        <v>228</v>
      </c>
      <c r="V47">
        <v>-92</v>
      </c>
      <c r="W47" t="s">
        <v>13</v>
      </c>
      <c r="X47">
        <v>-822</v>
      </c>
      <c r="Y47" t="s">
        <v>336</v>
      </c>
      <c r="Z47">
        <v>-12</v>
      </c>
      <c r="AA47" t="s">
        <v>222</v>
      </c>
      <c r="AB47">
        <v>-8</v>
      </c>
      <c r="AC47" t="s">
        <v>380</v>
      </c>
      <c r="AD47">
        <v>-3</v>
      </c>
      <c r="AE47" t="s">
        <v>240</v>
      </c>
      <c r="AF47">
        <v>-40</v>
      </c>
      <c r="AG47" t="s">
        <v>427</v>
      </c>
      <c r="AH47">
        <v>-18.54</v>
      </c>
      <c r="AI47" t="s">
        <v>385</v>
      </c>
      <c r="AJ47">
        <v>-124</v>
      </c>
      <c r="AK47" t="s">
        <v>848</v>
      </c>
      <c r="AL47">
        <v>-20</v>
      </c>
      <c r="AM47" t="s">
        <v>785</v>
      </c>
      <c r="AN47">
        <v>-84</v>
      </c>
    </row>
    <row r="48" spans="2:40" x14ac:dyDescent="0.25">
      <c r="B48" t="s">
        <v>222</v>
      </c>
      <c r="C48">
        <v>-64</v>
      </c>
      <c r="E48" t="s">
        <v>54</v>
      </c>
      <c r="F48">
        <v>-268</v>
      </c>
      <c r="H48" t="s">
        <v>381</v>
      </c>
      <c r="I48">
        <v>-18</v>
      </c>
      <c r="J48" t="s">
        <v>968</v>
      </c>
      <c r="K48">
        <v>-6</v>
      </c>
      <c r="L48" t="s">
        <v>517</v>
      </c>
      <c r="M48">
        <v>-8</v>
      </c>
      <c r="O48" t="s">
        <v>719</v>
      </c>
      <c r="P48">
        <v>-711</v>
      </c>
      <c r="Q48" t="s">
        <v>1547</v>
      </c>
      <c r="R48">
        <v>-5</v>
      </c>
      <c r="S48" t="s">
        <v>197</v>
      </c>
      <c r="T48">
        <v>-114</v>
      </c>
      <c r="U48" t="s">
        <v>421</v>
      </c>
      <c r="V48">
        <v>-124</v>
      </c>
      <c r="W48" t="s">
        <v>385</v>
      </c>
      <c r="X48">
        <v>-54</v>
      </c>
      <c r="Y48" t="s">
        <v>50</v>
      </c>
      <c r="Z48">
        <v>-6</v>
      </c>
      <c r="AA48" t="s">
        <v>1943</v>
      </c>
      <c r="AB48">
        <v>-2</v>
      </c>
      <c r="AC48" t="s">
        <v>336</v>
      </c>
      <c r="AD48">
        <v>-8</v>
      </c>
      <c r="AE48" t="s">
        <v>197</v>
      </c>
      <c r="AF48">
        <v>-60</v>
      </c>
      <c r="AG48" t="s">
        <v>7</v>
      </c>
      <c r="AH48">
        <v>-8</v>
      </c>
      <c r="AI48" t="s">
        <v>239</v>
      </c>
      <c r="AJ48">
        <v>-72</v>
      </c>
      <c r="AK48" t="s">
        <v>7</v>
      </c>
      <c r="AL48">
        <v>-38</v>
      </c>
      <c r="AM48" t="s">
        <v>179</v>
      </c>
      <c r="AN48">
        <v>-22.5</v>
      </c>
    </row>
    <row r="49" spans="2:40" x14ac:dyDescent="0.25">
      <c r="B49" t="s">
        <v>380</v>
      </c>
      <c r="C49">
        <v>-2</v>
      </c>
      <c r="E49" t="s">
        <v>616</v>
      </c>
      <c r="F49">
        <v>-4</v>
      </c>
      <c r="H49" t="s">
        <v>222</v>
      </c>
      <c r="I49">
        <v>-80</v>
      </c>
      <c r="J49" t="s">
        <v>222</v>
      </c>
      <c r="K49">
        <v>-24</v>
      </c>
      <c r="L49" t="s">
        <v>785</v>
      </c>
      <c r="M49">
        <v>-72</v>
      </c>
      <c r="O49" t="s">
        <v>1114</v>
      </c>
      <c r="P49">
        <v>-42</v>
      </c>
      <c r="Q49" t="s">
        <v>786</v>
      </c>
      <c r="R49">
        <v>-32</v>
      </c>
      <c r="S49" t="s">
        <v>235</v>
      </c>
      <c r="T49">
        <v>-42</v>
      </c>
      <c r="U49" t="s">
        <v>427</v>
      </c>
      <c r="V49">
        <v>-13</v>
      </c>
      <c r="W49" t="s">
        <v>239</v>
      </c>
      <c r="X49">
        <v>-28</v>
      </c>
      <c r="Y49" t="s">
        <v>414</v>
      </c>
      <c r="Z49">
        <v>-200</v>
      </c>
      <c r="AA49" t="s">
        <v>380</v>
      </c>
      <c r="AB49">
        <v>-2</v>
      </c>
      <c r="AC49" t="s">
        <v>50</v>
      </c>
      <c r="AD49">
        <v>-112</v>
      </c>
      <c r="AE49" t="s">
        <v>235</v>
      </c>
      <c r="AF49">
        <v>-52</v>
      </c>
      <c r="AG49" t="s">
        <v>125</v>
      </c>
      <c r="AH49">
        <v>-9</v>
      </c>
      <c r="AI49" t="s">
        <v>240</v>
      </c>
      <c r="AJ49">
        <v>-107</v>
      </c>
      <c r="AK49" t="s">
        <v>125</v>
      </c>
      <c r="AL49">
        <v>-5</v>
      </c>
      <c r="AM49" t="s">
        <v>13</v>
      </c>
      <c r="AN49">
        <v>-575</v>
      </c>
    </row>
    <row r="50" spans="2:40" x14ac:dyDescent="0.25">
      <c r="B50" t="s">
        <v>19</v>
      </c>
      <c r="C50">
        <v>-2.5</v>
      </c>
      <c r="E50" t="s">
        <v>283</v>
      </c>
      <c r="F50">
        <v>-272</v>
      </c>
      <c r="H50" t="s">
        <v>380</v>
      </c>
      <c r="I50">
        <v>-18</v>
      </c>
      <c r="J50" t="s">
        <v>19</v>
      </c>
      <c r="K50">
        <v>-0.3</v>
      </c>
      <c r="L50" t="s">
        <v>179</v>
      </c>
      <c r="M50">
        <v>-31</v>
      </c>
      <c r="O50" t="s">
        <v>718</v>
      </c>
      <c r="P50">
        <v>-444</v>
      </c>
      <c r="Q50" t="s">
        <v>336</v>
      </c>
      <c r="R50">
        <v>-19</v>
      </c>
      <c r="S50" t="s">
        <v>228</v>
      </c>
      <c r="T50">
        <v>-104</v>
      </c>
      <c r="U50" t="s">
        <v>848</v>
      </c>
      <c r="V50">
        <v>-9.5</v>
      </c>
      <c r="W50" t="s">
        <v>240</v>
      </c>
      <c r="X50">
        <v>-30</v>
      </c>
      <c r="Y50" t="s">
        <v>591</v>
      </c>
      <c r="Z50">
        <v>-200</v>
      </c>
      <c r="AA50" t="s">
        <v>19</v>
      </c>
      <c r="AB50">
        <v>-2</v>
      </c>
      <c r="AC50" t="s">
        <v>414</v>
      </c>
      <c r="AD50">
        <v>-110.00000000000001</v>
      </c>
      <c r="AE50" t="s">
        <v>228</v>
      </c>
      <c r="AF50">
        <v>-140</v>
      </c>
      <c r="AG50" t="s">
        <v>221</v>
      </c>
      <c r="AH50">
        <v>-1</v>
      </c>
      <c r="AI50" t="s">
        <v>197</v>
      </c>
      <c r="AJ50">
        <v>-82</v>
      </c>
      <c r="AK50" t="s">
        <v>221</v>
      </c>
      <c r="AL50">
        <v>-1</v>
      </c>
      <c r="AM50" t="s">
        <v>385</v>
      </c>
      <c r="AN50">
        <v>-34</v>
      </c>
    </row>
    <row r="51" spans="2:40" x14ac:dyDescent="0.25">
      <c r="B51" t="s">
        <v>336</v>
      </c>
      <c r="C51">
        <v>-3</v>
      </c>
      <c r="E51" t="s">
        <v>60</v>
      </c>
      <c r="F51">
        <v>-65</v>
      </c>
      <c r="H51" t="s">
        <v>19</v>
      </c>
      <c r="I51">
        <v>-0.3</v>
      </c>
      <c r="J51" t="s">
        <v>336</v>
      </c>
      <c r="K51">
        <v>-10</v>
      </c>
      <c r="L51" t="s">
        <v>13</v>
      </c>
      <c r="M51">
        <v>-1059</v>
      </c>
      <c r="O51" t="s">
        <v>385</v>
      </c>
      <c r="P51">
        <v>-24</v>
      </c>
      <c r="Q51" t="s">
        <v>50</v>
      </c>
      <c r="R51">
        <v>-84</v>
      </c>
      <c r="S51" t="s">
        <v>421</v>
      </c>
      <c r="T51">
        <v>-425</v>
      </c>
      <c r="U51" t="s">
        <v>7</v>
      </c>
      <c r="V51">
        <v>-8</v>
      </c>
      <c r="W51" t="s">
        <v>1810</v>
      </c>
      <c r="X51">
        <v>-3</v>
      </c>
      <c r="Y51" t="s">
        <v>600</v>
      </c>
      <c r="Z51">
        <v>-3</v>
      </c>
      <c r="AA51" t="s">
        <v>786</v>
      </c>
      <c r="AB51">
        <v>-15</v>
      </c>
      <c r="AC51" t="s">
        <v>591</v>
      </c>
      <c r="AD51">
        <v>-350</v>
      </c>
      <c r="AE51" t="s">
        <v>421</v>
      </c>
      <c r="AF51">
        <v>-146</v>
      </c>
      <c r="AG51" t="s">
        <v>2039</v>
      </c>
      <c r="AH51">
        <v>-5</v>
      </c>
      <c r="AI51" t="s">
        <v>1118</v>
      </c>
      <c r="AJ51">
        <v>-3</v>
      </c>
      <c r="AK51" t="s">
        <v>2039</v>
      </c>
      <c r="AL51">
        <v>-7</v>
      </c>
      <c r="AM51" t="s">
        <v>1115</v>
      </c>
      <c r="AN51">
        <v>-12</v>
      </c>
    </row>
    <row r="52" spans="2:40" x14ac:dyDescent="0.25">
      <c r="B52" t="s">
        <v>767</v>
      </c>
      <c r="C52">
        <v>-60</v>
      </c>
      <c r="E52" t="s">
        <v>218</v>
      </c>
      <c r="F52">
        <v>-16</v>
      </c>
      <c r="H52" t="s">
        <v>786</v>
      </c>
      <c r="I52">
        <v>-14</v>
      </c>
      <c r="J52" t="s">
        <v>767</v>
      </c>
      <c r="K52">
        <v>-180</v>
      </c>
      <c r="L52" t="s">
        <v>1114</v>
      </c>
      <c r="M52">
        <v>-60</v>
      </c>
      <c r="O52" t="s">
        <v>1115</v>
      </c>
      <c r="P52">
        <v>-24</v>
      </c>
      <c r="Q52" t="s">
        <v>414</v>
      </c>
      <c r="R52">
        <v>-440</v>
      </c>
      <c r="S52" t="s">
        <v>427</v>
      </c>
      <c r="T52">
        <v>-6</v>
      </c>
      <c r="U52" t="s">
        <v>125</v>
      </c>
      <c r="V52">
        <v>-2</v>
      </c>
      <c r="W52" t="s">
        <v>519</v>
      </c>
      <c r="X52">
        <v>-22</v>
      </c>
      <c r="Y52" t="s">
        <v>969</v>
      </c>
      <c r="Z52">
        <v>-8</v>
      </c>
      <c r="AA52" t="s">
        <v>336</v>
      </c>
      <c r="AB52">
        <v>-9</v>
      </c>
      <c r="AC52" t="s">
        <v>658</v>
      </c>
      <c r="AD52">
        <v>-110.00000000000001</v>
      </c>
      <c r="AE52" t="s">
        <v>427</v>
      </c>
      <c r="AF52">
        <v>-5.58</v>
      </c>
      <c r="AG52" t="s">
        <v>968</v>
      </c>
      <c r="AH52">
        <v>-1</v>
      </c>
      <c r="AI52" t="s">
        <v>235</v>
      </c>
      <c r="AJ52">
        <v>-76</v>
      </c>
      <c r="AK52" t="s">
        <v>968</v>
      </c>
      <c r="AL52">
        <v>-3</v>
      </c>
      <c r="AM52" t="s">
        <v>239</v>
      </c>
      <c r="AN52">
        <v>-29</v>
      </c>
    </row>
    <row r="53" spans="2:40" x14ac:dyDescent="0.25">
      <c r="B53" t="s">
        <v>50</v>
      </c>
      <c r="C53">
        <v>-240</v>
      </c>
      <c r="E53" t="s">
        <v>111</v>
      </c>
      <c r="F53">
        <v>-920</v>
      </c>
      <c r="H53" t="s">
        <v>50</v>
      </c>
      <c r="I53">
        <v>-34</v>
      </c>
      <c r="J53" t="s">
        <v>50</v>
      </c>
      <c r="K53">
        <v>-46</v>
      </c>
      <c r="L53" t="s">
        <v>718</v>
      </c>
      <c r="M53">
        <v>-306</v>
      </c>
      <c r="O53" t="s">
        <v>240</v>
      </c>
      <c r="P53">
        <v>-18</v>
      </c>
      <c r="Q53" t="s">
        <v>657</v>
      </c>
      <c r="R53">
        <v>-476.66640000000001</v>
      </c>
      <c r="S53" t="s">
        <v>125</v>
      </c>
      <c r="T53">
        <v>-4</v>
      </c>
      <c r="U53" t="s">
        <v>221</v>
      </c>
      <c r="V53">
        <v>-2</v>
      </c>
      <c r="W53" t="s">
        <v>197</v>
      </c>
      <c r="X53">
        <v>-162</v>
      </c>
      <c r="Y53" t="s">
        <v>1647</v>
      </c>
      <c r="Z53">
        <v>-1</v>
      </c>
      <c r="AA53" t="s">
        <v>50</v>
      </c>
      <c r="AB53">
        <v>-32</v>
      </c>
      <c r="AC53" t="s">
        <v>198</v>
      </c>
      <c r="AD53">
        <v>-16</v>
      </c>
      <c r="AE53" t="s">
        <v>2038</v>
      </c>
      <c r="AF53">
        <v>-16</v>
      </c>
      <c r="AG53" t="s">
        <v>381</v>
      </c>
      <c r="AH53">
        <v>-2</v>
      </c>
      <c r="AI53" t="s">
        <v>228</v>
      </c>
      <c r="AJ53">
        <v>-178</v>
      </c>
      <c r="AK53" t="s">
        <v>381</v>
      </c>
      <c r="AL53">
        <v>-5</v>
      </c>
      <c r="AM53" t="s">
        <v>518</v>
      </c>
      <c r="AN53">
        <v>-64</v>
      </c>
    </row>
    <row r="54" spans="2:40" x14ac:dyDescent="0.25">
      <c r="B54" t="s">
        <v>520</v>
      </c>
      <c r="C54">
        <v>-8</v>
      </c>
      <c r="E54" t="s">
        <v>112</v>
      </c>
      <c r="F54">
        <v>-275</v>
      </c>
      <c r="H54" t="s">
        <v>414</v>
      </c>
      <c r="I54">
        <v>-463</v>
      </c>
      <c r="J54" t="s">
        <v>198</v>
      </c>
      <c r="K54">
        <v>-48</v>
      </c>
      <c r="L54" t="s">
        <v>385</v>
      </c>
      <c r="M54">
        <v>-100</v>
      </c>
      <c r="O54" t="s">
        <v>1116</v>
      </c>
      <c r="P54">
        <v>-72</v>
      </c>
      <c r="Q54" t="s">
        <v>591</v>
      </c>
      <c r="R54">
        <v>-769.66639999999995</v>
      </c>
      <c r="S54" t="s">
        <v>221</v>
      </c>
      <c r="T54">
        <v>-1</v>
      </c>
      <c r="U54" t="s">
        <v>967</v>
      </c>
      <c r="V54">
        <v>-2</v>
      </c>
      <c r="W54" t="s">
        <v>235</v>
      </c>
      <c r="X54">
        <v>-36</v>
      </c>
      <c r="Y54" t="s">
        <v>54</v>
      </c>
      <c r="Z54">
        <v>-27</v>
      </c>
      <c r="AA54" t="s">
        <v>414</v>
      </c>
      <c r="AB54">
        <v>-42</v>
      </c>
      <c r="AC54" t="s">
        <v>849</v>
      </c>
      <c r="AD54">
        <v>-2</v>
      </c>
      <c r="AE54" t="s">
        <v>125</v>
      </c>
      <c r="AF54">
        <v>-4</v>
      </c>
      <c r="AG54" t="s">
        <v>222</v>
      </c>
      <c r="AH54">
        <v>-5</v>
      </c>
      <c r="AI54" t="s">
        <v>421</v>
      </c>
      <c r="AJ54">
        <v>-162</v>
      </c>
      <c r="AK54" t="s">
        <v>222</v>
      </c>
      <c r="AL54">
        <v>-8</v>
      </c>
      <c r="AM54" t="s">
        <v>240</v>
      </c>
      <c r="AN54">
        <v>-70</v>
      </c>
    </row>
    <row r="55" spans="2:40" x14ac:dyDescent="0.25">
      <c r="B55" t="s">
        <v>414</v>
      </c>
      <c r="C55">
        <v>-944</v>
      </c>
      <c r="E55" t="s">
        <v>110</v>
      </c>
      <c r="F55">
        <v>-2560</v>
      </c>
      <c r="H55" t="s">
        <v>591</v>
      </c>
      <c r="I55">
        <v>-1552.5</v>
      </c>
      <c r="J55" t="s">
        <v>600</v>
      </c>
      <c r="K55">
        <v>-8</v>
      </c>
      <c r="L55" t="s">
        <v>1115</v>
      </c>
      <c r="M55">
        <v>-20</v>
      </c>
      <c r="O55" t="s">
        <v>1117</v>
      </c>
      <c r="P55">
        <v>-12</v>
      </c>
      <c r="Q55" t="s">
        <v>198</v>
      </c>
      <c r="R55">
        <v>-416</v>
      </c>
      <c r="S55" t="s">
        <v>967</v>
      </c>
      <c r="T55">
        <v>-5</v>
      </c>
      <c r="U55" t="s">
        <v>968</v>
      </c>
      <c r="V55">
        <v>-3</v>
      </c>
      <c r="W55" t="s">
        <v>228</v>
      </c>
      <c r="X55">
        <v>-64</v>
      </c>
      <c r="Y55" t="s">
        <v>55</v>
      </c>
      <c r="Z55">
        <v>-12</v>
      </c>
      <c r="AA55" t="s">
        <v>1944</v>
      </c>
      <c r="AB55">
        <v>-20</v>
      </c>
      <c r="AC55" t="s">
        <v>1123</v>
      </c>
      <c r="AD55">
        <v>-1</v>
      </c>
      <c r="AE55" t="s">
        <v>2039</v>
      </c>
      <c r="AF55">
        <v>-5</v>
      </c>
      <c r="AG55" t="s">
        <v>380</v>
      </c>
      <c r="AH55">
        <v>-2</v>
      </c>
      <c r="AI55" t="s">
        <v>427</v>
      </c>
      <c r="AJ55">
        <v>-16.099999999999998</v>
      </c>
      <c r="AK55" t="s">
        <v>380</v>
      </c>
      <c r="AL55">
        <v>-5</v>
      </c>
      <c r="AM55" t="s">
        <v>519</v>
      </c>
      <c r="AN55">
        <v>-35</v>
      </c>
    </row>
    <row r="56" spans="2:40" x14ac:dyDescent="0.25">
      <c r="B56" t="s">
        <v>591</v>
      </c>
      <c r="C56">
        <v>-745</v>
      </c>
      <c r="E56" t="s">
        <v>40</v>
      </c>
      <c r="F56">
        <v>-22</v>
      </c>
      <c r="H56" t="s">
        <v>198</v>
      </c>
      <c r="I56">
        <v>-150</v>
      </c>
      <c r="J56" t="s">
        <v>496</v>
      </c>
      <c r="K56">
        <v>-3</v>
      </c>
      <c r="L56" t="s">
        <v>239</v>
      </c>
      <c r="M56">
        <v>-24</v>
      </c>
      <c r="O56" t="s">
        <v>519</v>
      </c>
      <c r="P56">
        <v>-24</v>
      </c>
      <c r="Q56" t="s">
        <v>1123</v>
      </c>
      <c r="R56">
        <v>-8</v>
      </c>
      <c r="S56" t="s">
        <v>381</v>
      </c>
      <c r="T56">
        <v>-4</v>
      </c>
      <c r="U56" t="s">
        <v>381</v>
      </c>
      <c r="V56">
        <v>-7</v>
      </c>
      <c r="W56" t="s">
        <v>421</v>
      </c>
      <c r="X56">
        <v>-140</v>
      </c>
      <c r="Y56" t="s">
        <v>283</v>
      </c>
      <c r="Z56">
        <v>-42</v>
      </c>
      <c r="AA56" t="s">
        <v>591</v>
      </c>
      <c r="AB56">
        <v>-100</v>
      </c>
      <c r="AC56" t="s">
        <v>338</v>
      </c>
      <c r="AD56">
        <v>-6</v>
      </c>
      <c r="AE56" t="s">
        <v>19</v>
      </c>
      <c r="AF56">
        <v>-1.2</v>
      </c>
      <c r="AG56" t="s">
        <v>19</v>
      </c>
      <c r="AH56">
        <v>-4</v>
      </c>
      <c r="AI56" t="s">
        <v>7</v>
      </c>
      <c r="AJ56">
        <v>-12</v>
      </c>
      <c r="AK56" t="s">
        <v>19</v>
      </c>
      <c r="AL56">
        <v>-1.2</v>
      </c>
      <c r="AM56" t="s">
        <v>197</v>
      </c>
      <c r="AN56">
        <v>-54</v>
      </c>
    </row>
    <row r="57" spans="2:40" x14ac:dyDescent="0.25">
      <c r="B57" t="s">
        <v>198</v>
      </c>
      <c r="C57">
        <v>-132</v>
      </c>
      <c r="E57" t="s">
        <v>287</v>
      </c>
      <c r="F57">
        <v>-80</v>
      </c>
      <c r="H57" t="s">
        <v>849</v>
      </c>
      <c r="I57">
        <v>-1</v>
      </c>
      <c r="J57" t="s">
        <v>969</v>
      </c>
      <c r="K57">
        <v>-13</v>
      </c>
      <c r="L57" t="s">
        <v>240</v>
      </c>
      <c r="M57">
        <v>-40</v>
      </c>
      <c r="O57" t="s">
        <v>197</v>
      </c>
      <c r="P57">
        <v>-64</v>
      </c>
      <c r="Q57" t="s">
        <v>496</v>
      </c>
      <c r="R57">
        <v>-16</v>
      </c>
      <c r="S57" t="s">
        <v>222</v>
      </c>
      <c r="T57">
        <v>-5</v>
      </c>
      <c r="U57" t="s">
        <v>222</v>
      </c>
      <c r="V57">
        <v>-13</v>
      </c>
      <c r="W57" t="s">
        <v>427</v>
      </c>
      <c r="X57">
        <v>-12</v>
      </c>
      <c r="Y57" t="s">
        <v>1881</v>
      </c>
      <c r="Z57">
        <v>-219</v>
      </c>
      <c r="AA57" t="s">
        <v>198</v>
      </c>
      <c r="AB57">
        <v>-12</v>
      </c>
      <c r="AC57" t="s">
        <v>600</v>
      </c>
      <c r="AD57">
        <v>-16</v>
      </c>
      <c r="AE57" t="s">
        <v>336</v>
      </c>
      <c r="AF57">
        <v>-20</v>
      </c>
      <c r="AG57" t="s">
        <v>786</v>
      </c>
      <c r="AH57">
        <v>-7</v>
      </c>
      <c r="AI57" t="s">
        <v>125</v>
      </c>
      <c r="AJ57">
        <v>-5</v>
      </c>
      <c r="AK57" t="s">
        <v>336</v>
      </c>
      <c r="AL57">
        <v>-19</v>
      </c>
      <c r="AM57" t="s">
        <v>235</v>
      </c>
      <c r="AN57">
        <v>-76</v>
      </c>
    </row>
    <row r="58" spans="2:40" x14ac:dyDescent="0.25">
      <c r="B58" t="s">
        <v>521</v>
      </c>
      <c r="C58">
        <v>-2</v>
      </c>
      <c r="E58" t="s">
        <v>788</v>
      </c>
      <c r="F58">
        <v>-2</v>
      </c>
      <c r="H58" t="s">
        <v>496</v>
      </c>
      <c r="I58">
        <v>-8</v>
      </c>
      <c r="J58" t="s">
        <v>54</v>
      </c>
      <c r="K58">
        <v>-36</v>
      </c>
      <c r="L58" t="s">
        <v>1116</v>
      </c>
      <c r="M58">
        <v>-72</v>
      </c>
      <c r="O58" t="s">
        <v>965</v>
      </c>
      <c r="P58">
        <v>-6</v>
      </c>
      <c r="Q58" t="s">
        <v>720</v>
      </c>
      <c r="R58">
        <v>-26</v>
      </c>
      <c r="S58" t="s">
        <v>380</v>
      </c>
      <c r="T58">
        <v>-4</v>
      </c>
      <c r="U58" t="s">
        <v>380</v>
      </c>
      <c r="V58">
        <v>-7</v>
      </c>
      <c r="W58" t="s">
        <v>848</v>
      </c>
      <c r="X58">
        <v>-4.5</v>
      </c>
      <c r="Y58" t="s">
        <v>60</v>
      </c>
      <c r="Z58">
        <v>-75</v>
      </c>
      <c r="AA58" t="s">
        <v>600</v>
      </c>
      <c r="AB58">
        <v>-5</v>
      </c>
      <c r="AC58" t="s">
        <v>496</v>
      </c>
      <c r="AD58">
        <v>-2</v>
      </c>
      <c r="AE58" t="s">
        <v>50</v>
      </c>
      <c r="AF58">
        <v>-258</v>
      </c>
      <c r="AG58" t="s">
        <v>336</v>
      </c>
      <c r="AH58">
        <v>-11</v>
      </c>
      <c r="AI58" t="s">
        <v>221</v>
      </c>
      <c r="AJ58">
        <v>-1</v>
      </c>
      <c r="AK58" t="s">
        <v>50</v>
      </c>
      <c r="AL58">
        <v>-50</v>
      </c>
      <c r="AM58" t="s">
        <v>228</v>
      </c>
      <c r="AN58">
        <v>-112</v>
      </c>
    </row>
    <row r="59" spans="2:40" x14ac:dyDescent="0.25">
      <c r="B59" t="s">
        <v>600</v>
      </c>
      <c r="C59">
        <v>-3</v>
      </c>
      <c r="E59" t="s">
        <v>67</v>
      </c>
      <c r="F59">
        <v>-22</v>
      </c>
      <c r="H59" t="s">
        <v>54</v>
      </c>
      <c r="I59">
        <v>-120</v>
      </c>
      <c r="J59" t="s">
        <v>55</v>
      </c>
      <c r="K59">
        <v>-45</v>
      </c>
      <c r="L59" t="s">
        <v>1117</v>
      </c>
      <c r="M59">
        <v>-6</v>
      </c>
      <c r="O59" t="s">
        <v>235</v>
      </c>
      <c r="P59">
        <v>-117.8</v>
      </c>
      <c r="Q59" t="s">
        <v>721</v>
      </c>
      <c r="R59">
        <v>-69</v>
      </c>
      <c r="S59" t="s">
        <v>786</v>
      </c>
      <c r="T59">
        <v>-7</v>
      </c>
      <c r="U59" t="s">
        <v>19</v>
      </c>
      <c r="V59">
        <v>-22.3</v>
      </c>
      <c r="W59" t="s">
        <v>125</v>
      </c>
      <c r="X59">
        <v>-3</v>
      </c>
      <c r="Y59" t="s">
        <v>218</v>
      </c>
      <c r="Z59">
        <v>-5</v>
      </c>
      <c r="AA59" t="s">
        <v>496</v>
      </c>
      <c r="AB59">
        <v>-1</v>
      </c>
      <c r="AC59" t="s">
        <v>54</v>
      </c>
      <c r="AD59">
        <v>-15</v>
      </c>
      <c r="AE59" t="s">
        <v>414</v>
      </c>
      <c r="AF59">
        <v>-220</v>
      </c>
      <c r="AG59" t="s">
        <v>50</v>
      </c>
      <c r="AH59">
        <v>-187</v>
      </c>
      <c r="AI59" t="s">
        <v>381</v>
      </c>
      <c r="AJ59">
        <v>-2</v>
      </c>
      <c r="AK59" t="s">
        <v>414</v>
      </c>
      <c r="AL59">
        <v>-630</v>
      </c>
      <c r="AM59" t="s">
        <v>421</v>
      </c>
      <c r="AN59">
        <v>-140</v>
      </c>
    </row>
    <row r="60" spans="2:40" x14ac:dyDescent="0.25">
      <c r="B60" t="s">
        <v>21</v>
      </c>
      <c r="C60">
        <v>-2</v>
      </c>
      <c r="E60" t="s">
        <v>289</v>
      </c>
      <c r="F60">
        <v>-72</v>
      </c>
      <c r="H60" t="s">
        <v>850</v>
      </c>
      <c r="I60">
        <v>-8</v>
      </c>
      <c r="J60" t="s">
        <v>283</v>
      </c>
      <c r="K60">
        <v>-45</v>
      </c>
      <c r="L60" t="s">
        <v>519</v>
      </c>
      <c r="M60">
        <v>-28</v>
      </c>
      <c r="O60" t="s">
        <v>228</v>
      </c>
      <c r="P60">
        <v>-212</v>
      </c>
      <c r="Q60" t="s">
        <v>1548</v>
      </c>
      <c r="R60">
        <v>-140</v>
      </c>
      <c r="S60" t="s">
        <v>336</v>
      </c>
      <c r="T60">
        <v>-18</v>
      </c>
      <c r="U60" t="s">
        <v>1390</v>
      </c>
      <c r="V60">
        <v>-7</v>
      </c>
      <c r="W60" t="s">
        <v>221</v>
      </c>
      <c r="X60">
        <v>-1</v>
      </c>
      <c r="Y60" t="s">
        <v>111</v>
      </c>
      <c r="Z60">
        <v>-300</v>
      </c>
      <c r="AA60" t="s">
        <v>54</v>
      </c>
      <c r="AB60">
        <v>-5</v>
      </c>
      <c r="AC60" t="s">
        <v>55</v>
      </c>
      <c r="AD60">
        <v>-35</v>
      </c>
      <c r="AE60" t="s">
        <v>591</v>
      </c>
      <c r="AF60">
        <v>-233</v>
      </c>
      <c r="AG60" t="s">
        <v>414</v>
      </c>
      <c r="AH60">
        <v>-330</v>
      </c>
      <c r="AI60" t="s">
        <v>222</v>
      </c>
      <c r="AJ60">
        <v>-5</v>
      </c>
      <c r="AK60" t="s">
        <v>591</v>
      </c>
      <c r="AL60">
        <v>-1247</v>
      </c>
      <c r="AM60" t="s">
        <v>1942</v>
      </c>
      <c r="AN60">
        <v>-4</v>
      </c>
    </row>
    <row r="61" spans="2:40" x14ac:dyDescent="0.25">
      <c r="B61" t="s">
        <v>54</v>
      </c>
      <c r="C61">
        <v>-384</v>
      </c>
      <c r="E61" t="s">
        <v>105</v>
      </c>
      <c r="F61">
        <v>-80</v>
      </c>
      <c r="H61" t="s">
        <v>283</v>
      </c>
      <c r="I61">
        <v>-156</v>
      </c>
      <c r="J61" t="s">
        <v>851</v>
      </c>
      <c r="K61">
        <v>-30</v>
      </c>
      <c r="L61" t="s">
        <v>197</v>
      </c>
      <c r="M61">
        <v>-72</v>
      </c>
      <c r="O61" t="s">
        <v>421</v>
      </c>
      <c r="P61">
        <v>-86</v>
      </c>
      <c r="Q61" t="s">
        <v>850</v>
      </c>
      <c r="R61">
        <v>-5</v>
      </c>
      <c r="S61" t="s">
        <v>50</v>
      </c>
      <c r="T61">
        <v>-88</v>
      </c>
      <c r="U61" t="s">
        <v>336</v>
      </c>
      <c r="V61">
        <v>-4</v>
      </c>
      <c r="W61" t="s">
        <v>968</v>
      </c>
      <c r="X61">
        <v>-1</v>
      </c>
      <c r="Y61" t="s">
        <v>112</v>
      </c>
      <c r="Z61">
        <v>-125</v>
      </c>
      <c r="AA61" t="s">
        <v>55</v>
      </c>
      <c r="AB61">
        <v>-25</v>
      </c>
      <c r="AC61" t="s">
        <v>1976</v>
      </c>
      <c r="AD61">
        <v>-20</v>
      </c>
      <c r="AE61" t="s">
        <v>198</v>
      </c>
      <c r="AF61">
        <v>-172</v>
      </c>
      <c r="AG61" t="s">
        <v>591</v>
      </c>
      <c r="AH61">
        <v>-350</v>
      </c>
      <c r="AI61" t="s">
        <v>380</v>
      </c>
      <c r="AJ61">
        <v>-2</v>
      </c>
      <c r="AK61" t="s">
        <v>787</v>
      </c>
      <c r="AL61">
        <v>-116</v>
      </c>
      <c r="AM61" t="s">
        <v>427</v>
      </c>
      <c r="AN61">
        <v>-7.8800000000000008</v>
      </c>
    </row>
    <row r="62" spans="2:40" x14ac:dyDescent="0.25">
      <c r="B62" t="s">
        <v>55</v>
      </c>
      <c r="C62">
        <v>-411</v>
      </c>
      <c r="E62" t="s">
        <v>255</v>
      </c>
      <c r="F62">
        <v>-16</v>
      </c>
      <c r="H62" t="s">
        <v>756</v>
      </c>
      <c r="I62">
        <v>-9</v>
      </c>
      <c r="J62" t="s">
        <v>60</v>
      </c>
      <c r="K62">
        <v>-30</v>
      </c>
      <c r="L62" t="s">
        <v>1118</v>
      </c>
      <c r="M62">
        <v>-24</v>
      </c>
      <c r="O62" t="s">
        <v>427</v>
      </c>
      <c r="P62">
        <v>-82.187599999999989</v>
      </c>
      <c r="Q62" t="s">
        <v>283</v>
      </c>
      <c r="R62">
        <v>-112</v>
      </c>
      <c r="S62" t="s">
        <v>414</v>
      </c>
      <c r="T62">
        <v>-231</v>
      </c>
      <c r="U62" t="s">
        <v>50</v>
      </c>
      <c r="V62">
        <v>-74</v>
      </c>
      <c r="W62" t="s">
        <v>222</v>
      </c>
      <c r="X62">
        <v>-8</v>
      </c>
      <c r="Y62" t="s">
        <v>110</v>
      </c>
      <c r="Z62">
        <v>-1470</v>
      </c>
      <c r="AA62" t="s">
        <v>616</v>
      </c>
      <c r="AB62">
        <v>-4</v>
      </c>
      <c r="AC62" t="s">
        <v>283</v>
      </c>
      <c r="AD62">
        <v>-34</v>
      </c>
      <c r="AE62" t="s">
        <v>2040</v>
      </c>
      <c r="AF62">
        <v>-20</v>
      </c>
      <c r="AG62" t="s">
        <v>198</v>
      </c>
      <c r="AH62">
        <v>-220</v>
      </c>
      <c r="AI62" t="s">
        <v>19</v>
      </c>
      <c r="AJ62">
        <v>-4</v>
      </c>
      <c r="AK62" t="s">
        <v>198</v>
      </c>
      <c r="AL62">
        <v>-60</v>
      </c>
      <c r="AM62" t="s">
        <v>7</v>
      </c>
      <c r="AN62">
        <v>-84</v>
      </c>
    </row>
    <row r="63" spans="2:40" x14ac:dyDescent="0.25">
      <c r="B63" t="s">
        <v>283</v>
      </c>
      <c r="C63">
        <v>-136</v>
      </c>
      <c r="E63" t="s">
        <v>37</v>
      </c>
      <c r="F63">
        <v>-55</v>
      </c>
      <c r="H63" t="s">
        <v>218</v>
      </c>
      <c r="I63">
        <v>-12</v>
      </c>
      <c r="J63" t="s">
        <v>218</v>
      </c>
      <c r="K63">
        <v>-21</v>
      </c>
      <c r="L63" t="s">
        <v>235</v>
      </c>
      <c r="M63">
        <v>-52</v>
      </c>
      <c r="O63" t="s">
        <v>7</v>
      </c>
      <c r="P63">
        <v>-8</v>
      </c>
      <c r="Q63" t="s">
        <v>1549</v>
      </c>
      <c r="R63">
        <v>-7</v>
      </c>
      <c r="S63" t="s">
        <v>657</v>
      </c>
      <c r="T63">
        <v>-240</v>
      </c>
      <c r="U63" t="s">
        <v>414</v>
      </c>
      <c r="V63">
        <v>-550</v>
      </c>
      <c r="W63" t="s">
        <v>786</v>
      </c>
      <c r="X63">
        <v>-1</v>
      </c>
      <c r="Y63" t="s">
        <v>287</v>
      </c>
      <c r="Z63">
        <v>-54</v>
      </c>
      <c r="AA63" t="s">
        <v>1548</v>
      </c>
      <c r="AB63">
        <v>-4</v>
      </c>
      <c r="AC63" t="s">
        <v>851</v>
      </c>
      <c r="AD63">
        <v>-10</v>
      </c>
      <c r="AE63" t="s">
        <v>2041</v>
      </c>
      <c r="AF63">
        <v>-36</v>
      </c>
      <c r="AG63" t="s">
        <v>338</v>
      </c>
      <c r="AH63">
        <v>-30</v>
      </c>
      <c r="AI63" t="s">
        <v>336</v>
      </c>
      <c r="AJ63">
        <v>-26</v>
      </c>
      <c r="AK63" t="s">
        <v>338</v>
      </c>
      <c r="AL63">
        <v>-24</v>
      </c>
      <c r="AM63" t="s">
        <v>966</v>
      </c>
      <c r="AN63">
        <v>-6</v>
      </c>
    </row>
    <row r="64" spans="2:40" x14ac:dyDescent="0.25">
      <c r="B64" t="s">
        <v>667</v>
      </c>
      <c r="C64">
        <v>-4</v>
      </c>
      <c r="E64" t="s">
        <v>45</v>
      </c>
      <c r="F64">
        <v>-7</v>
      </c>
      <c r="H64" t="s">
        <v>111</v>
      </c>
      <c r="I64">
        <v>-710</v>
      </c>
      <c r="J64" t="s">
        <v>111</v>
      </c>
      <c r="K64">
        <v>-135</v>
      </c>
      <c r="L64" t="s">
        <v>228</v>
      </c>
      <c r="M64">
        <v>-303</v>
      </c>
      <c r="O64" t="s">
        <v>966</v>
      </c>
      <c r="P64">
        <v>-48</v>
      </c>
      <c r="Q64" t="s">
        <v>1550</v>
      </c>
      <c r="R64">
        <v>-225</v>
      </c>
      <c r="S64" t="s">
        <v>591</v>
      </c>
      <c r="T64">
        <v>-232</v>
      </c>
      <c r="U64" t="s">
        <v>657</v>
      </c>
      <c r="V64">
        <v>-0.33360000000000001</v>
      </c>
      <c r="W64" t="s">
        <v>336</v>
      </c>
      <c r="X64">
        <v>-15</v>
      </c>
      <c r="Y64" t="s">
        <v>788</v>
      </c>
      <c r="Z64">
        <v>-6</v>
      </c>
      <c r="AA64" t="s">
        <v>283</v>
      </c>
      <c r="AB64">
        <v>-17</v>
      </c>
      <c r="AC64" t="s">
        <v>60</v>
      </c>
      <c r="AD64">
        <v>-15</v>
      </c>
      <c r="AE64" t="s">
        <v>600</v>
      </c>
      <c r="AF64">
        <v>-50</v>
      </c>
      <c r="AG64" t="s">
        <v>600</v>
      </c>
      <c r="AH64">
        <v>-62</v>
      </c>
      <c r="AI64" t="s">
        <v>50</v>
      </c>
      <c r="AJ64">
        <v>-123</v>
      </c>
      <c r="AK64" t="s">
        <v>600</v>
      </c>
      <c r="AL64">
        <v>-22</v>
      </c>
      <c r="AM64" t="s">
        <v>125</v>
      </c>
      <c r="AN64">
        <v>-6</v>
      </c>
    </row>
    <row r="65" spans="2:40" x14ac:dyDescent="0.25">
      <c r="B65" t="s">
        <v>756</v>
      </c>
      <c r="C65">
        <v>-1.5</v>
      </c>
      <c r="E65" t="s">
        <v>61</v>
      </c>
      <c r="F65">
        <v>-60</v>
      </c>
      <c r="H65" t="s">
        <v>112</v>
      </c>
      <c r="I65">
        <v>-330</v>
      </c>
      <c r="J65" t="s">
        <v>112</v>
      </c>
      <c r="K65">
        <v>-75</v>
      </c>
      <c r="L65" t="s">
        <v>421</v>
      </c>
      <c r="M65">
        <v>-42</v>
      </c>
      <c r="O65" t="s">
        <v>125</v>
      </c>
      <c r="P65">
        <v>-3</v>
      </c>
      <c r="Q65" t="s">
        <v>1551</v>
      </c>
      <c r="R65">
        <v>-168</v>
      </c>
      <c r="S65" t="s">
        <v>198</v>
      </c>
      <c r="T65">
        <v>-260</v>
      </c>
      <c r="U65" t="s">
        <v>591</v>
      </c>
      <c r="V65">
        <v>-536</v>
      </c>
      <c r="W65" t="s">
        <v>50</v>
      </c>
      <c r="X65">
        <v>-94</v>
      </c>
      <c r="Y65" t="s">
        <v>1882</v>
      </c>
      <c r="Z65">
        <v>-2</v>
      </c>
      <c r="AA65" t="s">
        <v>667</v>
      </c>
      <c r="AB65">
        <v>-2</v>
      </c>
      <c r="AC65" t="s">
        <v>218</v>
      </c>
      <c r="AD65">
        <v>-7.5</v>
      </c>
      <c r="AE65" t="s">
        <v>496</v>
      </c>
      <c r="AF65">
        <v>-6</v>
      </c>
      <c r="AG65" t="s">
        <v>496</v>
      </c>
      <c r="AH65">
        <v>-1</v>
      </c>
      <c r="AI65" t="s">
        <v>414</v>
      </c>
      <c r="AJ65">
        <v>-570</v>
      </c>
      <c r="AK65" t="s">
        <v>496</v>
      </c>
      <c r="AL65">
        <v>-1</v>
      </c>
      <c r="AM65" t="s">
        <v>2039</v>
      </c>
      <c r="AN65">
        <v>-9</v>
      </c>
    </row>
    <row r="66" spans="2:40" x14ac:dyDescent="0.25">
      <c r="B66" t="s">
        <v>60</v>
      </c>
      <c r="C66">
        <v>-420</v>
      </c>
      <c r="E66" t="s">
        <v>563</v>
      </c>
      <c r="F66">
        <v>-452</v>
      </c>
      <c r="H66" t="s">
        <v>110</v>
      </c>
      <c r="I66">
        <v>-2240</v>
      </c>
      <c r="J66" t="s">
        <v>110</v>
      </c>
      <c r="K66">
        <v>-180</v>
      </c>
      <c r="L66" t="s">
        <v>427</v>
      </c>
      <c r="M66">
        <v>-12.000199999999998</v>
      </c>
      <c r="O66" t="s">
        <v>1119</v>
      </c>
      <c r="P66">
        <v>-36</v>
      </c>
      <c r="Q66" t="s">
        <v>1392</v>
      </c>
      <c r="R66">
        <v>-240</v>
      </c>
      <c r="S66" t="s">
        <v>849</v>
      </c>
      <c r="T66">
        <v>-3</v>
      </c>
      <c r="U66" t="s">
        <v>787</v>
      </c>
      <c r="V66">
        <v>-250</v>
      </c>
      <c r="W66" t="s">
        <v>1811</v>
      </c>
      <c r="X66">
        <v>-2</v>
      </c>
      <c r="Y66" t="s">
        <v>1724</v>
      </c>
      <c r="Z66">
        <v>-12</v>
      </c>
      <c r="AA66" t="s">
        <v>1551</v>
      </c>
      <c r="AB66">
        <v>-20</v>
      </c>
      <c r="AC66" t="s">
        <v>1394</v>
      </c>
      <c r="AD66">
        <v>-60</v>
      </c>
      <c r="AE66" t="s">
        <v>54</v>
      </c>
      <c r="AF66">
        <v>-122</v>
      </c>
      <c r="AG66" t="s">
        <v>54</v>
      </c>
      <c r="AH66">
        <v>-24</v>
      </c>
      <c r="AI66" t="s">
        <v>657</v>
      </c>
      <c r="AJ66">
        <v>-234</v>
      </c>
      <c r="AK66" t="s">
        <v>21</v>
      </c>
      <c r="AL66">
        <v>-2</v>
      </c>
      <c r="AM66" t="s">
        <v>2328</v>
      </c>
      <c r="AN66">
        <v>-9</v>
      </c>
    </row>
    <row r="67" spans="2:40" x14ac:dyDescent="0.25">
      <c r="B67" t="s">
        <v>218</v>
      </c>
      <c r="C67">
        <v>-8</v>
      </c>
      <c r="E67" t="s">
        <v>271</v>
      </c>
      <c r="F67">
        <v>-192</v>
      </c>
      <c r="H67" t="s">
        <v>287</v>
      </c>
      <c r="I67">
        <v>-79</v>
      </c>
      <c r="J67" t="s">
        <v>287</v>
      </c>
      <c r="K67">
        <v>-36</v>
      </c>
      <c r="L67" t="s">
        <v>7</v>
      </c>
      <c r="M67">
        <v>-4</v>
      </c>
      <c r="O67" t="s">
        <v>222</v>
      </c>
      <c r="P67">
        <v>-30</v>
      </c>
      <c r="Q67" t="s">
        <v>1393</v>
      </c>
      <c r="R67">
        <v>-280</v>
      </c>
      <c r="S67" t="s">
        <v>338</v>
      </c>
      <c r="T67">
        <v>-30</v>
      </c>
      <c r="U67" t="s">
        <v>198</v>
      </c>
      <c r="V67">
        <v>-48</v>
      </c>
      <c r="W67" t="s">
        <v>198</v>
      </c>
      <c r="X67">
        <v>-92</v>
      </c>
      <c r="Y67" t="s">
        <v>1883</v>
      </c>
      <c r="Z67">
        <v>-6</v>
      </c>
      <c r="AA67" t="s">
        <v>218</v>
      </c>
      <c r="AB67">
        <v>-2</v>
      </c>
      <c r="AC67" t="s">
        <v>110</v>
      </c>
      <c r="AD67">
        <v>-800</v>
      </c>
      <c r="AE67" t="s">
        <v>55</v>
      </c>
      <c r="AF67">
        <v>-185</v>
      </c>
      <c r="AG67" t="s">
        <v>55</v>
      </c>
      <c r="AH67">
        <v>-170</v>
      </c>
      <c r="AI67" t="s">
        <v>591</v>
      </c>
      <c r="AJ67">
        <v>-600</v>
      </c>
      <c r="AK67" t="s">
        <v>54</v>
      </c>
      <c r="AL67">
        <v>-42</v>
      </c>
      <c r="AM67" t="s">
        <v>2329</v>
      </c>
      <c r="AN67">
        <v>-1</v>
      </c>
    </row>
    <row r="68" spans="2:40" x14ac:dyDescent="0.25">
      <c r="B68" t="s">
        <v>111</v>
      </c>
      <c r="C68">
        <v>-480</v>
      </c>
      <c r="E68" t="s">
        <v>272</v>
      </c>
      <c r="F68">
        <v>-320</v>
      </c>
      <c r="H68" t="s">
        <v>788</v>
      </c>
      <c r="I68">
        <v>-24</v>
      </c>
      <c r="J68" t="s">
        <v>788</v>
      </c>
      <c r="K68">
        <v>-2</v>
      </c>
      <c r="L68" t="s">
        <v>966</v>
      </c>
      <c r="M68">
        <v>-12</v>
      </c>
      <c r="O68" t="s">
        <v>1120</v>
      </c>
      <c r="P68">
        <v>-4</v>
      </c>
      <c r="Q68" t="s">
        <v>111</v>
      </c>
      <c r="R68">
        <v>-840</v>
      </c>
      <c r="S68" t="s">
        <v>600</v>
      </c>
      <c r="T68">
        <v>-42</v>
      </c>
      <c r="U68" t="s">
        <v>1124</v>
      </c>
      <c r="V68">
        <v>-1</v>
      </c>
      <c r="W68" t="s">
        <v>338</v>
      </c>
      <c r="X68">
        <v>-30</v>
      </c>
      <c r="Y68" t="s">
        <v>289</v>
      </c>
      <c r="Z68">
        <v>-30</v>
      </c>
      <c r="AA68" t="s">
        <v>112</v>
      </c>
      <c r="AB68">
        <v>-25</v>
      </c>
      <c r="AC68" t="s">
        <v>287</v>
      </c>
      <c r="AD68">
        <v>-34</v>
      </c>
      <c r="AE68" t="s">
        <v>2042</v>
      </c>
      <c r="AF68">
        <v>-1</v>
      </c>
      <c r="AG68" t="s">
        <v>616</v>
      </c>
      <c r="AH68">
        <v>-14</v>
      </c>
      <c r="AI68" t="s">
        <v>198</v>
      </c>
      <c r="AJ68">
        <v>-154</v>
      </c>
      <c r="AK68" t="s">
        <v>55</v>
      </c>
      <c r="AL68">
        <v>-105</v>
      </c>
      <c r="AM68" t="s">
        <v>19</v>
      </c>
      <c r="AN68">
        <v>-1.2</v>
      </c>
    </row>
    <row r="69" spans="2:40" x14ac:dyDescent="0.25">
      <c r="B69" t="s">
        <v>112</v>
      </c>
      <c r="C69">
        <v>-215</v>
      </c>
      <c r="E69" t="s">
        <v>187</v>
      </c>
      <c r="F69">
        <v>-25</v>
      </c>
      <c r="H69" t="s">
        <v>289</v>
      </c>
      <c r="I69">
        <v>-96</v>
      </c>
      <c r="J69" t="s">
        <v>67</v>
      </c>
      <c r="K69">
        <v>-6</v>
      </c>
      <c r="L69" t="s">
        <v>125</v>
      </c>
      <c r="M69">
        <v>-3</v>
      </c>
      <c r="O69" t="s">
        <v>19</v>
      </c>
      <c r="P69">
        <v>-2</v>
      </c>
      <c r="Q69" t="s">
        <v>1126</v>
      </c>
      <c r="R69">
        <v>-720</v>
      </c>
      <c r="S69" t="s">
        <v>496</v>
      </c>
      <c r="T69">
        <v>-17</v>
      </c>
      <c r="U69" t="s">
        <v>600</v>
      </c>
      <c r="V69">
        <v>-15</v>
      </c>
      <c r="W69" t="s">
        <v>1812</v>
      </c>
      <c r="X69">
        <v>-2</v>
      </c>
      <c r="Y69" t="s">
        <v>105</v>
      </c>
      <c r="Z69">
        <v>-6</v>
      </c>
      <c r="AA69" t="s">
        <v>110</v>
      </c>
      <c r="AB69">
        <v>-200</v>
      </c>
      <c r="AC69" t="s">
        <v>788</v>
      </c>
      <c r="AD69">
        <v>-4</v>
      </c>
      <c r="AE69" t="s">
        <v>2043</v>
      </c>
      <c r="AF69">
        <v>-19</v>
      </c>
      <c r="AG69" t="s">
        <v>850</v>
      </c>
      <c r="AH69">
        <v>-2</v>
      </c>
      <c r="AI69" t="s">
        <v>849</v>
      </c>
      <c r="AJ69">
        <v>-2</v>
      </c>
      <c r="AK69" t="s">
        <v>283</v>
      </c>
      <c r="AL69">
        <v>-90</v>
      </c>
      <c r="AM69" t="s">
        <v>786</v>
      </c>
      <c r="AN69">
        <v>-14</v>
      </c>
    </row>
    <row r="70" spans="2:40" x14ac:dyDescent="0.25">
      <c r="B70" t="s">
        <v>110</v>
      </c>
      <c r="C70">
        <v>-1300</v>
      </c>
      <c r="E70" t="s">
        <v>74</v>
      </c>
      <c r="F70">
        <v>-5860</v>
      </c>
      <c r="H70" t="s">
        <v>105</v>
      </c>
      <c r="I70">
        <v>-20</v>
      </c>
      <c r="J70" t="s">
        <v>289</v>
      </c>
      <c r="K70">
        <v>-24</v>
      </c>
      <c r="L70" t="s">
        <v>1119</v>
      </c>
      <c r="M70">
        <v>-36</v>
      </c>
      <c r="O70" t="s">
        <v>1390</v>
      </c>
      <c r="P70">
        <v>-6.2</v>
      </c>
      <c r="Q70" t="s">
        <v>112</v>
      </c>
      <c r="R70">
        <v>-50</v>
      </c>
      <c r="S70" t="s">
        <v>1647</v>
      </c>
      <c r="T70">
        <v>-1</v>
      </c>
      <c r="U70" t="s">
        <v>496</v>
      </c>
      <c r="V70">
        <v>-16</v>
      </c>
      <c r="W70" t="s">
        <v>1813</v>
      </c>
      <c r="X70">
        <v>-2</v>
      </c>
      <c r="Y70" t="s">
        <v>255</v>
      </c>
      <c r="Z70">
        <v>-1</v>
      </c>
      <c r="AA70" t="s">
        <v>287</v>
      </c>
      <c r="AB70">
        <v>-9</v>
      </c>
      <c r="AC70" t="s">
        <v>67</v>
      </c>
      <c r="AD70">
        <v>-7</v>
      </c>
      <c r="AE70" t="s">
        <v>2044</v>
      </c>
      <c r="AF70">
        <v>-50</v>
      </c>
      <c r="AG70" t="s">
        <v>283</v>
      </c>
      <c r="AH70">
        <v>-132</v>
      </c>
      <c r="AI70" t="s">
        <v>338</v>
      </c>
      <c r="AJ70">
        <v>-30</v>
      </c>
      <c r="AK70" t="s">
        <v>1125</v>
      </c>
      <c r="AL70">
        <v>-1</v>
      </c>
      <c r="AM70" t="s">
        <v>336</v>
      </c>
      <c r="AN70">
        <v>-7</v>
      </c>
    </row>
    <row r="71" spans="2:40" x14ac:dyDescent="0.25">
      <c r="B71" t="s">
        <v>40</v>
      </c>
      <c r="C71">
        <v>-28</v>
      </c>
      <c r="E71" t="s">
        <v>53</v>
      </c>
      <c r="F71">
        <v>-925</v>
      </c>
      <c r="H71" t="s">
        <v>255</v>
      </c>
      <c r="I71">
        <v>-12</v>
      </c>
      <c r="J71" t="s">
        <v>970</v>
      </c>
      <c r="K71">
        <v>-23</v>
      </c>
      <c r="L71" t="s">
        <v>967</v>
      </c>
      <c r="M71">
        <v>-16</v>
      </c>
      <c r="O71" t="s">
        <v>786</v>
      </c>
      <c r="P71">
        <v>-7</v>
      </c>
      <c r="Q71" t="s">
        <v>110</v>
      </c>
      <c r="R71">
        <v>-970</v>
      </c>
      <c r="S71" t="s">
        <v>54</v>
      </c>
      <c r="T71">
        <v>-36</v>
      </c>
      <c r="U71" t="s">
        <v>54</v>
      </c>
      <c r="V71">
        <v>-15</v>
      </c>
      <c r="W71" t="s">
        <v>600</v>
      </c>
      <c r="X71">
        <v>-36</v>
      </c>
      <c r="Y71" t="s">
        <v>1884</v>
      </c>
      <c r="Z71">
        <v>-15</v>
      </c>
      <c r="AA71" t="s">
        <v>788</v>
      </c>
      <c r="AB71">
        <v>-5</v>
      </c>
      <c r="AC71" t="s">
        <v>289</v>
      </c>
      <c r="AD71">
        <v>-69</v>
      </c>
      <c r="AE71" t="s">
        <v>616</v>
      </c>
      <c r="AF71">
        <v>-6</v>
      </c>
      <c r="AG71" t="s">
        <v>667</v>
      </c>
      <c r="AH71">
        <v>-2</v>
      </c>
      <c r="AI71" t="s">
        <v>600</v>
      </c>
      <c r="AJ71">
        <v>-56</v>
      </c>
      <c r="AK71" t="s">
        <v>756</v>
      </c>
      <c r="AL71">
        <v>-51.5</v>
      </c>
      <c r="AM71" t="s">
        <v>50</v>
      </c>
      <c r="AN71">
        <v>-91</v>
      </c>
    </row>
    <row r="72" spans="2:40" x14ac:dyDescent="0.25">
      <c r="B72" t="s">
        <v>287</v>
      </c>
      <c r="C72">
        <v>-40</v>
      </c>
      <c r="E72" t="s">
        <v>789</v>
      </c>
      <c r="F72">
        <v>-96</v>
      </c>
      <c r="H72" t="s">
        <v>563</v>
      </c>
      <c r="I72">
        <v>-582</v>
      </c>
      <c r="J72" t="s">
        <v>37</v>
      </c>
      <c r="K72">
        <v>-6</v>
      </c>
      <c r="L72" t="s">
        <v>968</v>
      </c>
      <c r="M72">
        <v>-8</v>
      </c>
      <c r="O72" t="s">
        <v>647</v>
      </c>
      <c r="P72">
        <v>-5</v>
      </c>
      <c r="Q72" t="s">
        <v>287</v>
      </c>
      <c r="R72">
        <v>-74</v>
      </c>
      <c r="S72" t="s">
        <v>55</v>
      </c>
      <c r="T72">
        <v>-125</v>
      </c>
      <c r="U72" t="s">
        <v>55</v>
      </c>
      <c r="V72">
        <v>-30</v>
      </c>
      <c r="W72" t="s">
        <v>496</v>
      </c>
      <c r="X72">
        <v>-22</v>
      </c>
      <c r="Y72" t="s">
        <v>563</v>
      </c>
      <c r="Z72">
        <v>-254</v>
      </c>
      <c r="AA72" t="s">
        <v>67</v>
      </c>
      <c r="AB72">
        <v>-2</v>
      </c>
      <c r="AC72" t="s">
        <v>105</v>
      </c>
      <c r="AD72">
        <v>-5</v>
      </c>
      <c r="AE72" t="s">
        <v>283</v>
      </c>
      <c r="AF72">
        <v>-68</v>
      </c>
      <c r="AG72" t="s">
        <v>756</v>
      </c>
      <c r="AH72">
        <v>-51</v>
      </c>
      <c r="AI72" t="s">
        <v>496</v>
      </c>
      <c r="AJ72">
        <v>-6</v>
      </c>
      <c r="AK72" t="s">
        <v>851</v>
      </c>
      <c r="AL72">
        <v>-75</v>
      </c>
      <c r="AM72" t="s">
        <v>520</v>
      </c>
      <c r="AN72">
        <v>-8</v>
      </c>
    </row>
    <row r="73" spans="2:40" x14ac:dyDescent="0.25">
      <c r="B73" t="s">
        <v>67</v>
      </c>
      <c r="C73">
        <v>-30</v>
      </c>
      <c r="E73" t="s">
        <v>188</v>
      </c>
      <c r="F73">
        <v>-12.800000000000002</v>
      </c>
      <c r="H73" t="s">
        <v>271</v>
      </c>
      <c r="I73">
        <v>-144</v>
      </c>
      <c r="J73" t="s">
        <v>971</v>
      </c>
      <c r="K73">
        <v>-6</v>
      </c>
      <c r="L73" t="s">
        <v>222</v>
      </c>
      <c r="M73">
        <v>-16</v>
      </c>
      <c r="O73" t="s">
        <v>336</v>
      </c>
      <c r="P73">
        <v>-9</v>
      </c>
      <c r="Q73" t="s">
        <v>788</v>
      </c>
      <c r="R73">
        <v>-6</v>
      </c>
      <c r="S73" t="s">
        <v>1648</v>
      </c>
      <c r="T73">
        <v>-180</v>
      </c>
      <c r="U73" t="s">
        <v>1648</v>
      </c>
      <c r="V73">
        <v>-20</v>
      </c>
      <c r="W73" t="s">
        <v>54</v>
      </c>
      <c r="X73">
        <v>-65</v>
      </c>
      <c r="Y73" t="s">
        <v>271</v>
      </c>
      <c r="Z73">
        <v>-56</v>
      </c>
      <c r="AA73" t="s">
        <v>289</v>
      </c>
      <c r="AB73">
        <v>-9</v>
      </c>
      <c r="AC73" t="s">
        <v>255</v>
      </c>
      <c r="AD73">
        <v>-2</v>
      </c>
      <c r="AE73" t="s">
        <v>2045</v>
      </c>
      <c r="AF73">
        <v>-20</v>
      </c>
      <c r="AG73" t="s">
        <v>851</v>
      </c>
      <c r="AH73">
        <v>-100</v>
      </c>
      <c r="AI73" t="s">
        <v>54</v>
      </c>
      <c r="AJ73">
        <v>-198</v>
      </c>
      <c r="AK73" t="s">
        <v>60</v>
      </c>
      <c r="AL73">
        <v>-70</v>
      </c>
      <c r="AM73" t="s">
        <v>198</v>
      </c>
      <c r="AN73">
        <v>-22</v>
      </c>
    </row>
    <row r="74" spans="2:40" x14ac:dyDescent="0.25">
      <c r="B74" t="s">
        <v>289</v>
      </c>
      <c r="C74">
        <v>-64</v>
      </c>
      <c r="E74" t="s">
        <v>189</v>
      </c>
      <c r="F74">
        <v>-30</v>
      </c>
      <c r="H74" t="s">
        <v>272</v>
      </c>
      <c r="I74">
        <v>-199</v>
      </c>
      <c r="J74" t="s">
        <v>563</v>
      </c>
      <c r="K74">
        <v>-72</v>
      </c>
      <c r="L74" t="s">
        <v>1120</v>
      </c>
      <c r="M74">
        <v>-4</v>
      </c>
      <c r="O74" t="s">
        <v>767</v>
      </c>
      <c r="P74">
        <v>-60</v>
      </c>
      <c r="Q74" t="s">
        <v>1552</v>
      </c>
      <c r="R74">
        <v>-14</v>
      </c>
      <c r="S74" t="s">
        <v>850</v>
      </c>
      <c r="T74">
        <v>-1</v>
      </c>
      <c r="U74" t="s">
        <v>850</v>
      </c>
      <c r="V74">
        <v>-8</v>
      </c>
      <c r="W74" t="s">
        <v>55</v>
      </c>
      <c r="X74">
        <v>-88</v>
      </c>
      <c r="Y74" t="s">
        <v>272</v>
      </c>
      <c r="Z74">
        <v>-12</v>
      </c>
      <c r="AA74" t="s">
        <v>105</v>
      </c>
      <c r="AB74">
        <v>-5</v>
      </c>
      <c r="AC74" t="s">
        <v>37</v>
      </c>
      <c r="AD74">
        <v>-10</v>
      </c>
      <c r="AE74" t="s">
        <v>667</v>
      </c>
      <c r="AF74">
        <v>-11</v>
      </c>
      <c r="AG74" t="s">
        <v>60</v>
      </c>
      <c r="AH74">
        <v>-375</v>
      </c>
      <c r="AI74" t="s">
        <v>55</v>
      </c>
      <c r="AJ74">
        <v>-245</v>
      </c>
      <c r="AK74" t="s">
        <v>218</v>
      </c>
      <c r="AL74">
        <v>-4</v>
      </c>
      <c r="AM74" t="s">
        <v>849</v>
      </c>
      <c r="AN74">
        <v>-2</v>
      </c>
    </row>
    <row r="75" spans="2:40" x14ac:dyDescent="0.25">
      <c r="B75" t="s">
        <v>105</v>
      </c>
      <c r="C75">
        <v>-40</v>
      </c>
      <c r="E75" t="s">
        <v>204</v>
      </c>
      <c r="F75">
        <v>-103</v>
      </c>
      <c r="H75" t="s">
        <v>187</v>
      </c>
      <c r="I75">
        <v>-31</v>
      </c>
      <c r="J75" t="s">
        <v>187</v>
      </c>
      <c r="K75">
        <v>-4</v>
      </c>
      <c r="L75" t="s">
        <v>786</v>
      </c>
      <c r="M75">
        <v>-1</v>
      </c>
      <c r="O75" t="s">
        <v>50</v>
      </c>
      <c r="P75">
        <v>-82</v>
      </c>
      <c r="Q75" t="s">
        <v>289</v>
      </c>
      <c r="R75">
        <v>-58</v>
      </c>
      <c r="S75" t="s">
        <v>283</v>
      </c>
      <c r="T75">
        <v>-73</v>
      </c>
      <c r="U75" t="s">
        <v>283</v>
      </c>
      <c r="V75">
        <v>-81</v>
      </c>
      <c r="W75" t="s">
        <v>850</v>
      </c>
      <c r="X75">
        <v>-11</v>
      </c>
      <c r="Y75" t="s">
        <v>187</v>
      </c>
      <c r="Z75">
        <v>-4</v>
      </c>
      <c r="AA75" t="s">
        <v>255</v>
      </c>
      <c r="AB75">
        <v>-1</v>
      </c>
      <c r="AC75" t="s">
        <v>45</v>
      </c>
      <c r="AD75">
        <v>-2</v>
      </c>
      <c r="AE75" t="s">
        <v>851</v>
      </c>
      <c r="AF75">
        <v>-5</v>
      </c>
      <c r="AG75" t="s">
        <v>218</v>
      </c>
      <c r="AH75">
        <v>-5</v>
      </c>
      <c r="AI75" t="s">
        <v>616</v>
      </c>
      <c r="AJ75">
        <v>-17</v>
      </c>
      <c r="AK75" t="s">
        <v>111</v>
      </c>
      <c r="AL75">
        <v>-310</v>
      </c>
      <c r="AM75" t="s">
        <v>338</v>
      </c>
      <c r="AN75">
        <v>-12</v>
      </c>
    </row>
    <row r="76" spans="2:40" x14ac:dyDescent="0.25">
      <c r="B76" t="s">
        <v>255</v>
      </c>
      <c r="C76">
        <v>-8</v>
      </c>
      <c r="E76" t="s">
        <v>238</v>
      </c>
      <c r="F76">
        <v>-2298</v>
      </c>
      <c r="H76" t="s">
        <v>74</v>
      </c>
      <c r="I76">
        <v>-5280</v>
      </c>
      <c r="J76" t="s">
        <v>74</v>
      </c>
      <c r="K76">
        <v>-450</v>
      </c>
      <c r="L76" t="s">
        <v>336</v>
      </c>
      <c r="M76">
        <v>-8</v>
      </c>
      <c r="O76" t="s">
        <v>1391</v>
      </c>
      <c r="P76">
        <v>-2</v>
      </c>
      <c r="Q76" t="s">
        <v>1553</v>
      </c>
      <c r="R76">
        <v>-10</v>
      </c>
      <c r="S76" t="s">
        <v>851</v>
      </c>
      <c r="T76">
        <v>-131</v>
      </c>
      <c r="U76" t="s">
        <v>60</v>
      </c>
      <c r="V76">
        <v>-30</v>
      </c>
      <c r="W76" t="s">
        <v>283</v>
      </c>
      <c r="X76">
        <v>-51</v>
      </c>
      <c r="Y76" t="s">
        <v>74</v>
      </c>
      <c r="Z76">
        <v>-750</v>
      </c>
      <c r="AA76" t="s">
        <v>37</v>
      </c>
      <c r="AB76">
        <v>-5</v>
      </c>
      <c r="AC76" t="s">
        <v>61</v>
      </c>
      <c r="AD76">
        <v>-5</v>
      </c>
      <c r="AE76" t="s">
        <v>60</v>
      </c>
      <c r="AF76">
        <v>-210</v>
      </c>
      <c r="AG76" t="s">
        <v>112</v>
      </c>
      <c r="AH76">
        <v>-100</v>
      </c>
      <c r="AI76" t="s">
        <v>1548</v>
      </c>
      <c r="AJ76">
        <v>-5</v>
      </c>
      <c r="AK76" t="s">
        <v>112</v>
      </c>
      <c r="AL76">
        <v>-150</v>
      </c>
      <c r="AM76" t="s">
        <v>2330</v>
      </c>
      <c r="AN76">
        <v>-8</v>
      </c>
    </row>
    <row r="77" spans="2:40" x14ac:dyDescent="0.25">
      <c r="B77" t="s">
        <v>37</v>
      </c>
      <c r="C77">
        <v>-75</v>
      </c>
      <c r="E77" t="s">
        <v>147</v>
      </c>
      <c r="F77">
        <v>-16</v>
      </c>
      <c r="H77" t="s">
        <v>713</v>
      </c>
      <c r="I77">
        <v>-292</v>
      </c>
      <c r="J77" t="s">
        <v>53</v>
      </c>
      <c r="K77">
        <v>-150</v>
      </c>
      <c r="L77" t="s">
        <v>50</v>
      </c>
      <c r="M77">
        <v>-180</v>
      </c>
      <c r="O77" t="s">
        <v>1121</v>
      </c>
      <c r="P77">
        <v>-13</v>
      </c>
      <c r="Q77" t="s">
        <v>1554</v>
      </c>
      <c r="R77">
        <v>-32</v>
      </c>
      <c r="S77" t="s">
        <v>60</v>
      </c>
      <c r="T77">
        <v>-10</v>
      </c>
      <c r="U77" t="s">
        <v>218</v>
      </c>
      <c r="V77">
        <v>-2</v>
      </c>
      <c r="W77" t="s">
        <v>60</v>
      </c>
      <c r="X77">
        <v>-90</v>
      </c>
      <c r="Y77" t="s">
        <v>713</v>
      </c>
      <c r="Z77">
        <v>-140</v>
      </c>
      <c r="AA77" t="s">
        <v>45</v>
      </c>
      <c r="AB77">
        <v>-1</v>
      </c>
      <c r="AC77" t="s">
        <v>563</v>
      </c>
      <c r="AD77">
        <v>-18</v>
      </c>
      <c r="AE77" t="s">
        <v>218</v>
      </c>
      <c r="AF77">
        <v>-6</v>
      </c>
      <c r="AG77" t="s">
        <v>1394</v>
      </c>
      <c r="AH77">
        <v>-80</v>
      </c>
      <c r="AI77" t="s">
        <v>850</v>
      </c>
      <c r="AJ77">
        <v>-2</v>
      </c>
      <c r="AK77" t="s">
        <v>110</v>
      </c>
      <c r="AL77">
        <v>-1000</v>
      </c>
      <c r="AM77" t="s">
        <v>521</v>
      </c>
      <c r="AN77">
        <v>-2</v>
      </c>
    </row>
    <row r="78" spans="2:40" x14ac:dyDescent="0.25">
      <c r="B78" t="s">
        <v>45</v>
      </c>
      <c r="C78">
        <v>-15</v>
      </c>
      <c r="E78" t="s">
        <v>790</v>
      </c>
      <c r="F78">
        <v>-22</v>
      </c>
      <c r="H78" t="s">
        <v>789</v>
      </c>
      <c r="I78">
        <v>-130</v>
      </c>
      <c r="J78" t="s">
        <v>713</v>
      </c>
      <c r="K78">
        <v>-90</v>
      </c>
      <c r="L78" t="s">
        <v>1121</v>
      </c>
      <c r="M78">
        <v>-5</v>
      </c>
      <c r="O78" t="s">
        <v>198</v>
      </c>
      <c r="P78">
        <v>-320</v>
      </c>
      <c r="Q78" t="s">
        <v>105</v>
      </c>
      <c r="R78">
        <v>-46</v>
      </c>
      <c r="S78" t="s">
        <v>218</v>
      </c>
      <c r="T78">
        <v>-4</v>
      </c>
      <c r="U78" t="s">
        <v>111</v>
      </c>
      <c r="V78">
        <v>-385</v>
      </c>
      <c r="W78" t="s">
        <v>218</v>
      </c>
      <c r="X78">
        <v>-1</v>
      </c>
      <c r="Y78" t="s">
        <v>789</v>
      </c>
      <c r="Z78">
        <v>-24</v>
      </c>
      <c r="AA78" t="s">
        <v>61</v>
      </c>
      <c r="AB78">
        <v>-5</v>
      </c>
      <c r="AC78" t="s">
        <v>271</v>
      </c>
      <c r="AD78">
        <v>-15</v>
      </c>
      <c r="AE78" t="s">
        <v>112</v>
      </c>
      <c r="AF78">
        <v>-145</v>
      </c>
      <c r="AG78" t="s">
        <v>110</v>
      </c>
      <c r="AH78">
        <v>-1600</v>
      </c>
      <c r="AI78" t="s">
        <v>283</v>
      </c>
      <c r="AJ78">
        <v>-113</v>
      </c>
      <c r="AK78" t="s">
        <v>40</v>
      </c>
      <c r="AL78">
        <v>-4</v>
      </c>
      <c r="AM78" t="s">
        <v>2331</v>
      </c>
      <c r="AN78">
        <v>-1</v>
      </c>
    </row>
    <row r="79" spans="2:40" x14ac:dyDescent="0.25">
      <c r="B79" t="s">
        <v>61</v>
      </c>
      <c r="C79">
        <v>-75</v>
      </c>
      <c r="E79" t="s">
        <v>42</v>
      </c>
      <c r="F79">
        <v>-33</v>
      </c>
      <c r="H79" t="s">
        <v>378</v>
      </c>
      <c r="I79">
        <v>-11</v>
      </c>
      <c r="J79" t="s">
        <v>188</v>
      </c>
      <c r="K79">
        <v>-2.4000000000000004</v>
      </c>
      <c r="L79" t="s">
        <v>414</v>
      </c>
      <c r="M79">
        <v>-330</v>
      </c>
      <c r="O79" t="s">
        <v>1123</v>
      </c>
      <c r="P79">
        <v>-6</v>
      </c>
      <c r="Q79" t="s">
        <v>255</v>
      </c>
      <c r="R79">
        <v>-2</v>
      </c>
      <c r="S79" t="s">
        <v>1649</v>
      </c>
      <c r="T79">
        <v>-200</v>
      </c>
      <c r="U79" t="s">
        <v>112</v>
      </c>
      <c r="V79">
        <v>-165</v>
      </c>
      <c r="W79" t="s">
        <v>111</v>
      </c>
      <c r="X79">
        <v>-100</v>
      </c>
      <c r="Y79" t="s">
        <v>1885</v>
      </c>
      <c r="Z79">
        <v>-4</v>
      </c>
      <c r="AA79" t="s">
        <v>563</v>
      </c>
      <c r="AB79">
        <v>-60</v>
      </c>
      <c r="AC79" t="s">
        <v>272</v>
      </c>
      <c r="AD79">
        <v>-62</v>
      </c>
      <c r="AE79" t="s">
        <v>110</v>
      </c>
      <c r="AF79">
        <v>-1000</v>
      </c>
      <c r="AG79" t="s">
        <v>2141</v>
      </c>
      <c r="AH79">
        <v>-24</v>
      </c>
      <c r="AI79" t="s">
        <v>756</v>
      </c>
      <c r="AJ79">
        <v>-20</v>
      </c>
      <c r="AK79" t="s">
        <v>287</v>
      </c>
      <c r="AL79">
        <v>-48</v>
      </c>
      <c r="AM79" t="s">
        <v>600</v>
      </c>
      <c r="AN79">
        <v>-30</v>
      </c>
    </row>
    <row r="80" spans="2:40" x14ac:dyDescent="0.25">
      <c r="B80" t="s">
        <v>563</v>
      </c>
      <c r="C80">
        <v>-334</v>
      </c>
      <c r="E80" t="s">
        <v>791</v>
      </c>
      <c r="F80">
        <v>-2</v>
      </c>
      <c r="H80" t="s">
        <v>188</v>
      </c>
      <c r="I80">
        <v>-9.6</v>
      </c>
      <c r="J80" t="s">
        <v>189</v>
      </c>
      <c r="K80">
        <v>-6</v>
      </c>
      <c r="L80" t="s">
        <v>591</v>
      </c>
      <c r="M80">
        <v>-583.33339999999998</v>
      </c>
      <c r="O80" t="s">
        <v>338</v>
      </c>
      <c r="P80">
        <v>-12</v>
      </c>
      <c r="Q80" t="s">
        <v>37</v>
      </c>
      <c r="R80">
        <v>-14</v>
      </c>
      <c r="S80" t="s">
        <v>111</v>
      </c>
      <c r="T80">
        <v>-315</v>
      </c>
      <c r="U80" t="s">
        <v>110</v>
      </c>
      <c r="V80">
        <v>-960</v>
      </c>
      <c r="W80" t="s">
        <v>112</v>
      </c>
      <c r="X80">
        <v>-25</v>
      </c>
      <c r="Y80" t="s">
        <v>378</v>
      </c>
      <c r="Z80">
        <v>-1</v>
      </c>
      <c r="AA80" t="s">
        <v>271</v>
      </c>
      <c r="AB80">
        <v>-16</v>
      </c>
      <c r="AC80" t="s">
        <v>187</v>
      </c>
      <c r="AD80">
        <v>-4</v>
      </c>
      <c r="AE80" t="s">
        <v>2046</v>
      </c>
      <c r="AF80">
        <v>-2</v>
      </c>
      <c r="AG80" t="s">
        <v>287</v>
      </c>
      <c r="AH80">
        <v>-74</v>
      </c>
      <c r="AI80" t="s">
        <v>851</v>
      </c>
      <c r="AJ80">
        <v>-20</v>
      </c>
      <c r="AK80" t="s">
        <v>788</v>
      </c>
      <c r="AL80">
        <v>-18</v>
      </c>
      <c r="AM80" t="s">
        <v>496</v>
      </c>
      <c r="AN80">
        <v>-16</v>
      </c>
    </row>
    <row r="81" spans="2:40" x14ac:dyDescent="0.25">
      <c r="B81" t="s">
        <v>271</v>
      </c>
      <c r="C81">
        <v>-96</v>
      </c>
      <c r="E81" t="s">
        <v>48</v>
      </c>
      <c r="F81">
        <v>-11</v>
      </c>
      <c r="H81" t="s">
        <v>189</v>
      </c>
      <c r="I81">
        <v>-28</v>
      </c>
      <c r="J81" t="s">
        <v>204</v>
      </c>
      <c r="K81">
        <v>-3</v>
      </c>
      <c r="L81" t="s">
        <v>1122</v>
      </c>
      <c r="M81">
        <v>-279</v>
      </c>
      <c r="O81" t="s">
        <v>600</v>
      </c>
      <c r="P81">
        <v>-16</v>
      </c>
      <c r="Q81" t="s">
        <v>1130</v>
      </c>
      <c r="R81">
        <v>-42</v>
      </c>
      <c r="S81" t="s">
        <v>1650</v>
      </c>
      <c r="T81">
        <v>-320</v>
      </c>
      <c r="U81" t="s">
        <v>287</v>
      </c>
      <c r="V81">
        <v>-72</v>
      </c>
      <c r="W81" t="s">
        <v>110</v>
      </c>
      <c r="X81">
        <v>-970</v>
      </c>
      <c r="Y81" t="s">
        <v>189</v>
      </c>
      <c r="Z81">
        <v>-3</v>
      </c>
      <c r="AA81" t="s">
        <v>272</v>
      </c>
      <c r="AB81">
        <v>-141</v>
      </c>
      <c r="AC81" t="s">
        <v>74</v>
      </c>
      <c r="AD81">
        <v>-2700</v>
      </c>
      <c r="AE81" t="s">
        <v>287</v>
      </c>
      <c r="AF81">
        <v>-36</v>
      </c>
      <c r="AG81" t="s">
        <v>788</v>
      </c>
      <c r="AH81">
        <v>-30</v>
      </c>
      <c r="AI81" t="s">
        <v>60</v>
      </c>
      <c r="AJ81">
        <v>-260</v>
      </c>
      <c r="AK81" t="s">
        <v>67</v>
      </c>
      <c r="AL81">
        <v>-19</v>
      </c>
      <c r="AM81" t="s">
        <v>21</v>
      </c>
      <c r="AN81">
        <v>-1</v>
      </c>
    </row>
    <row r="82" spans="2:40" x14ac:dyDescent="0.25">
      <c r="B82" t="s">
        <v>272</v>
      </c>
      <c r="C82">
        <v>-160</v>
      </c>
      <c r="E82" t="s">
        <v>206</v>
      </c>
      <c r="F82">
        <v>-17</v>
      </c>
      <c r="H82" t="s">
        <v>204</v>
      </c>
      <c r="I82">
        <v>-81</v>
      </c>
      <c r="J82" t="s">
        <v>238</v>
      </c>
      <c r="K82">
        <v>-300</v>
      </c>
      <c r="L82" t="s">
        <v>658</v>
      </c>
      <c r="M82">
        <v>-330</v>
      </c>
      <c r="O82" t="s">
        <v>496</v>
      </c>
      <c r="P82">
        <v>-12</v>
      </c>
      <c r="Q82" t="s">
        <v>1555</v>
      </c>
      <c r="R82">
        <v>-7</v>
      </c>
      <c r="S82" t="s">
        <v>112</v>
      </c>
      <c r="T82">
        <v>-102</v>
      </c>
      <c r="U82" t="s">
        <v>788</v>
      </c>
      <c r="V82">
        <v>-19</v>
      </c>
      <c r="W82" t="s">
        <v>287</v>
      </c>
      <c r="X82">
        <v>-53</v>
      </c>
      <c r="Y82" t="s">
        <v>204</v>
      </c>
      <c r="Z82">
        <v>-79.400000000000006</v>
      </c>
      <c r="AA82" t="s">
        <v>187</v>
      </c>
      <c r="AB82">
        <v>-4</v>
      </c>
      <c r="AC82" t="s">
        <v>53</v>
      </c>
      <c r="AD82">
        <v>-1</v>
      </c>
      <c r="AE82" t="s">
        <v>788</v>
      </c>
      <c r="AF82">
        <v>-12</v>
      </c>
      <c r="AG82" t="s">
        <v>67</v>
      </c>
      <c r="AH82">
        <v>-30</v>
      </c>
      <c r="AI82" t="s">
        <v>218</v>
      </c>
      <c r="AJ82">
        <v>-11</v>
      </c>
      <c r="AK82" t="s">
        <v>2265</v>
      </c>
      <c r="AL82">
        <v>-4</v>
      </c>
      <c r="AM82" t="s">
        <v>2332</v>
      </c>
      <c r="AN82">
        <v>-50</v>
      </c>
    </row>
    <row r="83" spans="2:40" x14ac:dyDescent="0.25">
      <c r="B83" t="s">
        <v>187</v>
      </c>
      <c r="C83">
        <v>-24</v>
      </c>
      <c r="E83" t="s">
        <v>49</v>
      </c>
      <c r="F83">
        <v>-30</v>
      </c>
      <c r="H83" t="s">
        <v>238</v>
      </c>
      <c r="I83">
        <v>-1340</v>
      </c>
      <c r="J83" t="s">
        <v>3</v>
      </c>
      <c r="K83">
        <v>-21</v>
      </c>
      <c r="L83" t="s">
        <v>198</v>
      </c>
      <c r="M83">
        <v>-256</v>
      </c>
      <c r="O83" t="s">
        <v>21</v>
      </c>
      <c r="P83">
        <v>-4</v>
      </c>
      <c r="Q83" t="s">
        <v>61</v>
      </c>
      <c r="R83">
        <v>-18</v>
      </c>
      <c r="S83" t="s">
        <v>110</v>
      </c>
      <c r="T83">
        <v>-830</v>
      </c>
      <c r="U83" t="s">
        <v>67</v>
      </c>
      <c r="V83">
        <v>-4</v>
      </c>
      <c r="W83" t="s">
        <v>788</v>
      </c>
      <c r="X83">
        <v>-9</v>
      </c>
      <c r="Y83" t="s">
        <v>238</v>
      </c>
      <c r="Z83">
        <v>-950</v>
      </c>
      <c r="AA83" t="s">
        <v>74</v>
      </c>
      <c r="AB83">
        <v>-600</v>
      </c>
      <c r="AC83" t="s">
        <v>713</v>
      </c>
      <c r="AD83">
        <v>-40</v>
      </c>
      <c r="AE83" t="s">
        <v>67</v>
      </c>
      <c r="AF83">
        <v>-20</v>
      </c>
      <c r="AG83" t="s">
        <v>1724</v>
      </c>
      <c r="AH83">
        <v>-4</v>
      </c>
      <c r="AI83" t="s">
        <v>111</v>
      </c>
      <c r="AJ83">
        <v>-230</v>
      </c>
      <c r="AK83" t="s">
        <v>1724</v>
      </c>
      <c r="AL83">
        <v>-7</v>
      </c>
      <c r="AM83" t="s">
        <v>2333</v>
      </c>
      <c r="AN83">
        <v>-50</v>
      </c>
    </row>
    <row r="84" spans="2:40" x14ac:dyDescent="0.25">
      <c r="B84" t="s">
        <v>74</v>
      </c>
      <c r="C84">
        <v>-2160</v>
      </c>
      <c r="E84" t="s">
        <v>190</v>
      </c>
      <c r="F84">
        <v>-33</v>
      </c>
      <c r="H84" t="s">
        <v>147</v>
      </c>
      <c r="I84">
        <v>-4</v>
      </c>
      <c r="J84" t="s">
        <v>972</v>
      </c>
      <c r="K84">
        <v>-6</v>
      </c>
      <c r="L84" t="s">
        <v>849</v>
      </c>
      <c r="M84">
        <v>-3</v>
      </c>
      <c r="O84" t="s">
        <v>969</v>
      </c>
      <c r="P84">
        <v>-1</v>
      </c>
      <c r="Q84" t="s">
        <v>1556</v>
      </c>
      <c r="R84">
        <v>-4</v>
      </c>
      <c r="S84" t="s">
        <v>287</v>
      </c>
      <c r="T84">
        <v>-61</v>
      </c>
      <c r="U84" t="s">
        <v>1724</v>
      </c>
      <c r="V84">
        <v>-2</v>
      </c>
      <c r="W84" t="s">
        <v>67</v>
      </c>
      <c r="X84">
        <v>-17</v>
      </c>
      <c r="Y84" t="s">
        <v>1886</v>
      </c>
      <c r="Z84">
        <v>-1</v>
      </c>
      <c r="AA84" t="s">
        <v>188</v>
      </c>
      <c r="AB84">
        <v>-1</v>
      </c>
      <c r="AC84" t="s">
        <v>789</v>
      </c>
      <c r="AD84">
        <v>-24</v>
      </c>
      <c r="AE84" t="s">
        <v>289</v>
      </c>
      <c r="AF84">
        <v>-45</v>
      </c>
      <c r="AG84" t="s">
        <v>289</v>
      </c>
      <c r="AH84">
        <v>-67</v>
      </c>
      <c r="AI84" t="s">
        <v>112</v>
      </c>
      <c r="AJ84">
        <v>-195</v>
      </c>
      <c r="AK84" t="s">
        <v>289</v>
      </c>
      <c r="AL84">
        <v>-46</v>
      </c>
      <c r="AM84" t="s">
        <v>54</v>
      </c>
      <c r="AN84">
        <v>-70</v>
      </c>
    </row>
    <row r="85" spans="2:40" x14ac:dyDescent="0.25">
      <c r="B85" t="s">
        <v>53</v>
      </c>
      <c r="C85">
        <v>-755</v>
      </c>
      <c r="E85" t="s">
        <v>4</v>
      </c>
      <c r="F85">
        <v>-82</v>
      </c>
      <c r="H85" t="s">
        <v>411</v>
      </c>
      <c r="I85">
        <v>-1</v>
      </c>
      <c r="J85" t="s">
        <v>973</v>
      </c>
      <c r="K85">
        <v>-23</v>
      </c>
      <c r="L85" t="s">
        <v>1123</v>
      </c>
      <c r="M85">
        <v>-12</v>
      </c>
      <c r="O85" t="s">
        <v>54</v>
      </c>
      <c r="P85">
        <v>-140</v>
      </c>
      <c r="Q85" t="s">
        <v>271</v>
      </c>
      <c r="R85">
        <v>-16</v>
      </c>
      <c r="S85" t="s">
        <v>788</v>
      </c>
      <c r="T85">
        <v>-39</v>
      </c>
      <c r="U85" t="s">
        <v>289</v>
      </c>
      <c r="V85">
        <v>-34</v>
      </c>
      <c r="W85" t="s">
        <v>289</v>
      </c>
      <c r="X85">
        <v>-24</v>
      </c>
      <c r="Y85" t="s">
        <v>1887</v>
      </c>
      <c r="Z85">
        <v>-1</v>
      </c>
      <c r="AA85" t="s">
        <v>189</v>
      </c>
      <c r="AB85">
        <v>-4</v>
      </c>
      <c r="AC85" t="s">
        <v>378</v>
      </c>
      <c r="AD85">
        <v>-2</v>
      </c>
      <c r="AE85" t="s">
        <v>2047</v>
      </c>
      <c r="AF85">
        <v>-16</v>
      </c>
      <c r="AG85" t="s">
        <v>255</v>
      </c>
      <c r="AH85">
        <v>-10</v>
      </c>
      <c r="AI85" t="s">
        <v>2193</v>
      </c>
      <c r="AJ85">
        <v>-20</v>
      </c>
      <c r="AK85" t="s">
        <v>105</v>
      </c>
      <c r="AL85">
        <v>-65</v>
      </c>
      <c r="AM85" t="s">
        <v>55</v>
      </c>
      <c r="AN85">
        <v>-95</v>
      </c>
    </row>
    <row r="86" spans="2:40" x14ac:dyDescent="0.25">
      <c r="B86" t="s">
        <v>713</v>
      </c>
      <c r="C86">
        <v>-40</v>
      </c>
      <c r="E86" t="s">
        <v>792</v>
      </c>
      <c r="F86">
        <v>-3</v>
      </c>
      <c r="H86" t="s">
        <v>790</v>
      </c>
      <c r="I86">
        <v>-30</v>
      </c>
      <c r="J86" t="s">
        <v>190</v>
      </c>
      <c r="K86">
        <v>-6</v>
      </c>
      <c r="L86" t="s">
        <v>338</v>
      </c>
      <c r="M86">
        <v>-24</v>
      </c>
      <c r="O86" t="s">
        <v>55</v>
      </c>
      <c r="P86">
        <v>-245</v>
      </c>
      <c r="Q86" t="s">
        <v>272</v>
      </c>
      <c r="R86">
        <v>-31</v>
      </c>
      <c r="S86" t="s">
        <v>67</v>
      </c>
      <c r="T86">
        <v>-24</v>
      </c>
      <c r="U86" t="s">
        <v>1554</v>
      </c>
      <c r="V86">
        <v>-5</v>
      </c>
      <c r="W86" t="s">
        <v>105</v>
      </c>
      <c r="X86">
        <v>-20</v>
      </c>
      <c r="Y86" t="s">
        <v>3</v>
      </c>
      <c r="Z86">
        <v>-4</v>
      </c>
      <c r="AA86" t="s">
        <v>1134</v>
      </c>
      <c r="AB86">
        <v>-3.5</v>
      </c>
      <c r="AC86" t="s">
        <v>204</v>
      </c>
      <c r="AD86">
        <v>-13.4</v>
      </c>
      <c r="AE86" t="s">
        <v>105</v>
      </c>
      <c r="AF86">
        <v>-30</v>
      </c>
      <c r="AG86" t="s">
        <v>37</v>
      </c>
      <c r="AH86">
        <v>-14</v>
      </c>
      <c r="AI86" t="s">
        <v>110</v>
      </c>
      <c r="AJ86">
        <v>-1300</v>
      </c>
      <c r="AK86" t="s">
        <v>255</v>
      </c>
      <c r="AL86">
        <v>-7</v>
      </c>
      <c r="AM86" t="s">
        <v>1548</v>
      </c>
      <c r="AN86">
        <v>-17</v>
      </c>
    </row>
    <row r="87" spans="2:40" x14ac:dyDescent="0.25">
      <c r="B87" t="s">
        <v>378</v>
      </c>
      <c r="C87">
        <v>-1</v>
      </c>
      <c r="E87" t="s">
        <v>391</v>
      </c>
      <c r="F87">
        <v>-132</v>
      </c>
      <c r="H87" t="s">
        <v>3</v>
      </c>
      <c r="I87">
        <v>-4</v>
      </c>
      <c r="J87" t="s">
        <v>856</v>
      </c>
      <c r="K87">
        <v>-12</v>
      </c>
      <c r="L87" t="s">
        <v>1124</v>
      </c>
      <c r="M87">
        <v>-3</v>
      </c>
      <c r="O87" t="s">
        <v>850</v>
      </c>
      <c r="P87">
        <v>-4</v>
      </c>
      <c r="Q87" t="s">
        <v>1133</v>
      </c>
      <c r="R87">
        <v>-39</v>
      </c>
      <c r="S87" t="s">
        <v>289</v>
      </c>
      <c r="T87">
        <v>-35</v>
      </c>
      <c r="U87" t="s">
        <v>105</v>
      </c>
      <c r="V87">
        <v>-10</v>
      </c>
      <c r="W87" t="s">
        <v>255</v>
      </c>
      <c r="X87">
        <v>-3</v>
      </c>
      <c r="Y87" t="s">
        <v>80</v>
      </c>
      <c r="Z87">
        <v>-1</v>
      </c>
      <c r="AA87" t="s">
        <v>1135</v>
      </c>
      <c r="AB87">
        <v>-3</v>
      </c>
      <c r="AC87" t="s">
        <v>238</v>
      </c>
      <c r="AD87">
        <v>-17</v>
      </c>
      <c r="AE87" t="s">
        <v>255</v>
      </c>
      <c r="AF87">
        <v>-4</v>
      </c>
      <c r="AG87" t="s">
        <v>563</v>
      </c>
      <c r="AH87">
        <v>-196</v>
      </c>
      <c r="AI87" t="s">
        <v>2046</v>
      </c>
      <c r="AJ87">
        <v>-2</v>
      </c>
      <c r="AK87" t="s">
        <v>37</v>
      </c>
      <c r="AL87">
        <v>-19</v>
      </c>
      <c r="AM87" t="s">
        <v>283</v>
      </c>
      <c r="AN87">
        <v>-78</v>
      </c>
    </row>
    <row r="88" spans="2:40" x14ac:dyDescent="0.25">
      <c r="B88" t="s">
        <v>188</v>
      </c>
      <c r="C88">
        <v>-7.1999999999999993</v>
      </c>
      <c r="E88" t="s">
        <v>401</v>
      </c>
      <c r="F88">
        <v>-19</v>
      </c>
      <c r="H88" t="s">
        <v>206</v>
      </c>
      <c r="I88">
        <v>-4</v>
      </c>
      <c r="J88" t="s">
        <v>375</v>
      </c>
      <c r="K88">
        <v>-1</v>
      </c>
      <c r="L88" t="s">
        <v>600</v>
      </c>
      <c r="M88">
        <v>-24</v>
      </c>
      <c r="O88" t="s">
        <v>283</v>
      </c>
      <c r="P88">
        <v>-144</v>
      </c>
      <c r="Q88" t="s">
        <v>187</v>
      </c>
      <c r="R88">
        <v>-28</v>
      </c>
      <c r="S88" t="s">
        <v>255</v>
      </c>
      <c r="T88">
        <v>-5</v>
      </c>
      <c r="U88" t="s">
        <v>255</v>
      </c>
      <c r="V88">
        <v>-5</v>
      </c>
      <c r="W88" t="s">
        <v>37</v>
      </c>
      <c r="X88">
        <v>-24</v>
      </c>
      <c r="Y88" t="s">
        <v>206</v>
      </c>
      <c r="Z88">
        <v>-1</v>
      </c>
      <c r="AA88" t="s">
        <v>204</v>
      </c>
      <c r="AB88">
        <v>-7</v>
      </c>
      <c r="AC88" t="s">
        <v>147</v>
      </c>
      <c r="AD88">
        <v>-1</v>
      </c>
      <c r="AE88" t="s">
        <v>37</v>
      </c>
      <c r="AF88">
        <v>-30</v>
      </c>
      <c r="AG88" t="s">
        <v>271</v>
      </c>
      <c r="AH88">
        <v>-86</v>
      </c>
      <c r="AI88" t="s">
        <v>287</v>
      </c>
      <c r="AJ88">
        <v>-71</v>
      </c>
      <c r="AK88" t="s">
        <v>1131</v>
      </c>
      <c r="AL88">
        <v>-1</v>
      </c>
      <c r="AM88" t="s">
        <v>60</v>
      </c>
      <c r="AN88">
        <v>-70</v>
      </c>
    </row>
    <row r="89" spans="2:40" x14ac:dyDescent="0.25">
      <c r="B89" t="s">
        <v>189</v>
      </c>
      <c r="C89">
        <v>-19</v>
      </c>
      <c r="E89" t="s">
        <v>236</v>
      </c>
      <c r="F89">
        <v>-54</v>
      </c>
      <c r="H89" t="s">
        <v>373</v>
      </c>
      <c r="I89">
        <v>-22</v>
      </c>
      <c r="J89" t="s">
        <v>16</v>
      </c>
      <c r="K89">
        <v>-1</v>
      </c>
      <c r="L89" t="s">
        <v>496</v>
      </c>
      <c r="M89">
        <v>-25</v>
      </c>
      <c r="O89" t="s">
        <v>1125</v>
      </c>
      <c r="P89">
        <v>-10</v>
      </c>
      <c r="Q89" t="s">
        <v>74</v>
      </c>
      <c r="R89">
        <v>-3000</v>
      </c>
      <c r="S89" t="s">
        <v>37</v>
      </c>
      <c r="T89">
        <v>-38</v>
      </c>
      <c r="U89" t="s">
        <v>37</v>
      </c>
      <c r="V89">
        <v>-14</v>
      </c>
      <c r="W89" t="s">
        <v>45</v>
      </c>
      <c r="X89">
        <v>-1</v>
      </c>
      <c r="Y89" t="s">
        <v>1888</v>
      </c>
      <c r="Z89">
        <v>-6</v>
      </c>
      <c r="AA89" t="s">
        <v>238</v>
      </c>
      <c r="AB89">
        <v>-200</v>
      </c>
      <c r="AC89" t="s">
        <v>791</v>
      </c>
      <c r="AD89">
        <v>-1</v>
      </c>
      <c r="AE89" t="s">
        <v>61</v>
      </c>
      <c r="AF89">
        <v>-35</v>
      </c>
      <c r="AG89" t="s">
        <v>272</v>
      </c>
      <c r="AH89">
        <v>-140</v>
      </c>
      <c r="AI89" t="s">
        <v>788</v>
      </c>
      <c r="AJ89">
        <v>-23</v>
      </c>
      <c r="AK89" t="s">
        <v>61</v>
      </c>
      <c r="AL89">
        <v>-10</v>
      </c>
      <c r="AM89" t="s">
        <v>218</v>
      </c>
      <c r="AN89">
        <v>-102.5</v>
      </c>
    </row>
    <row r="90" spans="2:40" x14ac:dyDescent="0.25">
      <c r="B90" t="s">
        <v>522</v>
      </c>
      <c r="C90">
        <v>-1</v>
      </c>
      <c r="E90" t="s">
        <v>396</v>
      </c>
      <c r="F90">
        <v>-6</v>
      </c>
      <c r="H90" t="s">
        <v>855</v>
      </c>
      <c r="I90">
        <v>-1</v>
      </c>
      <c r="J90" t="s">
        <v>974</v>
      </c>
      <c r="K90">
        <v>-3</v>
      </c>
      <c r="L90" t="s">
        <v>969</v>
      </c>
      <c r="M90">
        <v>-8</v>
      </c>
      <c r="O90" t="s">
        <v>756</v>
      </c>
      <c r="P90">
        <v>-2</v>
      </c>
      <c r="Q90" t="s">
        <v>53</v>
      </c>
      <c r="R90">
        <v>-370</v>
      </c>
      <c r="S90" t="s">
        <v>563</v>
      </c>
      <c r="T90">
        <v>-124</v>
      </c>
      <c r="U90" t="s">
        <v>45</v>
      </c>
      <c r="V90">
        <v>-1</v>
      </c>
      <c r="W90" t="s">
        <v>61</v>
      </c>
      <c r="X90">
        <v>-5</v>
      </c>
      <c r="Y90" t="s">
        <v>373</v>
      </c>
      <c r="Z90">
        <v>-3</v>
      </c>
      <c r="AA90" t="s">
        <v>147</v>
      </c>
      <c r="AB90">
        <v>-1</v>
      </c>
      <c r="AC90" t="s">
        <v>1977</v>
      </c>
      <c r="AD90">
        <v>-2</v>
      </c>
      <c r="AE90" t="s">
        <v>2048</v>
      </c>
      <c r="AF90">
        <v>-8</v>
      </c>
      <c r="AG90" t="s">
        <v>187</v>
      </c>
      <c r="AH90">
        <v>-24</v>
      </c>
      <c r="AI90" t="s">
        <v>67</v>
      </c>
      <c r="AJ90">
        <v>-14</v>
      </c>
      <c r="AK90" t="s">
        <v>563</v>
      </c>
      <c r="AL90">
        <v>-493</v>
      </c>
      <c r="AM90" t="s">
        <v>1392</v>
      </c>
      <c r="AN90">
        <v>-160</v>
      </c>
    </row>
    <row r="91" spans="2:40" x14ac:dyDescent="0.25">
      <c r="B91" t="s">
        <v>204</v>
      </c>
      <c r="C91">
        <v>-49</v>
      </c>
      <c r="E91" t="s">
        <v>449</v>
      </c>
      <c r="F91">
        <v>-424</v>
      </c>
      <c r="H91" t="s">
        <v>190</v>
      </c>
      <c r="I91">
        <v>-24</v>
      </c>
      <c r="J91" t="s">
        <v>4</v>
      </c>
      <c r="K91">
        <v>-36</v>
      </c>
      <c r="L91" t="s">
        <v>54</v>
      </c>
      <c r="M91">
        <v>-68</v>
      </c>
      <c r="O91" t="s">
        <v>851</v>
      </c>
      <c r="P91">
        <v>-250</v>
      </c>
      <c r="Q91" t="s">
        <v>713</v>
      </c>
      <c r="R91">
        <v>-370</v>
      </c>
      <c r="S91" t="s">
        <v>271</v>
      </c>
      <c r="T91">
        <v>-44</v>
      </c>
      <c r="U91" t="s">
        <v>61</v>
      </c>
      <c r="V91">
        <v>-5</v>
      </c>
      <c r="W91" t="s">
        <v>563</v>
      </c>
      <c r="X91">
        <v>-702</v>
      </c>
      <c r="Y91" t="s">
        <v>855</v>
      </c>
      <c r="Z91">
        <v>-1</v>
      </c>
      <c r="AA91" t="s">
        <v>1945</v>
      </c>
      <c r="AB91">
        <v>-1</v>
      </c>
      <c r="AC91" t="s">
        <v>80</v>
      </c>
      <c r="AD91">
        <v>-2</v>
      </c>
      <c r="AE91" t="s">
        <v>563</v>
      </c>
      <c r="AF91">
        <v>-179</v>
      </c>
      <c r="AG91" t="s">
        <v>74</v>
      </c>
      <c r="AH91">
        <v>-2300</v>
      </c>
      <c r="AI91" t="s">
        <v>1724</v>
      </c>
      <c r="AJ91">
        <v>-4</v>
      </c>
      <c r="AK91" t="s">
        <v>271</v>
      </c>
      <c r="AL91">
        <v>-54</v>
      </c>
      <c r="AM91" t="s">
        <v>1393</v>
      </c>
      <c r="AN91">
        <v>-20</v>
      </c>
    </row>
    <row r="92" spans="2:40" x14ac:dyDescent="0.25">
      <c r="B92" t="s">
        <v>238</v>
      </c>
      <c r="C92">
        <v>-938</v>
      </c>
      <c r="E92" t="s">
        <v>233</v>
      </c>
      <c r="F92">
        <v>-16</v>
      </c>
      <c r="H92" t="s">
        <v>856</v>
      </c>
      <c r="I92">
        <v>-16</v>
      </c>
      <c r="J92" t="s">
        <v>792</v>
      </c>
      <c r="K92">
        <v>-9</v>
      </c>
      <c r="L92" t="s">
        <v>55</v>
      </c>
      <c r="M92">
        <v>-171</v>
      </c>
      <c r="O92" t="s">
        <v>60</v>
      </c>
      <c r="P92">
        <v>-390</v>
      </c>
      <c r="Q92" t="s">
        <v>789</v>
      </c>
      <c r="R92">
        <v>-86</v>
      </c>
      <c r="S92" t="s">
        <v>272</v>
      </c>
      <c r="T92">
        <v>-67</v>
      </c>
      <c r="U92" t="s">
        <v>563</v>
      </c>
      <c r="V92">
        <v>-245</v>
      </c>
      <c r="W92" t="s">
        <v>271</v>
      </c>
      <c r="X92">
        <v>-32</v>
      </c>
      <c r="Y92" t="s">
        <v>190</v>
      </c>
      <c r="Z92">
        <v>-1</v>
      </c>
      <c r="AA92" t="s">
        <v>790</v>
      </c>
      <c r="AB92">
        <v>-1</v>
      </c>
      <c r="AC92" t="s">
        <v>206</v>
      </c>
      <c r="AD92">
        <v>-2</v>
      </c>
      <c r="AE92" t="s">
        <v>271</v>
      </c>
      <c r="AF92">
        <v>-50</v>
      </c>
      <c r="AG92" t="s">
        <v>713</v>
      </c>
      <c r="AH92">
        <v>-750</v>
      </c>
      <c r="AI92" t="s">
        <v>289</v>
      </c>
      <c r="AJ92">
        <v>-58</v>
      </c>
      <c r="AK92" t="s">
        <v>272</v>
      </c>
      <c r="AL92">
        <v>-90</v>
      </c>
      <c r="AM92" t="s">
        <v>111</v>
      </c>
      <c r="AN92">
        <v>-425</v>
      </c>
    </row>
    <row r="93" spans="2:40" x14ac:dyDescent="0.25">
      <c r="B93" t="s">
        <v>147</v>
      </c>
      <c r="C93">
        <v>-8</v>
      </c>
      <c r="E93" t="s">
        <v>245</v>
      </c>
      <c r="F93">
        <v>-15</v>
      </c>
      <c r="H93" t="s">
        <v>375</v>
      </c>
      <c r="I93">
        <v>-22</v>
      </c>
      <c r="J93" t="s">
        <v>12</v>
      </c>
      <c r="K93">
        <v>-1</v>
      </c>
      <c r="L93" t="s">
        <v>850</v>
      </c>
      <c r="M93">
        <v>-4</v>
      </c>
      <c r="O93" t="s">
        <v>218</v>
      </c>
      <c r="P93">
        <v>-16</v>
      </c>
      <c r="Q93" t="s">
        <v>188</v>
      </c>
      <c r="R93">
        <v>-20.399999999999999</v>
      </c>
      <c r="S93" t="s">
        <v>187</v>
      </c>
      <c r="T93">
        <v>-10</v>
      </c>
      <c r="U93" t="s">
        <v>271</v>
      </c>
      <c r="V93">
        <v>-57</v>
      </c>
      <c r="W93" t="s">
        <v>272</v>
      </c>
      <c r="X93">
        <v>-56</v>
      </c>
      <c r="Y93" t="s">
        <v>856</v>
      </c>
      <c r="Z93">
        <v>-1</v>
      </c>
      <c r="AA93" t="s">
        <v>791</v>
      </c>
      <c r="AB93">
        <v>-1</v>
      </c>
      <c r="AC93" t="s">
        <v>373</v>
      </c>
      <c r="AD93">
        <v>-3</v>
      </c>
      <c r="AE93" t="s">
        <v>272</v>
      </c>
      <c r="AF93">
        <v>-52</v>
      </c>
      <c r="AG93" t="s">
        <v>789</v>
      </c>
      <c r="AH93">
        <v>-48</v>
      </c>
      <c r="AI93" t="s">
        <v>1129</v>
      </c>
      <c r="AJ93">
        <v>-14</v>
      </c>
      <c r="AK93" t="s">
        <v>187</v>
      </c>
      <c r="AL93">
        <v>-14</v>
      </c>
      <c r="AM93" t="s">
        <v>1126</v>
      </c>
      <c r="AN93">
        <v>-60</v>
      </c>
    </row>
    <row r="94" spans="2:40" x14ac:dyDescent="0.25">
      <c r="B94" t="s">
        <v>509</v>
      </c>
      <c r="C94">
        <v>-4</v>
      </c>
      <c r="E94" t="s">
        <v>367</v>
      </c>
      <c r="F94">
        <v>-2</v>
      </c>
      <c r="H94" t="s">
        <v>16</v>
      </c>
      <c r="I94">
        <v>-8</v>
      </c>
      <c r="J94" t="s">
        <v>236</v>
      </c>
      <c r="K94">
        <v>-6</v>
      </c>
      <c r="L94" t="s">
        <v>283</v>
      </c>
      <c r="M94">
        <v>-96</v>
      </c>
      <c r="O94" t="s">
        <v>1392</v>
      </c>
      <c r="P94">
        <v>-320</v>
      </c>
      <c r="Q94" t="s">
        <v>189</v>
      </c>
      <c r="R94">
        <v>-48</v>
      </c>
      <c r="S94" t="s">
        <v>74</v>
      </c>
      <c r="T94">
        <v>-1450</v>
      </c>
      <c r="U94" t="s">
        <v>272</v>
      </c>
      <c r="V94">
        <v>-72</v>
      </c>
      <c r="W94" t="s">
        <v>187</v>
      </c>
      <c r="X94">
        <v>-8</v>
      </c>
      <c r="Y94" t="s">
        <v>375</v>
      </c>
      <c r="Z94">
        <v>-2</v>
      </c>
      <c r="AA94" t="s">
        <v>3</v>
      </c>
      <c r="AB94">
        <v>-4</v>
      </c>
      <c r="AC94" t="s">
        <v>1978</v>
      </c>
      <c r="AD94">
        <v>-2</v>
      </c>
      <c r="AE94" t="s">
        <v>187</v>
      </c>
      <c r="AF94">
        <v>-16</v>
      </c>
      <c r="AG94" t="s">
        <v>378</v>
      </c>
      <c r="AH94">
        <v>-2</v>
      </c>
      <c r="AI94" t="s">
        <v>105</v>
      </c>
      <c r="AJ94">
        <v>-15</v>
      </c>
      <c r="AK94" t="s">
        <v>74</v>
      </c>
      <c r="AL94">
        <v>-1845</v>
      </c>
      <c r="AM94" t="s">
        <v>112</v>
      </c>
      <c r="AN94">
        <v>-150</v>
      </c>
    </row>
    <row r="95" spans="2:40" x14ac:dyDescent="0.25">
      <c r="B95" t="s">
        <v>410</v>
      </c>
      <c r="C95">
        <v>-2</v>
      </c>
      <c r="E95" t="s">
        <v>223</v>
      </c>
      <c r="F95">
        <v>-104</v>
      </c>
      <c r="H95" t="s">
        <v>376</v>
      </c>
      <c r="I95">
        <v>-22</v>
      </c>
      <c r="J95" t="s">
        <v>396</v>
      </c>
      <c r="K95">
        <v>-6</v>
      </c>
      <c r="L95" t="s">
        <v>1125</v>
      </c>
      <c r="M95">
        <v>-6</v>
      </c>
      <c r="O95" t="s">
        <v>1393</v>
      </c>
      <c r="P95">
        <v>-300</v>
      </c>
      <c r="Q95" t="s">
        <v>204</v>
      </c>
      <c r="R95">
        <v>-72</v>
      </c>
      <c r="S95" t="s">
        <v>713</v>
      </c>
      <c r="T95">
        <v>-370</v>
      </c>
      <c r="U95" t="s">
        <v>1133</v>
      </c>
      <c r="V95">
        <v>-45</v>
      </c>
      <c r="W95" t="s">
        <v>74</v>
      </c>
      <c r="X95">
        <v>-850</v>
      </c>
      <c r="Y95" t="s">
        <v>1889</v>
      </c>
      <c r="Z95">
        <v>-2</v>
      </c>
      <c r="AA95" t="s">
        <v>80</v>
      </c>
      <c r="AB95">
        <v>-4</v>
      </c>
      <c r="AC95" t="s">
        <v>1144</v>
      </c>
      <c r="AD95">
        <v>-4</v>
      </c>
      <c r="AE95" t="s">
        <v>74</v>
      </c>
      <c r="AF95">
        <v>-1400</v>
      </c>
      <c r="AG95" t="s">
        <v>188</v>
      </c>
      <c r="AH95">
        <v>-4.3999999999999995</v>
      </c>
      <c r="AI95" t="s">
        <v>255</v>
      </c>
      <c r="AJ95">
        <v>-7</v>
      </c>
      <c r="AK95" t="s">
        <v>53</v>
      </c>
      <c r="AL95">
        <v>-6</v>
      </c>
      <c r="AM95" t="s">
        <v>110</v>
      </c>
      <c r="AN95">
        <v>-972</v>
      </c>
    </row>
    <row r="96" spans="2:40" x14ac:dyDescent="0.25">
      <c r="B96" t="s">
        <v>593</v>
      </c>
      <c r="C96">
        <v>-1</v>
      </c>
      <c r="E96" t="s">
        <v>38</v>
      </c>
      <c r="F96">
        <v>-66</v>
      </c>
      <c r="H96" t="s">
        <v>4</v>
      </c>
      <c r="I96">
        <v>-20</v>
      </c>
      <c r="J96" t="s">
        <v>857</v>
      </c>
      <c r="K96">
        <v>-2</v>
      </c>
      <c r="L96" t="s">
        <v>851</v>
      </c>
      <c r="M96">
        <v>-180</v>
      </c>
      <c r="O96" t="s">
        <v>111</v>
      </c>
      <c r="P96">
        <v>-1120</v>
      </c>
      <c r="Q96" t="s">
        <v>238</v>
      </c>
      <c r="R96">
        <v>-600</v>
      </c>
      <c r="S96" t="s">
        <v>789</v>
      </c>
      <c r="T96">
        <v>-120</v>
      </c>
      <c r="U96" t="s">
        <v>187</v>
      </c>
      <c r="V96">
        <v>-16</v>
      </c>
      <c r="W96" t="s">
        <v>713</v>
      </c>
      <c r="X96">
        <v>-380</v>
      </c>
      <c r="Y96" t="s">
        <v>1890</v>
      </c>
      <c r="Z96">
        <v>-2</v>
      </c>
      <c r="AA96" t="s">
        <v>1946</v>
      </c>
      <c r="AB96">
        <v>-2</v>
      </c>
      <c r="AC96" t="s">
        <v>375</v>
      </c>
      <c r="AD96">
        <v>-4</v>
      </c>
      <c r="AE96" t="s">
        <v>53</v>
      </c>
      <c r="AF96">
        <v>-4</v>
      </c>
      <c r="AG96" t="s">
        <v>189</v>
      </c>
      <c r="AH96">
        <v>-14</v>
      </c>
      <c r="AI96" t="s">
        <v>37</v>
      </c>
      <c r="AJ96">
        <v>-55</v>
      </c>
      <c r="AK96" t="s">
        <v>713</v>
      </c>
      <c r="AL96">
        <v>-300</v>
      </c>
      <c r="AM96" t="s">
        <v>2046</v>
      </c>
      <c r="AN96">
        <v>-6</v>
      </c>
    </row>
    <row r="97" spans="2:40" x14ac:dyDescent="0.25">
      <c r="B97" t="s">
        <v>42</v>
      </c>
      <c r="C97">
        <v>-45</v>
      </c>
      <c r="E97" t="s">
        <v>793</v>
      </c>
      <c r="F97">
        <v>-32</v>
      </c>
      <c r="H97" t="s">
        <v>391</v>
      </c>
      <c r="I97">
        <v>-17</v>
      </c>
      <c r="J97" t="s">
        <v>449</v>
      </c>
      <c r="K97">
        <v>-28</v>
      </c>
      <c r="L97" t="s">
        <v>60</v>
      </c>
      <c r="M97">
        <v>-204</v>
      </c>
      <c r="O97" t="s">
        <v>1126</v>
      </c>
      <c r="P97">
        <v>-600</v>
      </c>
      <c r="Q97" t="s">
        <v>3</v>
      </c>
      <c r="R97">
        <v>-36</v>
      </c>
      <c r="S97" t="s">
        <v>378</v>
      </c>
      <c r="T97">
        <v>-2</v>
      </c>
      <c r="U97" t="s">
        <v>74</v>
      </c>
      <c r="V97">
        <v>-1550</v>
      </c>
      <c r="W97" t="s">
        <v>789</v>
      </c>
      <c r="X97">
        <v>-42</v>
      </c>
      <c r="Y97" t="s">
        <v>16</v>
      </c>
      <c r="Z97">
        <v>-17</v>
      </c>
      <c r="AA97" t="s">
        <v>206</v>
      </c>
      <c r="AB97">
        <v>-2</v>
      </c>
      <c r="AC97" t="s">
        <v>376</v>
      </c>
      <c r="AD97">
        <v>-3</v>
      </c>
      <c r="AE97" t="s">
        <v>713</v>
      </c>
      <c r="AF97">
        <v>-320</v>
      </c>
      <c r="AG97" t="s">
        <v>2142</v>
      </c>
      <c r="AH97">
        <v>-30</v>
      </c>
      <c r="AI97" t="s">
        <v>45</v>
      </c>
      <c r="AJ97">
        <v>-2</v>
      </c>
      <c r="AK97" t="s">
        <v>378</v>
      </c>
      <c r="AL97">
        <v>-2</v>
      </c>
      <c r="AM97" t="s">
        <v>287</v>
      </c>
      <c r="AN97">
        <v>-48</v>
      </c>
    </row>
    <row r="98" spans="2:40" x14ac:dyDescent="0.25">
      <c r="B98" t="s">
        <v>3</v>
      </c>
      <c r="C98">
        <v>-4</v>
      </c>
      <c r="E98" t="s">
        <v>170</v>
      </c>
      <c r="F98">
        <v>-20</v>
      </c>
      <c r="H98" t="s">
        <v>12</v>
      </c>
      <c r="I98">
        <v>-1</v>
      </c>
      <c r="J98" t="s">
        <v>975</v>
      </c>
      <c r="K98">
        <v>-3</v>
      </c>
      <c r="L98" t="s">
        <v>111</v>
      </c>
      <c r="M98">
        <v>-165</v>
      </c>
      <c r="O98" t="s">
        <v>112</v>
      </c>
      <c r="P98">
        <v>-120</v>
      </c>
      <c r="Q98" t="s">
        <v>80</v>
      </c>
      <c r="R98">
        <v>-5</v>
      </c>
      <c r="S98" t="s">
        <v>188</v>
      </c>
      <c r="T98">
        <v>-2.4000000000000004</v>
      </c>
      <c r="U98" t="s">
        <v>789</v>
      </c>
      <c r="V98">
        <v>-86</v>
      </c>
      <c r="W98" t="s">
        <v>188</v>
      </c>
      <c r="X98">
        <v>-1</v>
      </c>
      <c r="Y98" t="s">
        <v>376</v>
      </c>
      <c r="Z98">
        <v>-5</v>
      </c>
      <c r="AA98" t="s">
        <v>373</v>
      </c>
      <c r="AB98">
        <v>-2</v>
      </c>
      <c r="AC98" t="s">
        <v>1979</v>
      </c>
      <c r="AD98">
        <v>-2</v>
      </c>
      <c r="AE98" t="s">
        <v>789</v>
      </c>
      <c r="AF98">
        <v>-72</v>
      </c>
      <c r="AG98" t="s">
        <v>204</v>
      </c>
      <c r="AH98">
        <v>-46.4</v>
      </c>
      <c r="AI98" t="s">
        <v>61</v>
      </c>
      <c r="AJ98">
        <v>-20</v>
      </c>
      <c r="AK98" t="s">
        <v>188</v>
      </c>
      <c r="AL98">
        <v>-3</v>
      </c>
      <c r="AM98" t="s">
        <v>788</v>
      </c>
      <c r="AN98">
        <v>-18</v>
      </c>
    </row>
    <row r="99" spans="2:40" x14ac:dyDescent="0.25">
      <c r="B99" t="s">
        <v>80</v>
      </c>
      <c r="C99">
        <v>-7</v>
      </c>
      <c r="E99" t="s">
        <v>84</v>
      </c>
      <c r="F99">
        <v>-20</v>
      </c>
      <c r="H99" t="s">
        <v>401</v>
      </c>
      <c r="I99">
        <v>-4</v>
      </c>
      <c r="J99" t="s">
        <v>858</v>
      </c>
      <c r="K99">
        <v>-6</v>
      </c>
      <c r="L99" t="s">
        <v>1126</v>
      </c>
      <c r="M99">
        <v>-360</v>
      </c>
      <c r="O99" t="s">
        <v>1394</v>
      </c>
      <c r="P99">
        <v>-80</v>
      </c>
      <c r="Q99" t="s">
        <v>1143</v>
      </c>
      <c r="R99">
        <v>-6</v>
      </c>
      <c r="S99" t="s">
        <v>189</v>
      </c>
      <c r="T99">
        <v>-6</v>
      </c>
      <c r="U99" t="s">
        <v>378</v>
      </c>
      <c r="V99">
        <v>-2</v>
      </c>
      <c r="W99" t="s">
        <v>189</v>
      </c>
      <c r="X99">
        <v>-2</v>
      </c>
      <c r="Y99" t="s">
        <v>4</v>
      </c>
      <c r="Z99">
        <v>-4</v>
      </c>
      <c r="AA99" t="s">
        <v>855</v>
      </c>
      <c r="AB99">
        <v>-2</v>
      </c>
      <c r="AC99" t="s">
        <v>1980</v>
      </c>
      <c r="AD99">
        <v>-48</v>
      </c>
      <c r="AE99" t="s">
        <v>188</v>
      </c>
      <c r="AF99">
        <v>-5.3999999999999995</v>
      </c>
      <c r="AG99" t="s">
        <v>238</v>
      </c>
      <c r="AH99">
        <v>-972</v>
      </c>
      <c r="AI99" t="s">
        <v>563</v>
      </c>
      <c r="AJ99">
        <v>-240</v>
      </c>
      <c r="AK99" t="s">
        <v>189</v>
      </c>
      <c r="AL99">
        <v>-6</v>
      </c>
      <c r="AM99" t="s">
        <v>67</v>
      </c>
      <c r="AN99">
        <v>-4</v>
      </c>
    </row>
    <row r="100" spans="2:40" x14ac:dyDescent="0.25">
      <c r="B100" t="s">
        <v>48</v>
      </c>
      <c r="C100">
        <v>-15</v>
      </c>
      <c r="E100" t="s">
        <v>224</v>
      </c>
      <c r="F100">
        <v>-16</v>
      </c>
      <c r="H100" t="s">
        <v>236</v>
      </c>
      <c r="I100">
        <v>-150</v>
      </c>
      <c r="J100" t="s">
        <v>233</v>
      </c>
      <c r="K100">
        <v>-3</v>
      </c>
      <c r="L100" t="s">
        <v>112</v>
      </c>
      <c r="M100">
        <v>-115</v>
      </c>
      <c r="O100" t="s">
        <v>110</v>
      </c>
      <c r="P100">
        <v>-1600</v>
      </c>
      <c r="Q100" t="s">
        <v>854</v>
      </c>
      <c r="R100">
        <v>-5</v>
      </c>
      <c r="S100" t="s">
        <v>204</v>
      </c>
      <c r="T100">
        <v>-92.600000000000009</v>
      </c>
      <c r="U100" t="s">
        <v>188</v>
      </c>
      <c r="V100">
        <v>-3.4000000000000004</v>
      </c>
      <c r="W100" t="s">
        <v>204</v>
      </c>
      <c r="X100">
        <v>-127</v>
      </c>
      <c r="Y100" t="s">
        <v>792</v>
      </c>
      <c r="Z100">
        <v>-2</v>
      </c>
      <c r="AA100" t="s">
        <v>190</v>
      </c>
      <c r="AB100">
        <v>-3</v>
      </c>
      <c r="AC100" t="s">
        <v>974</v>
      </c>
      <c r="AD100">
        <v>-2</v>
      </c>
      <c r="AE100" t="s">
        <v>189</v>
      </c>
      <c r="AF100">
        <v>-18</v>
      </c>
      <c r="AG100" t="s">
        <v>1945</v>
      </c>
      <c r="AH100">
        <v>-1</v>
      </c>
      <c r="AI100" t="s">
        <v>271</v>
      </c>
      <c r="AJ100">
        <v>-40</v>
      </c>
      <c r="AK100" t="s">
        <v>204</v>
      </c>
      <c r="AL100">
        <v>-59.999999999999993</v>
      </c>
      <c r="AM100" t="s">
        <v>289</v>
      </c>
      <c r="AN100">
        <v>-38</v>
      </c>
    </row>
    <row r="101" spans="2:40" x14ac:dyDescent="0.25">
      <c r="B101" t="s">
        <v>206</v>
      </c>
      <c r="C101">
        <v>-8</v>
      </c>
      <c r="E101" t="s">
        <v>166</v>
      </c>
      <c r="F101">
        <v>-121</v>
      </c>
      <c r="H101" t="s">
        <v>396</v>
      </c>
      <c r="I101">
        <v>-14</v>
      </c>
      <c r="J101" t="s">
        <v>9</v>
      </c>
      <c r="K101">
        <v>-15</v>
      </c>
      <c r="L101" t="s">
        <v>110</v>
      </c>
      <c r="M101">
        <v>-380</v>
      </c>
      <c r="O101" t="s">
        <v>287</v>
      </c>
      <c r="P101">
        <v>-94</v>
      </c>
      <c r="Q101" t="s">
        <v>190</v>
      </c>
      <c r="R101">
        <v>-84</v>
      </c>
      <c r="S101" t="s">
        <v>238</v>
      </c>
      <c r="T101">
        <v>-980</v>
      </c>
      <c r="U101" t="s">
        <v>189</v>
      </c>
      <c r="V101">
        <v>-24</v>
      </c>
      <c r="W101" t="s">
        <v>238</v>
      </c>
      <c r="X101">
        <v>-200</v>
      </c>
      <c r="Y101" t="s">
        <v>12</v>
      </c>
      <c r="Z101">
        <v>-1</v>
      </c>
      <c r="AA101" t="s">
        <v>375</v>
      </c>
      <c r="AB101">
        <v>-2</v>
      </c>
      <c r="AC101" t="s">
        <v>4</v>
      </c>
      <c r="AD101">
        <v>-53</v>
      </c>
      <c r="AE101" t="s">
        <v>204</v>
      </c>
      <c r="AF101">
        <v>-57</v>
      </c>
      <c r="AG101" t="s">
        <v>790</v>
      </c>
      <c r="AH101">
        <v>-1</v>
      </c>
      <c r="AI101" t="s">
        <v>272</v>
      </c>
      <c r="AJ101">
        <v>-66</v>
      </c>
      <c r="AK101" t="s">
        <v>238</v>
      </c>
      <c r="AL101">
        <v>-1000</v>
      </c>
      <c r="AM101" t="s">
        <v>255</v>
      </c>
      <c r="AN101">
        <v>-6</v>
      </c>
    </row>
    <row r="102" spans="2:40" x14ac:dyDescent="0.25">
      <c r="B102" t="s">
        <v>49</v>
      </c>
      <c r="C102">
        <v>-47</v>
      </c>
      <c r="E102" t="s">
        <v>464</v>
      </c>
      <c r="F102">
        <v>-46</v>
      </c>
      <c r="H102" t="s">
        <v>449</v>
      </c>
      <c r="I102">
        <v>-165</v>
      </c>
      <c r="J102" t="s">
        <v>367</v>
      </c>
      <c r="K102">
        <v>-2</v>
      </c>
      <c r="L102" t="s">
        <v>287</v>
      </c>
      <c r="M102">
        <v>-79</v>
      </c>
      <c r="O102" t="s">
        <v>788</v>
      </c>
      <c r="P102">
        <v>-6</v>
      </c>
      <c r="Q102" t="s">
        <v>856</v>
      </c>
      <c r="R102">
        <v>-20</v>
      </c>
      <c r="S102" t="s">
        <v>790</v>
      </c>
      <c r="T102">
        <v>-6</v>
      </c>
      <c r="U102" t="s">
        <v>204</v>
      </c>
      <c r="V102">
        <v>-64.8</v>
      </c>
      <c r="W102" t="s">
        <v>791</v>
      </c>
      <c r="X102">
        <v>-6</v>
      </c>
      <c r="Y102" t="s">
        <v>1891</v>
      </c>
      <c r="Z102">
        <v>-4</v>
      </c>
      <c r="AA102" t="s">
        <v>16</v>
      </c>
      <c r="AB102">
        <v>-6</v>
      </c>
      <c r="AC102" t="s">
        <v>792</v>
      </c>
      <c r="AD102">
        <v>-5</v>
      </c>
      <c r="AE102" t="s">
        <v>238</v>
      </c>
      <c r="AF102">
        <v>-803</v>
      </c>
      <c r="AG102" t="s">
        <v>593</v>
      </c>
      <c r="AH102">
        <v>-1</v>
      </c>
      <c r="AI102" t="s">
        <v>187</v>
      </c>
      <c r="AJ102">
        <v>-14</v>
      </c>
      <c r="AK102" t="s">
        <v>147</v>
      </c>
      <c r="AL102">
        <v>-2</v>
      </c>
      <c r="AM102" t="s">
        <v>37</v>
      </c>
      <c r="AN102">
        <v>-18</v>
      </c>
    </row>
    <row r="103" spans="2:40" x14ac:dyDescent="0.25">
      <c r="B103" t="s">
        <v>373</v>
      </c>
      <c r="C103">
        <v>-2</v>
      </c>
      <c r="E103" t="s">
        <v>794</v>
      </c>
      <c r="F103">
        <v>-40</v>
      </c>
      <c r="H103" t="s">
        <v>858</v>
      </c>
      <c r="I103">
        <v>-8</v>
      </c>
      <c r="J103" t="s">
        <v>701</v>
      </c>
      <c r="K103">
        <v>-3</v>
      </c>
      <c r="L103" t="s">
        <v>788</v>
      </c>
      <c r="M103">
        <v>-9</v>
      </c>
      <c r="O103" t="s">
        <v>67</v>
      </c>
      <c r="P103">
        <v>-22</v>
      </c>
      <c r="Q103" t="s">
        <v>1149</v>
      </c>
      <c r="R103">
        <v>-84</v>
      </c>
      <c r="S103" t="s">
        <v>791</v>
      </c>
      <c r="T103">
        <v>-9</v>
      </c>
      <c r="U103" t="s">
        <v>238</v>
      </c>
      <c r="V103">
        <v>-1315</v>
      </c>
      <c r="W103" t="s">
        <v>80</v>
      </c>
      <c r="X103">
        <v>-4</v>
      </c>
      <c r="Y103" t="s">
        <v>396</v>
      </c>
      <c r="Z103">
        <v>-2</v>
      </c>
      <c r="AA103" t="s">
        <v>376</v>
      </c>
      <c r="AB103">
        <v>-2</v>
      </c>
      <c r="AC103" t="s">
        <v>391</v>
      </c>
      <c r="AD103">
        <v>-7</v>
      </c>
      <c r="AE103" t="s">
        <v>411</v>
      </c>
      <c r="AF103">
        <v>-1</v>
      </c>
      <c r="AG103" t="s">
        <v>2143</v>
      </c>
      <c r="AH103">
        <v>-4</v>
      </c>
      <c r="AI103" t="s">
        <v>74</v>
      </c>
      <c r="AJ103">
        <v>-2055</v>
      </c>
      <c r="AK103" t="s">
        <v>1945</v>
      </c>
      <c r="AL103">
        <v>-6</v>
      </c>
      <c r="AM103" t="s">
        <v>2334</v>
      </c>
      <c r="AN103">
        <v>-3</v>
      </c>
    </row>
    <row r="104" spans="2:40" x14ac:dyDescent="0.25">
      <c r="B104" t="s">
        <v>190</v>
      </c>
      <c r="C104">
        <v>-22</v>
      </c>
      <c r="E104" t="s">
        <v>8</v>
      </c>
      <c r="F104">
        <v>-278</v>
      </c>
      <c r="H104" t="s">
        <v>233</v>
      </c>
      <c r="I104">
        <v>-4</v>
      </c>
      <c r="J104" t="s">
        <v>170</v>
      </c>
      <c r="K104">
        <v>-10</v>
      </c>
      <c r="L104" t="s">
        <v>67</v>
      </c>
      <c r="M104">
        <v>-21</v>
      </c>
      <c r="O104" t="s">
        <v>289</v>
      </c>
      <c r="P104">
        <v>-76</v>
      </c>
      <c r="Q104" t="s">
        <v>1151</v>
      </c>
      <c r="R104">
        <v>-42</v>
      </c>
      <c r="S104" t="s">
        <v>1397</v>
      </c>
      <c r="T104">
        <v>-22</v>
      </c>
      <c r="U104" t="s">
        <v>147</v>
      </c>
      <c r="V104">
        <v>-2</v>
      </c>
      <c r="W104" t="s">
        <v>1397</v>
      </c>
      <c r="X104">
        <v>-1</v>
      </c>
      <c r="Y104" t="s">
        <v>449</v>
      </c>
      <c r="Z104">
        <v>-32</v>
      </c>
      <c r="AA104" t="s">
        <v>4</v>
      </c>
      <c r="AB104">
        <v>-4</v>
      </c>
      <c r="AC104" t="s">
        <v>396</v>
      </c>
      <c r="AD104">
        <v>-2</v>
      </c>
      <c r="AE104" t="s">
        <v>1945</v>
      </c>
      <c r="AF104">
        <v>-5</v>
      </c>
      <c r="AG104" t="s">
        <v>791</v>
      </c>
      <c r="AH104">
        <v>-5</v>
      </c>
      <c r="AI104" t="s">
        <v>53</v>
      </c>
      <c r="AJ104">
        <v>-60</v>
      </c>
      <c r="AK104" t="s">
        <v>410</v>
      </c>
      <c r="AL104">
        <v>-2</v>
      </c>
      <c r="AM104" t="s">
        <v>45</v>
      </c>
      <c r="AN104">
        <v>-2</v>
      </c>
    </row>
    <row r="105" spans="2:40" x14ac:dyDescent="0.25">
      <c r="B105" t="s">
        <v>375</v>
      </c>
      <c r="C105">
        <v>-2</v>
      </c>
      <c r="E105" t="s">
        <v>82</v>
      </c>
      <c r="F105">
        <v>-1</v>
      </c>
      <c r="H105" t="s">
        <v>245</v>
      </c>
      <c r="I105">
        <v>-5</v>
      </c>
      <c r="J105" t="s">
        <v>859</v>
      </c>
      <c r="K105">
        <v>-17</v>
      </c>
      <c r="L105" t="s">
        <v>1127</v>
      </c>
      <c r="M105">
        <v>-4</v>
      </c>
      <c r="O105" t="s">
        <v>970</v>
      </c>
      <c r="P105">
        <v>-13</v>
      </c>
      <c r="Q105" t="s">
        <v>1152</v>
      </c>
      <c r="R105">
        <v>-42</v>
      </c>
      <c r="S105" t="s">
        <v>206</v>
      </c>
      <c r="T105">
        <v>-3</v>
      </c>
      <c r="U105" t="s">
        <v>411</v>
      </c>
      <c r="V105">
        <v>-3</v>
      </c>
      <c r="W105" t="s">
        <v>1814</v>
      </c>
      <c r="X105">
        <v>-1</v>
      </c>
      <c r="Y105" t="s">
        <v>1892</v>
      </c>
      <c r="Z105">
        <v>-1</v>
      </c>
      <c r="AA105" t="s">
        <v>391</v>
      </c>
      <c r="AB105">
        <v>-8</v>
      </c>
      <c r="AC105" t="s">
        <v>449</v>
      </c>
      <c r="AD105">
        <v>-16</v>
      </c>
      <c r="AE105" t="s">
        <v>790</v>
      </c>
      <c r="AF105">
        <v>-11</v>
      </c>
      <c r="AG105" t="s">
        <v>3</v>
      </c>
      <c r="AH105">
        <v>-8</v>
      </c>
      <c r="AI105" t="s">
        <v>713</v>
      </c>
      <c r="AJ105">
        <v>-200</v>
      </c>
      <c r="AK105" t="s">
        <v>790</v>
      </c>
      <c r="AL105">
        <v>-6</v>
      </c>
      <c r="AM105" t="s">
        <v>61</v>
      </c>
      <c r="AN105">
        <v>-10</v>
      </c>
    </row>
    <row r="106" spans="2:40" x14ac:dyDescent="0.25">
      <c r="B106" t="s">
        <v>16</v>
      </c>
      <c r="C106">
        <v>-9</v>
      </c>
      <c r="E106" t="s">
        <v>387</v>
      </c>
      <c r="F106">
        <v>-10</v>
      </c>
      <c r="H106" t="s">
        <v>367</v>
      </c>
      <c r="I106">
        <v>-7</v>
      </c>
      <c r="J106" t="s">
        <v>166</v>
      </c>
      <c r="K106">
        <v>-20</v>
      </c>
      <c r="L106" t="s">
        <v>1128</v>
      </c>
      <c r="M106">
        <v>-12</v>
      </c>
      <c r="O106" t="s">
        <v>1129</v>
      </c>
      <c r="P106">
        <v>-40</v>
      </c>
      <c r="Q106" t="s">
        <v>1156</v>
      </c>
      <c r="R106">
        <v>-5</v>
      </c>
      <c r="S106" t="s">
        <v>373</v>
      </c>
      <c r="T106">
        <v>-4</v>
      </c>
      <c r="U106" t="s">
        <v>410</v>
      </c>
      <c r="V106">
        <v>-2</v>
      </c>
      <c r="W106" t="s">
        <v>206</v>
      </c>
      <c r="X106">
        <v>-3</v>
      </c>
      <c r="Y106" t="s">
        <v>1161</v>
      </c>
      <c r="Z106">
        <v>-4</v>
      </c>
      <c r="AA106" t="s">
        <v>12</v>
      </c>
      <c r="AB106">
        <v>-1</v>
      </c>
      <c r="AC106" t="s">
        <v>1161</v>
      </c>
      <c r="AD106">
        <v>-6</v>
      </c>
      <c r="AE106" t="s">
        <v>791</v>
      </c>
      <c r="AF106">
        <v>-6</v>
      </c>
      <c r="AG106" t="s">
        <v>80</v>
      </c>
      <c r="AH106">
        <v>-2</v>
      </c>
      <c r="AI106" t="s">
        <v>789</v>
      </c>
      <c r="AJ106">
        <v>-24</v>
      </c>
      <c r="AK106" t="s">
        <v>42</v>
      </c>
      <c r="AL106">
        <v>-12</v>
      </c>
      <c r="AM106" t="s">
        <v>2335</v>
      </c>
      <c r="AN106">
        <v>-12</v>
      </c>
    </row>
    <row r="107" spans="2:40" x14ac:dyDescent="0.25">
      <c r="B107" t="s">
        <v>376</v>
      </c>
      <c r="C107">
        <v>-2</v>
      </c>
      <c r="E107" t="s">
        <v>649</v>
      </c>
      <c r="F107">
        <v>-20</v>
      </c>
      <c r="H107" t="s">
        <v>223</v>
      </c>
      <c r="I107">
        <v>-67</v>
      </c>
      <c r="J107" t="s">
        <v>776</v>
      </c>
      <c r="K107">
        <v>-175</v>
      </c>
      <c r="L107" t="s">
        <v>289</v>
      </c>
      <c r="M107">
        <v>-47</v>
      </c>
      <c r="O107" t="s">
        <v>105</v>
      </c>
      <c r="P107">
        <v>-65</v>
      </c>
      <c r="Q107" t="s">
        <v>1557</v>
      </c>
      <c r="R107">
        <v>-30</v>
      </c>
      <c r="S107" t="s">
        <v>190</v>
      </c>
      <c r="T107">
        <v>-36</v>
      </c>
      <c r="U107" t="s">
        <v>791</v>
      </c>
      <c r="V107">
        <v>-1</v>
      </c>
      <c r="W107" t="s">
        <v>1815</v>
      </c>
      <c r="X107">
        <v>-66.78</v>
      </c>
      <c r="Y107" t="s">
        <v>233</v>
      </c>
      <c r="Z107">
        <v>-2</v>
      </c>
      <c r="AA107" t="s">
        <v>401</v>
      </c>
      <c r="AB107">
        <v>-1</v>
      </c>
      <c r="AC107" t="s">
        <v>233</v>
      </c>
      <c r="AD107">
        <v>-1</v>
      </c>
      <c r="AE107" t="s">
        <v>2049</v>
      </c>
      <c r="AF107">
        <v>-4</v>
      </c>
      <c r="AG107" t="s">
        <v>206</v>
      </c>
      <c r="AH107">
        <v>-4</v>
      </c>
      <c r="AI107" t="s">
        <v>378</v>
      </c>
      <c r="AJ107">
        <v>-1</v>
      </c>
      <c r="AK107" t="s">
        <v>791</v>
      </c>
      <c r="AL107">
        <v>-6</v>
      </c>
      <c r="AM107" t="s">
        <v>2336</v>
      </c>
      <c r="AN107">
        <v>-12</v>
      </c>
    </row>
    <row r="108" spans="2:40" x14ac:dyDescent="0.25">
      <c r="B108" t="s">
        <v>4</v>
      </c>
      <c r="C108">
        <v>-72</v>
      </c>
      <c r="E108" t="s">
        <v>277</v>
      </c>
      <c r="F108">
        <v>-15</v>
      </c>
      <c r="H108" t="s">
        <v>170</v>
      </c>
      <c r="I108">
        <v>-3</v>
      </c>
      <c r="J108" t="s">
        <v>464</v>
      </c>
      <c r="K108">
        <v>-16</v>
      </c>
      <c r="L108" t="s">
        <v>970</v>
      </c>
      <c r="M108">
        <v>-16</v>
      </c>
      <c r="O108" t="s">
        <v>255</v>
      </c>
      <c r="P108">
        <v>-3</v>
      </c>
      <c r="Q108" t="s">
        <v>1558</v>
      </c>
      <c r="R108">
        <v>-60</v>
      </c>
      <c r="S108" t="s">
        <v>856</v>
      </c>
      <c r="T108">
        <v>-24</v>
      </c>
      <c r="U108" t="s">
        <v>3</v>
      </c>
      <c r="V108">
        <v>-8</v>
      </c>
      <c r="W108" t="s">
        <v>1816</v>
      </c>
      <c r="X108">
        <v>-325</v>
      </c>
      <c r="Y108" t="s">
        <v>245</v>
      </c>
      <c r="Z108">
        <v>-1</v>
      </c>
      <c r="AA108" t="s">
        <v>236</v>
      </c>
      <c r="AB108">
        <v>-8</v>
      </c>
      <c r="AC108" t="s">
        <v>245</v>
      </c>
      <c r="AD108">
        <v>-3</v>
      </c>
      <c r="AE108" t="s">
        <v>3</v>
      </c>
      <c r="AF108">
        <v>-16</v>
      </c>
      <c r="AG108" t="s">
        <v>373</v>
      </c>
      <c r="AH108">
        <v>-2</v>
      </c>
      <c r="AI108" t="s">
        <v>188</v>
      </c>
      <c r="AJ108">
        <v>-7.2</v>
      </c>
      <c r="AK108" t="s">
        <v>3</v>
      </c>
      <c r="AL108">
        <v>-26</v>
      </c>
      <c r="AM108" t="s">
        <v>1395</v>
      </c>
      <c r="AN108">
        <v>-6</v>
      </c>
    </row>
    <row r="109" spans="2:40" x14ac:dyDescent="0.25">
      <c r="B109" t="s">
        <v>391</v>
      </c>
      <c r="C109">
        <v>-137</v>
      </c>
      <c r="E109" t="s">
        <v>234</v>
      </c>
      <c r="F109">
        <v>-40</v>
      </c>
      <c r="H109" t="s">
        <v>224</v>
      </c>
      <c r="I109">
        <v>-12</v>
      </c>
      <c r="J109" t="s">
        <v>8</v>
      </c>
      <c r="K109">
        <v>-63</v>
      </c>
      <c r="L109" t="s">
        <v>1129</v>
      </c>
      <c r="M109">
        <v>-36</v>
      </c>
      <c r="O109" t="s">
        <v>37</v>
      </c>
      <c r="P109">
        <v>-5</v>
      </c>
      <c r="Q109" t="s">
        <v>974</v>
      </c>
      <c r="R109">
        <v>-31</v>
      </c>
      <c r="S109" t="s">
        <v>375</v>
      </c>
      <c r="T109">
        <v>-4</v>
      </c>
      <c r="U109" t="s">
        <v>80</v>
      </c>
      <c r="V109">
        <v>-14</v>
      </c>
      <c r="W109" t="s">
        <v>190</v>
      </c>
      <c r="X109">
        <v>-2</v>
      </c>
      <c r="Y109" t="s">
        <v>1893</v>
      </c>
      <c r="Z109">
        <v>-2</v>
      </c>
      <c r="AA109" t="s">
        <v>1947</v>
      </c>
      <c r="AB109">
        <v>-53</v>
      </c>
      <c r="AC109" t="s">
        <v>367</v>
      </c>
      <c r="AD109">
        <v>-2</v>
      </c>
      <c r="AE109" t="s">
        <v>80</v>
      </c>
      <c r="AF109">
        <v>-6</v>
      </c>
      <c r="AG109" t="s">
        <v>855</v>
      </c>
      <c r="AH109">
        <v>-4</v>
      </c>
      <c r="AI109" t="s">
        <v>189</v>
      </c>
      <c r="AJ109">
        <v>-20</v>
      </c>
      <c r="AK109" t="s">
        <v>48</v>
      </c>
      <c r="AL109">
        <v>-2</v>
      </c>
      <c r="AM109" t="s">
        <v>563</v>
      </c>
      <c r="AN109">
        <v>-173</v>
      </c>
    </row>
    <row r="110" spans="2:40" x14ac:dyDescent="0.25">
      <c r="B110" t="s">
        <v>12</v>
      </c>
      <c r="C110">
        <v>-4</v>
      </c>
      <c r="E110" t="s">
        <v>420</v>
      </c>
      <c r="F110">
        <v>-498</v>
      </c>
      <c r="H110" t="s">
        <v>166</v>
      </c>
      <c r="I110">
        <v>-109</v>
      </c>
      <c r="J110" t="s">
        <v>82</v>
      </c>
      <c r="K110">
        <v>-8</v>
      </c>
      <c r="L110" t="s">
        <v>105</v>
      </c>
      <c r="M110">
        <v>-36</v>
      </c>
      <c r="O110" t="s">
        <v>1130</v>
      </c>
      <c r="P110">
        <v>-60</v>
      </c>
      <c r="Q110" t="s">
        <v>4</v>
      </c>
      <c r="R110">
        <v>-40</v>
      </c>
      <c r="S110" t="s">
        <v>1152</v>
      </c>
      <c r="T110">
        <v>-30</v>
      </c>
      <c r="U110" t="s">
        <v>48</v>
      </c>
      <c r="V110">
        <v>-2</v>
      </c>
      <c r="W110" t="s">
        <v>856</v>
      </c>
      <c r="X110">
        <v>-44</v>
      </c>
      <c r="Y110" t="s">
        <v>1894</v>
      </c>
      <c r="Z110">
        <v>-2</v>
      </c>
      <c r="AA110" t="s">
        <v>396</v>
      </c>
      <c r="AB110">
        <v>-1</v>
      </c>
      <c r="AC110" t="s">
        <v>1981</v>
      </c>
      <c r="AD110">
        <v>-1</v>
      </c>
      <c r="AE110" t="s">
        <v>206</v>
      </c>
      <c r="AF110">
        <v>-4</v>
      </c>
      <c r="AG110" t="s">
        <v>190</v>
      </c>
      <c r="AH110">
        <v>-12</v>
      </c>
      <c r="AI110" t="s">
        <v>204</v>
      </c>
      <c r="AJ110">
        <v>-80.600000000000009</v>
      </c>
      <c r="AK110" t="s">
        <v>206</v>
      </c>
      <c r="AL110">
        <v>-4</v>
      </c>
      <c r="AM110" t="s">
        <v>271</v>
      </c>
      <c r="AN110">
        <v>-29</v>
      </c>
    </row>
    <row r="111" spans="2:40" x14ac:dyDescent="0.25">
      <c r="B111" t="s">
        <v>401</v>
      </c>
      <c r="C111">
        <v>-17</v>
      </c>
      <c r="E111" t="s">
        <v>276</v>
      </c>
      <c r="F111">
        <v>-448</v>
      </c>
      <c r="H111" t="s">
        <v>776</v>
      </c>
      <c r="I111">
        <v>-175</v>
      </c>
      <c r="J111" t="s">
        <v>976</v>
      </c>
      <c r="K111">
        <v>-20</v>
      </c>
      <c r="L111" t="s">
        <v>255</v>
      </c>
      <c r="M111">
        <v>-3</v>
      </c>
      <c r="O111" t="s">
        <v>1131</v>
      </c>
      <c r="P111">
        <v>-10</v>
      </c>
      <c r="Q111" t="s">
        <v>792</v>
      </c>
      <c r="R111">
        <v>-39</v>
      </c>
      <c r="S111" t="s">
        <v>376</v>
      </c>
      <c r="T111">
        <v>-4</v>
      </c>
      <c r="U111" t="s">
        <v>206</v>
      </c>
      <c r="V111">
        <v>-2</v>
      </c>
      <c r="W111" t="s">
        <v>16</v>
      </c>
      <c r="X111">
        <v>-1</v>
      </c>
      <c r="Y111" t="s">
        <v>9</v>
      </c>
      <c r="Z111">
        <v>-1</v>
      </c>
      <c r="AA111" t="s">
        <v>857</v>
      </c>
      <c r="AB111">
        <v>-2</v>
      </c>
      <c r="AC111" t="s">
        <v>38</v>
      </c>
      <c r="AD111">
        <v>-6</v>
      </c>
      <c r="AE111" t="s">
        <v>2050</v>
      </c>
      <c r="AF111">
        <v>-24</v>
      </c>
      <c r="AG111" t="s">
        <v>856</v>
      </c>
      <c r="AH111">
        <v>-2</v>
      </c>
      <c r="AI111" t="s">
        <v>238</v>
      </c>
      <c r="AJ111">
        <v>-1258</v>
      </c>
      <c r="AK111" t="s">
        <v>49</v>
      </c>
      <c r="AL111">
        <v>-4</v>
      </c>
      <c r="AM111" t="s">
        <v>272</v>
      </c>
      <c r="AN111">
        <v>-59</v>
      </c>
    </row>
    <row r="112" spans="2:40" x14ac:dyDescent="0.25">
      <c r="B112" t="s">
        <v>236</v>
      </c>
      <c r="C112">
        <v>-58</v>
      </c>
      <c r="E112" t="s">
        <v>253</v>
      </c>
      <c r="F112">
        <v>-16</v>
      </c>
      <c r="H112" t="s">
        <v>464</v>
      </c>
      <c r="I112">
        <v>-18</v>
      </c>
      <c r="J112" t="s">
        <v>183</v>
      </c>
      <c r="K112">
        <v>-10</v>
      </c>
      <c r="L112" t="s">
        <v>37</v>
      </c>
      <c r="M112">
        <v>-6</v>
      </c>
      <c r="O112" t="s">
        <v>45</v>
      </c>
      <c r="P112">
        <v>-1</v>
      </c>
      <c r="Q112" t="s">
        <v>391</v>
      </c>
      <c r="R112">
        <v>-21</v>
      </c>
      <c r="S112" t="s">
        <v>1651</v>
      </c>
      <c r="T112">
        <v>-60</v>
      </c>
      <c r="U112" t="s">
        <v>49</v>
      </c>
      <c r="V112">
        <v>-2</v>
      </c>
      <c r="W112" t="s">
        <v>974</v>
      </c>
      <c r="X112">
        <v>-28</v>
      </c>
      <c r="Y112" t="s">
        <v>367</v>
      </c>
      <c r="Z112">
        <v>-5</v>
      </c>
      <c r="AA112" t="s">
        <v>449</v>
      </c>
      <c r="AB112">
        <v>-25</v>
      </c>
      <c r="AC112" t="s">
        <v>701</v>
      </c>
      <c r="AD112">
        <v>-3</v>
      </c>
      <c r="AE112" t="s">
        <v>2051</v>
      </c>
      <c r="AF112">
        <v>-3</v>
      </c>
      <c r="AG112" t="s">
        <v>2144</v>
      </c>
      <c r="AH112">
        <v>-2</v>
      </c>
      <c r="AI112" t="s">
        <v>147</v>
      </c>
      <c r="AJ112">
        <v>-1</v>
      </c>
      <c r="AK112" t="s">
        <v>2266</v>
      </c>
      <c r="AL112">
        <v>-4</v>
      </c>
      <c r="AM112" t="s">
        <v>187</v>
      </c>
      <c r="AN112">
        <v>-16</v>
      </c>
    </row>
    <row r="113" spans="2:40" x14ac:dyDescent="0.25">
      <c r="B113" t="s">
        <v>396</v>
      </c>
      <c r="C113">
        <v>-10</v>
      </c>
      <c r="E113" t="s">
        <v>203</v>
      </c>
      <c r="F113">
        <v>-17</v>
      </c>
      <c r="H113" t="s">
        <v>794</v>
      </c>
      <c r="I113">
        <v>-16</v>
      </c>
      <c r="J113" t="s">
        <v>977</v>
      </c>
      <c r="K113">
        <v>-1</v>
      </c>
      <c r="L113" t="s">
        <v>1130</v>
      </c>
      <c r="M113">
        <v>-36</v>
      </c>
      <c r="O113" t="s">
        <v>61</v>
      </c>
      <c r="P113">
        <v>-53</v>
      </c>
      <c r="Q113" t="s">
        <v>1159</v>
      </c>
      <c r="R113">
        <v>-4</v>
      </c>
      <c r="S113" t="s">
        <v>1652</v>
      </c>
      <c r="T113">
        <v>-22</v>
      </c>
      <c r="U113" t="s">
        <v>373</v>
      </c>
      <c r="V113">
        <v>-7</v>
      </c>
      <c r="W113" t="s">
        <v>4</v>
      </c>
      <c r="X113">
        <v>-20</v>
      </c>
      <c r="Y113" t="s">
        <v>1895</v>
      </c>
      <c r="Z113">
        <v>-11</v>
      </c>
      <c r="AA113" t="s">
        <v>1817</v>
      </c>
      <c r="AB113">
        <v>-5</v>
      </c>
      <c r="AC113" t="s">
        <v>170</v>
      </c>
      <c r="AD113">
        <v>-2</v>
      </c>
      <c r="AE113" t="s">
        <v>1145</v>
      </c>
      <c r="AF113">
        <v>-12</v>
      </c>
      <c r="AG113" t="s">
        <v>2053</v>
      </c>
      <c r="AH113">
        <v>-1</v>
      </c>
      <c r="AI113" t="s">
        <v>593</v>
      </c>
      <c r="AJ113">
        <v>-1</v>
      </c>
      <c r="AK113" t="s">
        <v>373</v>
      </c>
      <c r="AL113">
        <v>-6</v>
      </c>
      <c r="AM113" t="s">
        <v>74</v>
      </c>
      <c r="AN113">
        <v>-1722</v>
      </c>
    </row>
    <row r="114" spans="2:40" x14ac:dyDescent="0.25">
      <c r="B114" t="s">
        <v>449</v>
      </c>
      <c r="C114">
        <v>-75</v>
      </c>
      <c r="E114" t="s">
        <v>267</v>
      </c>
      <c r="F114">
        <v>-480</v>
      </c>
      <c r="H114" t="s">
        <v>8</v>
      </c>
      <c r="I114">
        <v>-177</v>
      </c>
      <c r="J114" t="s">
        <v>5</v>
      </c>
      <c r="K114">
        <v>-6</v>
      </c>
      <c r="L114" t="s">
        <v>1131</v>
      </c>
      <c r="M114">
        <v>-6</v>
      </c>
      <c r="O114" t="s">
        <v>1395</v>
      </c>
      <c r="P114">
        <v>-6</v>
      </c>
      <c r="Q114" t="s">
        <v>396</v>
      </c>
      <c r="R114">
        <v>-2</v>
      </c>
      <c r="S114" t="s">
        <v>1558</v>
      </c>
      <c r="T114">
        <v>-24</v>
      </c>
      <c r="U114" t="s">
        <v>190</v>
      </c>
      <c r="V114">
        <v>-8</v>
      </c>
      <c r="W114" t="s">
        <v>792</v>
      </c>
      <c r="X114">
        <v>-16</v>
      </c>
      <c r="Y114" t="s">
        <v>1729</v>
      </c>
      <c r="Z114">
        <v>-6</v>
      </c>
      <c r="AA114" t="s">
        <v>975</v>
      </c>
      <c r="AB114">
        <v>-3</v>
      </c>
      <c r="AC114" t="s">
        <v>1982</v>
      </c>
      <c r="AD114">
        <v>-1</v>
      </c>
      <c r="AE114" t="s">
        <v>2052</v>
      </c>
      <c r="AF114">
        <v>-18</v>
      </c>
      <c r="AG114" t="s">
        <v>2145</v>
      </c>
      <c r="AH114">
        <v>-4</v>
      </c>
      <c r="AI114" t="s">
        <v>42</v>
      </c>
      <c r="AJ114">
        <v>-1</v>
      </c>
      <c r="AK114" t="s">
        <v>1144</v>
      </c>
      <c r="AL114">
        <v>-1</v>
      </c>
      <c r="AM114" t="s">
        <v>53</v>
      </c>
      <c r="AN114">
        <v>-46</v>
      </c>
    </row>
    <row r="115" spans="2:40" x14ac:dyDescent="0.25">
      <c r="B115" t="s">
        <v>233</v>
      </c>
      <c r="C115">
        <v>-9</v>
      </c>
      <c r="E115" t="s">
        <v>265</v>
      </c>
      <c r="F115">
        <v>-120</v>
      </c>
      <c r="H115" t="s">
        <v>82</v>
      </c>
      <c r="I115">
        <v>-11</v>
      </c>
      <c r="J115" t="s">
        <v>978</v>
      </c>
      <c r="K115">
        <v>-1</v>
      </c>
      <c r="L115" t="s">
        <v>61</v>
      </c>
      <c r="M115">
        <v>-36</v>
      </c>
      <c r="O115" t="s">
        <v>1132</v>
      </c>
      <c r="P115">
        <v>-20</v>
      </c>
      <c r="Q115" t="s">
        <v>1559</v>
      </c>
      <c r="R115">
        <v>-5</v>
      </c>
      <c r="S115" t="s">
        <v>1653</v>
      </c>
      <c r="T115">
        <v>-22</v>
      </c>
      <c r="U115" t="s">
        <v>856</v>
      </c>
      <c r="V115">
        <v>-28</v>
      </c>
      <c r="W115" t="s">
        <v>391</v>
      </c>
      <c r="X115">
        <v>-18</v>
      </c>
      <c r="Y115" t="s">
        <v>166</v>
      </c>
      <c r="Z115">
        <v>-8</v>
      </c>
      <c r="AA115" t="s">
        <v>233</v>
      </c>
      <c r="AB115">
        <v>-1</v>
      </c>
      <c r="AC115" t="s">
        <v>166</v>
      </c>
      <c r="AD115">
        <v>-17</v>
      </c>
      <c r="AE115" t="s">
        <v>855</v>
      </c>
      <c r="AF115">
        <v>-6</v>
      </c>
      <c r="AG115" t="s">
        <v>16</v>
      </c>
      <c r="AH115">
        <v>-34</v>
      </c>
      <c r="AI115" t="s">
        <v>791</v>
      </c>
      <c r="AJ115">
        <v>-4</v>
      </c>
      <c r="AK115" t="s">
        <v>2267</v>
      </c>
      <c r="AL115">
        <v>-2</v>
      </c>
      <c r="AM115" t="s">
        <v>789</v>
      </c>
      <c r="AN115">
        <v>-88</v>
      </c>
    </row>
    <row r="116" spans="2:40" x14ac:dyDescent="0.25">
      <c r="B116" t="s">
        <v>245</v>
      </c>
      <c r="C116">
        <v>-8</v>
      </c>
      <c r="E116" t="s">
        <v>266</v>
      </c>
      <c r="F116">
        <v>-480</v>
      </c>
      <c r="H116" t="s">
        <v>387</v>
      </c>
      <c r="I116">
        <v>-1</v>
      </c>
      <c r="J116" t="s">
        <v>277</v>
      </c>
      <c r="K116">
        <v>-7</v>
      </c>
      <c r="L116" t="s">
        <v>1132</v>
      </c>
      <c r="M116">
        <v>-12</v>
      </c>
      <c r="O116" t="s">
        <v>272</v>
      </c>
      <c r="P116">
        <v>-6</v>
      </c>
      <c r="Q116" t="s">
        <v>1560</v>
      </c>
      <c r="R116">
        <v>-5</v>
      </c>
      <c r="S116" t="s">
        <v>1654</v>
      </c>
      <c r="T116">
        <v>-22</v>
      </c>
      <c r="U116" t="s">
        <v>375</v>
      </c>
      <c r="V116">
        <v>-2</v>
      </c>
      <c r="W116" t="s">
        <v>236</v>
      </c>
      <c r="X116">
        <v>-8</v>
      </c>
      <c r="Y116" t="s">
        <v>83</v>
      </c>
      <c r="Z116">
        <v>-4</v>
      </c>
      <c r="AA116" t="s">
        <v>245</v>
      </c>
      <c r="AB116">
        <v>-1</v>
      </c>
      <c r="AC116" t="s">
        <v>8</v>
      </c>
      <c r="AD116">
        <v>-19</v>
      </c>
      <c r="AE116" t="s">
        <v>190</v>
      </c>
      <c r="AF116">
        <v>-15</v>
      </c>
      <c r="AG116" t="s">
        <v>376</v>
      </c>
      <c r="AH116">
        <v>-2</v>
      </c>
      <c r="AI116" t="s">
        <v>3</v>
      </c>
      <c r="AJ116">
        <v>-12</v>
      </c>
      <c r="AK116" t="s">
        <v>1148</v>
      </c>
      <c r="AL116">
        <v>-46</v>
      </c>
      <c r="AM116" t="s">
        <v>522</v>
      </c>
      <c r="AN116">
        <v>-1</v>
      </c>
    </row>
    <row r="117" spans="2:40" x14ac:dyDescent="0.25">
      <c r="B117" t="s">
        <v>523</v>
      </c>
      <c r="C117">
        <v>-2</v>
      </c>
      <c r="E117" t="s">
        <v>264</v>
      </c>
      <c r="F117">
        <v>-96</v>
      </c>
      <c r="H117" t="s">
        <v>778</v>
      </c>
      <c r="I117">
        <v>-30</v>
      </c>
      <c r="J117" t="s">
        <v>234</v>
      </c>
      <c r="K117">
        <v>-23</v>
      </c>
      <c r="L117" t="s">
        <v>563</v>
      </c>
      <c r="M117">
        <v>-171</v>
      </c>
      <c r="O117" t="s">
        <v>1133</v>
      </c>
      <c r="P117">
        <v>-29</v>
      </c>
      <c r="Q117" t="s">
        <v>1561</v>
      </c>
      <c r="R117">
        <v>-5</v>
      </c>
      <c r="S117" t="s">
        <v>974</v>
      </c>
      <c r="T117">
        <v>-10</v>
      </c>
      <c r="U117" t="s">
        <v>16</v>
      </c>
      <c r="V117">
        <v>-18</v>
      </c>
      <c r="W117" t="s">
        <v>474</v>
      </c>
      <c r="X117">
        <v>-2</v>
      </c>
      <c r="Y117" t="s">
        <v>8</v>
      </c>
      <c r="Z117">
        <v>-13</v>
      </c>
      <c r="AA117" t="s">
        <v>367</v>
      </c>
      <c r="AB117">
        <v>-1</v>
      </c>
      <c r="AC117" t="s">
        <v>1167</v>
      </c>
      <c r="AD117">
        <v>-5</v>
      </c>
      <c r="AE117" t="s">
        <v>856</v>
      </c>
      <c r="AF117">
        <v>-6</v>
      </c>
      <c r="AG117" t="s">
        <v>4</v>
      </c>
      <c r="AH117">
        <v>-58</v>
      </c>
      <c r="AI117" t="s">
        <v>80</v>
      </c>
      <c r="AJ117">
        <v>-3</v>
      </c>
      <c r="AK117" t="s">
        <v>190</v>
      </c>
      <c r="AL117">
        <v>-6</v>
      </c>
      <c r="AM117" t="s">
        <v>2337</v>
      </c>
      <c r="AN117">
        <v>-2</v>
      </c>
    </row>
    <row r="118" spans="2:40" x14ac:dyDescent="0.25">
      <c r="B118" t="s">
        <v>524</v>
      </c>
      <c r="C118">
        <v>-2</v>
      </c>
      <c r="E118" t="s">
        <v>248</v>
      </c>
      <c r="F118">
        <v>-208</v>
      </c>
      <c r="H118" t="s">
        <v>5</v>
      </c>
      <c r="I118">
        <v>-4</v>
      </c>
      <c r="J118" t="s">
        <v>420</v>
      </c>
      <c r="K118">
        <v>-210</v>
      </c>
      <c r="L118" t="s">
        <v>271</v>
      </c>
      <c r="M118">
        <v>-24</v>
      </c>
      <c r="O118" t="s">
        <v>187</v>
      </c>
      <c r="P118">
        <v>-32</v>
      </c>
      <c r="Q118" t="s">
        <v>1562</v>
      </c>
      <c r="R118">
        <v>-5</v>
      </c>
      <c r="S118" t="s">
        <v>4</v>
      </c>
      <c r="T118">
        <v>-40</v>
      </c>
      <c r="U118" t="s">
        <v>376</v>
      </c>
      <c r="V118">
        <v>-5</v>
      </c>
      <c r="W118" t="s">
        <v>396</v>
      </c>
      <c r="X118">
        <v>-5</v>
      </c>
      <c r="Y118" t="s">
        <v>82</v>
      </c>
      <c r="Z118">
        <v>-2</v>
      </c>
      <c r="AA118" t="s">
        <v>223</v>
      </c>
      <c r="AB118">
        <v>-8</v>
      </c>
      <c r="AC118" t="s">
        <v>82</v>
      </c>
      <c r="AD118">
        <v>-2</v>
      </c>
      <c r="AE118" t="s">
        <v>2053</v>
      </c>
      <c r="AF118">
        <v>-13</v>
      </c>
      <c r="AG118" t="s">
        <v>792</v>
      </c>
      <c r="AH118">
        <v>-22</v>
      </c>
      <c r="AI118" t="s">
        <v>48</v>
      </c>
      <c r="AJ118">
        <v>-3</v>
      </c>
      <c r="AK118" t="s">
        <v>856</v>
      </c>
      <c r="AL118">
        <v>-2</v>
      </c>
      <c r="AM118" t="s">
        <v>204</v>
      </c>
      <c r="AN118">
        <v>-56</v>
      </c>
    </row>
    <row r="119" spans="2:40" x14ac:dyDescent="0.25">
      <c r="B119" t="s">
        <v>525</v>
      </c>
      <c r="C119">
        <v>-7</v>
      </c>
      <c r="E119" t="s">
        <v>257</v>
      </c>
      <c r="F119">
        <v>-16</v>
      </c>
      <c r="H119" t="s">
        <v>649</v>
      </c>
      <c r="I119">
        <v>-20</v>
      </c>
      <c r="J119" t="s">
        <v>575</v>
      </c>
      <c r="K119">
        <v>-109.05</v>
      </c>
      <c r="L119" t="s">
        <v>272</v>
      </c>
      <c r="M119">
        <v>-39</v>
      </c>
      <c r="O119" t="s">
        <v>74</v>
      </c>
      <c r="P119">
        <v>-3170</v>
      </c>
      <c r="Q119" t="s">
        <v>1563</v>
      </c>
      <c r="R119">
        <v>-5</v>
      </c>
      <c r="S119" t="s">
        <v>792</v>
      </c>
      <c r="T119">
        <v>-15</v>
      </c>
      <c r="U119" t="s">
        <v>1725</v>
      </c>
      <c r="V119">
        <v>-2</v>
      </c>
      <c r="W119" t="s">
        <v>857</v>
      </c>
      <c r="X119">
        <v>-2</v>
      </c>
      <c r="Y119" t="s">
        <v>729</v>
      </c>
      <c r="Z119">
        <v>-1</v>
      </c>
      <c r="AA119" t="s">
        <v>38</v>
      </c>
      <c r="AB119">
        <v>-6</v>
      </c>
      <c r="AC119" t="s">
        <v>1983</v>
      </c>
      <c r="AD119">
        <v>-2</v>
      </c>
      <c r="AE119" t="s">
        <v>16</v>
      </c>
      <c r="AF119">
        <v>-28</v>
      </c>
      <c r="AG119" t="s">
        <v>391</v>
      </c>
      <c r="AH119">
        <v>-50</v>
      </c>
      <c r="AI119" t="s">
        <v>206</v>
      </c>
      <c r="AJ119">
        <v>-7</v>
      </c>
      <c r="AK119" t="s">
        <v>16</v>
      </c>
      <c r="AL119">
        <v>-16</v>
      </c>
      <c r="AM119" t="s">
        <v>238</v>
      </c>
      <c r="AN119">
        <v>-1110</v>
      </c>
    </row>
    <row r="120" spans="2:40" x14ac:dyDescent="0.25">
      <c r="B120" t="s">
        <v>9</v>
      </c>
      <c r="C120">
        <v>-2</v>
      </c>
      <c r="E120" t="s">
        <v>502</v>
      </c>
      <c r="F120">
        <v>-6.406699999999999</v>
      </c>
      <c r="H120" t="s">
        <v>377</v>
      </c>
      <c r="I120">
        <v>-11</v>
      </c>
      <c r="J120" t="s">
        <v>253</v>
      </c>
      <c r="K120">
        <v>-6</v>
      </c>
      <c r="L120" t="s">
        <v>1133</v>
      </c>
      <c r="M120">
        <v>-21</v>
      </c>
      <c r="O120" t="s">
        <v>53</v>
      </c>
      <c r="P120">
        <v>-375</v>
      </c>
      <c r="Q120" t="s">
        <v>1564</v>
      </c>
      <c r="R120">
        <v>-5</v>
      </c>
      <c r="S120" t="s">
        <v>391</v>
      </c>
      <c r="T120">
        <v>-45</v>
      </c>
      <c r="U120" t="s">
        <v>1156</v>
      </c>
      <c r="V120">
        <v>-12</v>
      </c>
      <c r="W120" t="s">
        <v>449</v>
      </c>
      <c r="X120">
        <v>-61</v>
      </c>
      <c r="Y120" t="s">
        <v>369</v>
      </c>
      <c r="Z120">
        <v>-2</v>
      </c>
      <c r="AA120" t="s">
        <v>701</v>
      </c>
      <c r="AB120">
        <v>-2</v>
      </c>
      <c r="AC120" t="s">
        <v>729</v>
      </c>
      <c r="AD120">
        <v>-2</v>
      </c>
      <c r="AE120" t="s">
        <v>974</v>
      </c>
      <c r="AF120">
        <v>-6</v>
      </c>
      <c r="AG120" t="s">
        <v>12</v>
      </c>
      <c r="AH120">
        <v>-4</v>
      </c>
      <c r="AI120" t="s">
        <v>49</v>
      </c>
      <c r="AJ120">
        <v>-1</v>
      </c>
      <c r="AK120" t="s">
        <v>376</v>
      </c>
      <c r="AL120">
        <v>-5</v>
      </c>
      <c r="AM120" t="s">
        <v>147</v>
      </c>
      <c r="AN120">
        <v>-2</v>
      </c>
    </row>
    <row r="121" spans="2:40" x14ac:dyDescent="0.25">
      <c r="B121" t="s">
        <v>367</v>
      </c>
      <c r="C121">
        <v>-1</v>
      </c>
      <c r="E121" t="s">
        <v>237</v>
      </c>
      <c r="F121">
        <v>-124</v>
      </c>
      <c r="H121" t="s">
        <v>495</v>
      </c>
      <c r="I121">
        <v>-10</v>
      </c>
      <c r="J121" t="s">
        <v>203</v>
      </c>
      <c r="K121">
        <v>-1</v>
      </c>
      <c r="L121" t="s">
        <v>187</v>
      </c>
      <c r="M121">
        <v>-18</v>
      </c>
      <c r="O121" t="s">
        <v>713</v>
      </c>
      <c r="P121">
        <v>-50</v>
      </c>
      <c r="Q121" t="s">
        <v>449</v>
      </c>
      <c r="R121">
        <v>-62</v>
      </c>
      <c r="S121" t="s">
        <v>401</v>
      </c>
      <c r="T121">
        <v>-6</v>
      </c>
      <c r="U121" t="s">
        <v>1726</v>
      </c>
      <c r="V121">
        <v>-20</v>
      </c>
      <c r="W121" t="s">
        <v>1817</v>
      </c>
      <c r="X121">
        <v>-1</v>
      </c>
      <c r="Y121" t="s">
        <v>183</v>
      </c>
      <c r="Z121">
        <v>-2</v>
      </c>
      <c r="AA121" t="s">
        <v>224</v>
      </c>
      <c r="AB121">
        <v>-1</v>
      </c>
      <c r="AC121" t="s">
        <v>369</v>
      </c>
      <c r="AD121">
        <v>-1</v>
      </c>
      <c r="AE121" t="s">
        <v>4</v>
      </c>
      <c r="AF121">
        <v>-32</v>
      </c>
      <c r="AG121" t="s">
        <v>401</v>
      </c>
      <c r="AH121">
        <v>-1</v>
      </c>
      <c r="AI121" t="s">
        <v>373</v>
      </c>
      <c r="AJ121">
        <v>-2</v>
      </c>
      <c r="AK121" t="s">
        <v>1725</v>
      </c>
      <c r="AL121">
        <v>-4</v>
      </c>
      <c r="AM121" t="s">
        <v>411</v>
      </c>
      <c r="AN121">
        <v>-1</v>
      </c>
    </row>
    <row r="122" spans="2:40" x14ac:dyDescent="0.25">
      <c r="B122" t="s">
        <v>223</v>
      </c>
      <c r="C122">
        <v>-45</v>
      </c>
      <c r="E122" t="s">
        <v>199</v>
      </c>
      <c r="F122">
        <v>-32</v>
      </c>
      <c r="H122" t="s">
        <v>277</v>
      </c>
      <c r="I122">
        <v>-17</v>
      </c>
      <c r="J122" t="s">
        <v>267</v>
      </c>
      <c r="K122">
        <v>-90</v>
      </c>
      <c r="L122" t="s">
        <v>74</v>
      </c>
      <c r="M122">
        <v>-2000</v>
      </c>
      <c r="O122" t="s">
        <v>789</v>
      </c>
      <c r="P122">
        <v>-74</v>
      </c>
      <c r="Q122" t="s">
        <v>858</v>
      </c>
      <c r="R122">
        <v>-5</v>
      </c>
      <c r="S122" t="s">
        <v>236</v>
      </c>
      <c r="T122">
        <v>-5</v>
      </c>
      <c r="U122" t="s">
        <v>974</v>
      </c>
      <c r="V122">
        <v>-12</v>
      </c>
      <c r="W122" t="s">
        <v>858</v>
      </c>
      <c r="X122">
        <v>-10</v>
      </c>
      <c r="Y122" t="s">
        <v>5</v>
      </c>
      <c r="Z122">
        <v>-2</v>
      </c>
      <c r="AA122" t="s">
        <v>166</v>
      </c>
      <c r="AB122">
        <v>-8</v>
      </c>
      <c r="AC122" t="s">
        <v>1984</v>
      </c>
      <c r="AD122">
        <v>-1</v>
      </c>
      <c r="AE122" t="s">
        <v>792</v>
      </c>
      <c r="AF122">
        <v>-11</v>
      </c>
      <c r="AG122" t="s">
        <v>236</v>
      </c>
      <c r="AH122">
        <v>-5</v>
      </c>
      <c r="AI122" t="s">
        <v>1144</v>
      </c>
      <c r="AJ122">
        <v>-1</v>
      </c>
      <c r="AK122" t="s">
        <v>974</v>
      </c>
      <c r="AL122">
        <v>-2</v>
      </c>
      <c r="AM122" t="s">
        <v>1945</v>
      </c>
      <c r="AN122">
        <v>-5</v>
      </c>
    </row>
    <row r="123" spans="2:40" x14ac:dyDescent="0.25">
      <c r="B123" t="s">
        <v>38</v>
      </c>
      <c r="C123">
        <v>-90</v>
      </c>
      <c r="E123" t="s">
        <v>795</v>
      </c>
      <c r="F123">
        <v>-2</v>
      </c>
      <c r="H123" t="s">
        <v>861</v>
      </c>
      <c r="I123">
        <v>-3</v>
      </c>
      <c r="J123" t="s">
        <v>265</v>
      </c>
      <c r="K123">
        <v>-3</v>
      </c>
      <c r="L123" t="s">
        <v>53</v>
      </c>
      <c r="M123">
        <v>-434</v>
      </c>
      <c r="O123" t="s">
        <v>378</v>
      </c>
      <c r="P123">
        <v>-2</v>
      </c>
      <c r="Q123" t="s">
        <v>233</v>
      </c>
      <c r="R123">
        <v>-2</v>
      </c>
      <c r="S123" t="s">
        <v>1655</v>
      </c>
      <c r="T123">
        <v>-6</v>
      </c>
      <c r="U123" t="s">
        <v>4</v>
      </c>
      <c r="V123">
        <v>-60</v>
      </c>
      <c r="W123" t="s">
        <v>1161</v>
      </c>
      <c r="X123">
        <v>-30</v>
      </c>
      <c r="Y123" t="s">
        <v>1177</v>
      </c>
      <c r="Z123">
        <v>-5</v>
      </c>
      <c r="AA123" t="s">
        <v>83</v>
      </c>
      <c r="AB123">
        <v>-4</v>
      </c>
      <c r="AC123" t="s">
        <v>1985</v>
      </c>
      <c r="AD123">
        <v>-1</v>
      </c>
      <c r="AE123" t="s">
        <v>391</v>
      </c>
      <c r="AF123">
        <v>-36</v>
      </c>
      <c r="AG123" t="s">
        <v>396</v>
      </c>
      <c r="AH123">
        <v>-8</v>
      </c>
      <c r="AI123" t="s">
        <v>1148</v>
      </c>
      <c r="AJ123">
        <v>-8</v>
      </c>
      <c r="AK123" t="s">
        <v>4</v>
      </c>
      <c r="AL123">
        <v>-30</v>
      </c>
      <c r="AM123" t="s">
        <v>790</v>
      </c>
      <c r="AN123">
        <v>-5</v>
      </c>
    </row>
    <row r="124" spans="2:40" x14ac:dyDescent="0.25">
      <c r="B124" t="s">
        <v>170</v>
      </c>
      <c r="C124">
        <v>-15</v>
      </c>
      <c r="E124" t="s">
        <v>510</v>
      </c>
      <c r="F124">
        <v>-32</v>
      </c>
      <c r="H124" t="s">
        <v>234</v>
      </c>
      <c r="I124">
        <v>-108.80000000000001</v>
      </c>
      <c r="J124" t="s">
        <v>266</v>
      </c>
      <c r="K124">
        <v>-80</v>
      </c>
      <c r="L124" t="s">
        <v>713</v>
      </c>
      <c r="M124">
        <v>-180</v>
      </c>
      <c r="O124" t="s">
        <v>188</v>
      </c>
      <c r="P124">
        <v>-54.999999999999993</v>
      </c>
      <c r="Q124" t="s">
        <v>245</v>
      </c>
      <c r="R124">
        <v>-16</v>
      </c>
      <c r="S124" t="s">
        <v>396</v>
      </c>
      <c r="T124">
        <v>-7</v>
      </c>
      <c r="U124" t="s">
        <v>792</v>
      </c>
      <c r="V124">
        <v>-22</v>
      </c>
      <c r="W124" t="s">
        <v>233</v>
      </c>
      <c r="X124">
        <v>-3</v>
      </c>
      <c r="Y124" t="s">
        <v>377</v>
      </c>
      <c r="Z124">
        <v>-3</v>
      </c>
      <c r="AA124" t="s">
        <v>8</v>
      </c>
      <c r="AB124">
        <v>-25</v>
      </c>
      <c r="AC124" t="s">
        <v>387</v>
      </c>
      <c r="AD124">
        <v>-3</v>
      </c>
      <c r="AE124" t="s">
        <v>12</v>
      </c>
      <c r="AF124">
        <v>-4</v>
      </c>
      <c r="AG124" t="s">
        <v>449</v>
      </c>
      <c r="AH124">
        <v>-161</v>
      </c>
      <c r="AI124" t="s">
        <v>855</v>
      </c>
      <c r="AJ124">
        <v>-8</v>
      </c>
      <c r="AK124" t="s">
        <v>792</v>
      </c>
      <c r="AL124">
        <v>-11</v>
      </c>
      <c r="AM124" t="s">
        <v>1977</v>
      </c>
      <c r="AN124">
        <v>-3</v>
      </c>
    </row>
    <row r="125" spans="2:40" x14ac:dyDescent="0.25">
      <c r="B125" t="s">
        <v>84</v>
      </c>
      <c r="C125">
        <v>-40</v>
      </c>
      <c r="E125" t="s">
        <v>796</v>
      </c>
      <c r="F125">
        <v>-60</v>
      </c>
      <c r="H125" t="s">
        <v>420</v>
      </c>
      <c r="I125">
        <v>-138</v>
      </c>
      <c r="J125" t="s">
        <v>264</v>
      </c>
      <c r="K125">
        <v>-18</v>
      </c>
      <c r="L125" t="s">
        <v>789</v>
      </c>
      <c r="M125">
        <v>-24</v>
      </c>
      <c r="O125" t="s">
        <v>189</v>
      </c>
      <c r="P125">
        <v>-40</v>
      </c>
      <c r="Q125" t="s">
        <v>170</v>
      </c>
      <c r="R125">
        <v>-5</v>
      </c>
      <c r="S125" t="s">
        <v>449</v>
      </c>
      <c r="T125">
        <v>-43</v>
      </c>
      <c r="U125" t="s">
        <v>391</v>
      </c>
      <c r="V125">
        <v>-13</v>
      </c>
      <c r="W125" t="s">
        <v>245</v>
      </c>
      <c r="X125">
        <v>-4</v>
      </c>
      <c r="Y125" t="s">
        <v>1896</v>
      </c>
      <c r="Z125">
        <v>-2</v>
      </c>
      <c r="AA125" t="s">
        <v>82</v>
      </c>
      <c r="AB125">
        <v>-1</v>
      </c>
      <c r="AC125" t="s">
        <v>1986</v>
      </c>
      <c r="AD125">
        <v>-4</v>
      </c>
      <c r="AE125" t="s">
        <v>396</v>
      </c>
      <c r="AF125">
        <v>-4</v>
      </c>
      <c r="AG125" t="s">
        <v>858</v>
      </c>
      <c r="AH125">
        <v>-1</v>
      </c>
      <c r="AI125" t="s">
        <v>190</v>
      </c>
      <c r="AJ125">
        <v>-18</v>
      </c>
      <c r="AK125" t="s">
        <v>391</v>
      </c>
      <c r="AL125">
        <v>-29</v>
      </c>
      <c r="AM125" t="s">
        <v>80</v>
      </c>
      <c r="AN125">
        <v>-3</v>
      </c>
    </row>
    <row r="126" spans="2:40" x14ac:dyDescent="0.25">
      <c r="B126" t="s">
        <v>224</v>
      </c>
      <c r="C126">
        <v>-8</v>
      </c>
      <c r="E126" t="s">
        <v>171</v>
      </c>
      <c r="F126">
        <v>-34</v>
      </c>
      <c r="H126" t="s">
        <v>276</v>
      </c>
      <c r="I126">
        <v>-840</v>
      </c>
      <c r="J126" t="s">
        <v>862</v>
      </c>
      <c r="K126">
        <v>-48</v>
      </c>
      <c r="L126" t="s">
        <v>378</v>
      </c>
      <c r="M126">
        <v>-2</v>
      </c>
      <c r="O126" t="s">
        <v>204</v>
      </c>
      <c r="P126">
        <v>-36</v>
      </c>
      <c r="Q126" t="s">
        <v>1565</v>
      </c>
      <c r="R126">
        <v>-10</v>
      </c>
      <c r="S126" t="s">
        <v>1656</v>
      </c>
      <c r="T126">
        <v>-1</v>
      </c>
      <c r="U126" t="s">
        <v>12</v>
      </c>
      <c r="V126">
        <v>-2</v>
      </c>
      <c r="W126" t="s">
        <v>223</v>
      </c>
      <c r="X126">
        <v>-8</v>
      </c>
      <c r="Y126" t="s">
        <v>277</v>
      </c>
      <c r="Z126">
        <v>-2</v>
      </c>
      <c r="AA126" t="s">
        <v>5</v>
      </c>
      <c r="AB126">
        <v>-2</v>
      </c>
      <c r="AC126" t="s">
        <v>1987</v>
      </c>
      <c r="AD126">
        <v>-4</v>
      </c>
      <c r="AE126" t="s">
        <v>449</v>
      </c>
      <c r="AF126">
        <v>-54</v>
      </c>
      <c r="AG126" t="s">
        <v>1161</v>
      </c>
      <c r="AH126">
        <v>-30</v>
      </c>
      <c r="AI126" t="s">
        <v>856</v>
      </c>
      <c r="AJ126">
        <v>-6</v>
      </c>
      <c r="AK126" t="s">
        <v>12</v>
      </c>
      <c r="AL126">
        <v>-1</v>
      </c>
      <c r="AM126" t="s">
        <v>1946</v>
      </c>
      <c r="AN126">
        <v>-14</v>
      </c>
    </row>
    <row r="127" spans="2:40" x14ac:dyDescent="0.25">
      <c r="B127" t="s">
        <v>166</v>
      </c>
      <c r="C127">
        <v>-100</v>
      </c>
      <c r="E127" t="s">
        <v>91</v>
      </c>
      <c r="F127">
        <v>-1</v>
      </c>
      <c r="H127" t="s">
        <v>253</v>
      </c>
      <c r="I127">
        <v>-14</v>
      </c>
      <c r="J127" t="s">
        <v>257</v>
      </c>
      <c r="K127">
        <v>-11</v>
      </c>
      <c r="L127" t="s">
        <v>188</v>
      </c>
      <c r="M127">
        <v>-12.200000000000003</v>
      </c>
      <c r="O127" t="s">
        <v>238</v>
      </c>
      <c r="P127">
        <v>-1258</v>
      </c>
      <c r="Q127" t="s">
        <v>166</v>
      </c>
      <c r="R127">
        <v>-6</v>
      </c>
      <c r="S127" t="s">
        <v>1657</v>
      </c>
      <c r="T127">
        <v>-1</v>
      </c>
      <c r="U127" t="s">
        <v>401</v>
      </c>
      <c r="V127">
        <v>-1</v>
      </c>
      <c r="W127" t="s">
        <v>38</v>
      </c>
      <c r="X127">
        <v>-27</v>
      </c>
      <c r="Y127" t="s">
        <v>234</v>
      </c>
      <c r="Z127">
        <v>-78.8</v>
      </c>
      <c r="AA127" t="s">
        <v>277</v>
      </c>
      <c r="AB127">
        <v>-3</v>
      </c>
      <c r="AC127" t="s">
        <v>1988</v>
      </c>
      <c r="AD127">
        <v>-4</v>
      </c>
      <c r="AE127" t="s">
        <v>858</v>
      </c>
      <c r="AF127">
        <v>-3</v>
      </c>
      <c r="AG127" t="s">
        <v>233</v>
      </c>
      <c r="AH127">
        <v>-10</v>
      </c>
      <c r="AI127" t="s">
        <v>375</v>
      </c>
      <c r="AJ127">
        <v>-2</v>
      </c>
      <c r="AK127" t="s">
        <v>401</v>
      </c>
      <c r="AL127">
        <v>-2</v>
      </c>
      <c r="AM127" t="s">
        <v>48</v>
      </c>
      <c r="AN127">
        <v>-1</v>
      </c>
    </row>
    <row r="128" spans="2:40" x14ac:dyDescent="0.25">
      <c r="B128" t="s">
        <v>776</v>
      </c>
      <c r="C128">
        <v>-175</v>
      </c>
      <c r="E128" t="s">
        <v>241</v>
      </c>
      <c r="F128">
        <v>-15</v>
      </c>
      <c r="H128" t="s">
        <v>203</v>
      </c>
      <c r="I128">
        <v>-21</v>
      </c>
      <c r="J128" t="s">
        <v>237</v>
      </c>
      <c r="K128">
        <v>-8</v>
      </c>
      <c r="L128" t="s">
        <v>189</v>
      </c>
      <c r="M128">
        <v>-22</v>
      </c>
      <c r="O128" t="s">
        <v>1396</v>
      </c>
      <c r="P128">
        <v>-1</v>
      </c>
      <c r="Q128" t="s">
        <v>1566</v>
      </c>
      <c r="R128">
        <v>-105</v>
      </c>
      <c r="S128" t="s">
        <v>858</v>
      </c>
      <c r="T128">
        <v>-6</v>
      </c>
      <c r="U128" t="s">
        <v>236</v>
      </c>
      <c r="V128">
        <v>-13</v>
      </c>
      <c r="W128" t="s">
        <v>701</v>
      </c>
      <c r="X128">
        <v>-8</v>
      </c>
      <c r="Y128" t="s">
        <v>420</v>
      </c>
      <c r="Z128">
        <v>-113.5</v>
      </c>
      <c r="AA128" t="s">
        <v>234</v>
      </c>
      <c r="AB128">
        <v>-0.5</v>
      </c>
      <c r="AC128" t="s">
        <v>1989</v>
      </c>
      <c r="AD128">
        <v>-2</v>
      </c>
      <c r="AE128" t="s">
        <v>1161</v>
      </c>
      <c r="AF128">
        <v>-36</v>
      </c>
      <c r="AG128" t="s">
        <v>245</v>
      </c>
      <c r="AH128">
        <v>-10</v>
      </c>
      <c r="AI128" t="s">
        <v>16</v>
      </c>
      <c r="AJ128">
        <v>-8</v>
      </c>
      <c r="AK128" t="s">
        <v>236</v>
      </c>
      <c r="AL128">
        <v>-8</v>
      </c>
      <c r="AM128" t="s">
        <v>206</v>
      </c>
      <c r="AN128">
        <v>-2</v>
      </c>
    </row>
    <row r="129" spans="2:40" x14ac:dyDescent="0.25">
      <c r="B129" t="s">
        <v>464</v>
      </c>
      <c r="C129">
        <v>-5</v>
      </c>
      <c r="E129" t="s">
        <v>349</v>
      </c>
      <c r="F129">
        <v>-7.7330000000000023</v>
      </c>
      <c r="H129" t="s">
        <v>267</v>
      </c>
      <c r="I129">
        <v>-304</v>
      </c>
      <c r="J129" t="s">
        <v>199</v>
      </c>
      <c r="K129">
        <v>-3</v>
      </c>
      <c r="L129" t="s">
        <v>1134</v>
      </c>
      <c r="M129">
        <v>-3.5</v>
      </c>
      <c r="O129" t="s">
        <v>42</v>
      </c>
      <c r="P129">
        <v>-1</v>
      </c>
      <c r="Q129" t="s">
        <v>1567</v>
      </c>
      <c r="R129">
        <v>-30</v>
      </c>
      <c r="S129" t="s">
        <v>1161</v>
      </c>
      <c r="T129">
        <v>-26</v>
      </c>
      <c r="U129" t="s">
        <v>396</v>
      </c>
      <c r="V129">
        <v>-11</v>
      </c>
      <c r="W129" t="s">
        <v>170</v>
      </c>
      <c r="X129">
        <v>-1</v>
      </c>
      <c r="Y129" t="s">
        <v>575</v>
      </c>
      <c r="Z129">
        <v>-74.400000000000006</v>
      </c>
      <c r="AA129" t="s">
        <v>420</v>
      </c>
      <c r="AB129">
        <v>-46</v>
      </c>
      <c r="AC129" t="s">
        <v>1990</v>
      </c>
      <c r="AD129">
        <v>-2</v>
      </c>
      <c r="AE129" t="s">
        <v>233</v>
      </c>
      <c r="AF129">
        <v>-5</v>
      </c>
      <c r="AG129" t="s">
        <v>367</v>
      </c>
      <c r="AH129">
        <v>-1</v>
      </c>
      <c r="AI129" t="s">
        <v>376</v>
      </c>
      <c r="AJ129">
        <v>-2</v>
      </c>
      <c r="AK129" t="s">
        <v>396</v>
      </c>
      <c r="AL129">
        <v>-4</v>
      </c>
      <c r="AM129" t="s">
        <v>49</v>
      </c>
      <c r="AN129">
        <v>-18</v>
      </c>
    </row>
    <row r="130" spans="2:40" x14ac:dyDescent="0.25">
      <c r="B130" t="s">
        <v>8</v>
      </c>
      <c r="C130">
        <v>-173</v>
      </c>
      <c r="E130" t="s">
        <v>41</v>
      </c>
      <c r="F130">
        <v>-44</v>
      </c>
      <c r="H130" t="s">
        <v>265</v>
      </c>
      <c r="I130">
        <v>-62</v>
      </c>
      <c r="J130" t="s">
        <v>795</v>
      </c>
      <c r="K130">
        <v>-4</v>
      </c>
      <c r="L130" t="s">
        <v>1135</v>
      </c>
      <c r="M130">
        <v>-3</v>
      </c>
      <c r="O130" t="s">
        <v>3</v>
      </c>
      <c r="P130">
        <v>-44</v>
      </c>
      <c r="Q130" t="s">
        <v>729</v>
      </c>
      <c r="R130">
        <v>-2</v>
      </c>
      <c r="S130" t="s">
        <v>233</v>
      </c>
      <c r="T130">
        <v>-4</v>
      </c>
      <c r="U130" t="s">
        <v>1727</v>
      </c>
      <c r="V130">
        <v>-8</v>
      </c>
      <c r="W130" t="s">
        <v>224</v>
      </c>
      <c r="X130">
        <v>-1</v>
      </c>
      <c r="Y130" t="s">
        <v>276</v>
      </c>
      <c r="Z130">
        <v>-134</v>
      </c>
      <c r="AA130" t="s">
        <v>575</v>
      </c>
      <c r="AB130">
        <v>-16.240000000000002</v>
      </c>
      <c r="AC130" t="s">
        <v>1991</v>
      </c>
      <c r="AD130">
        <v>-4</v>
      </c>
      <c r="AE130" t="s">
        <v>245</v>
      </c>
      <c r="AF130">
        <v>-4</v>
      </c>
      <c r="AG130" t="s">
        <v>223</v>
      </c>
      <c r="AH130">
        <v>-5</v>
      </c>
      <c r="AI130" t="s">
        <v>2194</v>
      </c>
      <c r="AJ130">
        <v>-1</v>
      </c>
      <c r="AK130" t="s">
        <v>1559</v>
      </c>
      <c r="AL130">
        <v>-3</v>
      </c>
      <c r="AM130" t="s">
        <v>2338</v>
      </c>
      <c r="AN130">
        <v>-2</v>
      </c>
    </row>
    <row r="131" spans="2:40" x14ac:dyDescent="0.25">
      <c r="B131" t="s">
        <v>82</v>
      </c>
      <c r="C131">
        <v>-4</v>
      </c>
      <c r="E131" t="s">
        <v>501</v>
      </c>
      <c r="F131">
        <v>-21</v>
      </c>
      <c r="H131" t="s">
        <v>266</v>
      </c>
      <c r="I131">
        <v>-304</v>
      </c>
      <c r="J131" t="s">
        <v>510</v>
      </c>
      <c r="K131">
        <v>-12</v>
      </c>
      <c r="L131" t="s">
        <v>204</v>
      </c>
      <c r="M131">
        <v>-43.2</v>
      </c>
      <c r="O131" t="s">
        <v>972</v>
      </c>
      <c r="P131">
        <v>-1</v>
      </c>
      <c r="Q131" t="s">
        <v>1173</v>
      </c>
      <c r="R131">
        <v>-24</v>
      </c>
      <c r="S131" t="s">
        <v>245</v>
      </c>
      <c r="T131">
        <v>-4</v>
      </c>
      <c r="U131" t="s">
        <v>449</v>
      </c>
      <c r="V131">
        <v>-58</v>
      </c>
      <c r="W131" t="s">
        <v>166</v>
      </c>
      <c r="X131">
        <v>-13</v>
      </c>
      <c r="Y131" t="s">
        <v>253</v>
      </c>
      <c r="Z131">
        <v>-1</v>
      </c>
      <c r="AA131" t="s">
        <v>276</v>
      </c>
      <c r="AB131">
        <v>-60</v>
      </c>
      <c r="AC131" t="s">
        <v>377</v>
      </c>
      <c r="AD131">
        <v>-2</v>
      </c>
      <c r="AE131" t="s">
        <v>9</v>
      </c>
      <c r="AF131">
        <v>-15</v>
      </c>
      <c r="AG131" t="s">
        <v>170</v>
      </c>
      <c r="AH131">
        <v>-1</v>
      </c>
      <c r="AI131" t="s">
        <v>1156</v>
      </c>
      <c r="AJ131">
        <v>-6</v>
      </c>
      <c r="AK131" t="s">
        <v>449</v>
      </c>
      <c r="AL131">
        <v>-175</v>
      </c>
      <c r="AM131" t="s">
        <v>1815</v>
      </c>
      <c r="AN131">
        <v>-2</v>
      </c>
    </row>
    <row r="132" spans="2:40" x14ac:dyDescent="0.25">
      <c r="B132" t="s">
        <v>369</v>
      </c>
      <c r="C132">
        <v>-1</v>
      </c>
      <c r="E132" t="s">
        <v>797</v>
      </c>
      <c r="F132">
        <v>-32</v>
      </c>
      <c r="H132" t="s">
        <v>264</v>
      </c>
      <c r="I132">
        <v>-56</v>
      </c>
      <c r="J132" t="s">
        <v>979</v>
      </c>
      <c r="K132">
        <v>-16</v>
      </c>
      <c r="L132" t="s">
        <v>238</v>
      </c>
      <c r="M132">
        <v>-1019</v>
      </c>
      <c r="O132" t="s">
        <v>80</v>
      </c>
      <c r="P132">
        <v>-2</v>
      </c>
      <c r="Q132" t="s">
        <v>778</v>
      </c>
      <c r="R132">
        <v>-16</v>
      </c>
      <c r="S132" t="s">
        <v>367</v>
      </c>
      <c r="T132">
        <v>-2</v>
      </c>
      <c r="U132" t="s">
        <v>858</v>
      </c>
      <c r="V132">
        <v>-6</v>
      </c>
      <c r="W132" t="s">
        <v>83</v>
      </c>
      <c r="X132">
        <v>-3</v>
      </c>
      <c r="Y132" t="s">
        <v>203</v>
      </c>
      <c r="Z132">
        <v>-5</v>
      </c>
      <c r="AA132" t="s">
        <v>253</v>
      </c>
      <c r="AB132">
        <v>-1</v>
      </c>
      <c r="AC132" t="s">
        <v>495</v>
      </c>
      <c r="AD132">
        <v>-7</v>
      </c>
      <c r="AE132" t="s">
        <v>1401</v>
      </c>
      <c r="AF132">
        <v>-5</v>
      </c>
      <c r="AG132" t="s">
        <v>224</v>
      </c>
      <c r="AH132">
        <v>-1</v>
      </c>
      <c r="AI132" t="s">
        <v>974</v>
      </c>
      <c r="AJ132">
        <v>-13</v>
      </c>
      <c r="AK132" t="s">
        <v>1161</v>
      </c>
      <c r="AL132">
        <v>-24</v>
      </c>
      <c r="AM132" t="s">
        <v>2339</v>
      </c>
      <c r="AN132">
        <v>-1</v>
      </c>
    </row>
    <row r="133" spans="2:40" x14ac:dyDescent="0.25">
      <c r="B133" t="s">
        <v>526</v>
      </c>
      <c r="C133">
        <v>-1</v>
      </c>
      <c r="E133" t="s">
        <v>6</v>
      </c>
      <c r="F133">
        <v>-19</v>
      </c>
      <c r="H133" t="s">
        <v>248</v>
      </c>
      <c r="I133">
        <v>-156</v>
      </c>
      <c r="J133" t="s">
        <v>171</v>
      </c>
      <c r="K133">
        <v>-4</v>
      </c>
      <c r="L133" t="s">
        <v>1136</v>
      </c>
      <c r="M133">
        <v>-2</v>
      </c>
      <c r="O133" t="s">
        <v>1397</v>
      </c>
      <c r="P133">
        <v>-3</v>
      </c>
      <c r="Q133" t="s">
        <v>5</v>
      </c>
      <c r="R133">
        <v>-10</v>
      </c>
      <c r="S133" t="s">
        <v>1658</v>
      </c>
      <c r="T133">
        <v>-3</v>
      </c>
      <c r="U133" t="s">
        <v>233</v>
      </c>
      <c r="V133">
        <v>-5</v>
      </c>
      <c r="W133" t="s">
        <v>8</v>
      </c>
      <c r="X133">
        <v>-46</v>
      </c>
      <c r="Y133" t="s">
        <v>267</v>
      </c>
      <c r="Z133">
        <v>-72</v>
      </c>
      <c r="AA133" t="s">
        <v>203</v>
      </c>
      <c r="AB133">
        <v>-5</v>
      </c>
      <c r="AC133" t="s">
        <v>277</v>
      </c>
      <c r="AD133">
        <v>-6</v>
      </c>
      <c r="AE133" t="s">
        <v>1163</v>
      </c>
      <c r="AF133">
        <v>-2</v>
      </c>
      <c r="AG133" t="s">
        <v>166</v>
      </c>
      <c r="AH133">
        <v>-60</v>
      </c>
      <c r="AI133" t="s">
        <v>4</v>
      </c>
      <c r="AJ133">
        <v>-48</v>
      </c>
      <c r="AK133" t="s">
        <v>2268</v>
      </c>
      <c r="AL133">
        <v>-6</v>
      </c>
      <c r="AM133" t="s">
        <v>2340</v>
      </c>
      <c r="AN133">
        <v>-9</v>
      </c>
    </row>
    <row r="134" spans="2:40" x14ac:dyDescent="0.25">
      <c r="B134" t="s">
        <v>183</v>
      </c>
      <c r="C134">
        <v>-16</v>
      </c>
      <c r="E134" t="s">
        <v>11</v>
      </c>
      <c r="F134">
        <v>-82</v>
      </c>
      <c r="H134" t="s">
        <v>257</v>
      </c>
      <c r="I134">
        <v>-26</v>
      </c>
      <c r="J134" t="s">
        <v>241</v>
      </c>
      <c r="K134">
        <v>-3</v>
      </c>
      <c r="L134" t="s">
        <v>1137</v>
      </c>
      <c r="M134">
        <v>-4</v>
      </c>
      <c r="O134" t="s">
        <v>48</v>
      </c>
      <c r="P134">
        <v>-18</v>
      </c>
      <c r="Q134" t="s">
        <v>1176</v>
      </c>
      <c r="R134">
        <v>-5</v>
      </c>
      <c r="S134" t="s">
        <v>701</v>
      </c>
      <c r="T134">
        <v>-22</v>
      </c>
      <c r="U134" t="s">
        <v>245</v>
      </c>
      <c r="V134">
        <v>-7</v>
      </c>
      <c r="W134" t="s">
        <v>82</v>
      </c>
      <c r="X134">
        <v>-1</v>
      </c>
      <c r="Y134" t="s">
        <v>265</v>
      </c>
      <c r="Z134">
        <v>-10</v>
      </c>
      <c r="AA134" t="s">
        <v>267</v>
      </c>
      <c r="AB134">
        <v>-30</v>
      </c>
      <c r="AC134" t="s">
        <v>234</v>
      </c>
      <c r="AD134">
        <v>-57.7</v>
      </c>
      <c r="AE134" t="s">
        <v>38</v>
      </c>
      <c r="AF134">
        <v>-42</v>
      </c>
      <c r="AG134" t="s">
        <v>464</v>
      </c>
      <c r="AH134">
        <v>-5</v>
      </c>
      <c r="AI134" t="s">
        <v>792</v>
      </c>
      <c r="AJ134">
        <v>-14</v>
      </c>
      <c r="AK134" t="s">
        <v>245</v>
      </c>
      <c r="AL134">
        <v>-6</v>
      </c>
      <c r="AM134" t="s">
        <v>1148</v>
      </c>
      <c r="AN134">
        <v>-14</v>
      </c>
    </row>
    <row r="135" spans="2:40" x14ac:dyDescent="0.25">
      <c r="B135" t="s">
        <v>387</v>
      </c>
      <c r="C135">
        <v>-15</v>
      </c>
      <c r="E135" t="s">
        <v>43</v>
      </c>
      <c r="F135">
        <v>-126</v>
      </c>
      <c r="H135" t="s">
        <v>237</v>
      </c>
      <c r="I135">
        <v>-36</v>
      </c>
      <c r="J135" t="s">
        <v>349</v>
      </c>
      <c r="K135">
        <v>-1.3</v>
      </c>
      <c r="L135" t="s">
        <v>1138</v>
      </c>
      <c r="M135">
        <v>-4</v>
      </c>
      <c r="O135" t="s">
        <v>206</v>
      </c>
      <c r="P135">
        <v>-2</v>
      </c>
      <c r="Q135" t="s">
        <v>1177</v>
      </c>
      <c r="R135">
        <v>-5</v>
      </c>
      <c r="S135" t="s">
        <v>170</v>
      </c>
      <c r="T135">
        <v>-4</v>
      </c>
      <c r="U135" t="s">
        <v>9</v>
      </c>
      <c r="V135">
        <v>-2</v>
      </c>
      <c r="W135" t="s">
        <v>729</v>
      </c>
      <c r="X135">
        <v>-2</v>
      </c>
      <c r="Y135" t="s">
        <v>266</v>
      </c>
      <c r="Z135">
        <v>-72</v>
      </c>
      <c r="AA135" t="s">
        <v>265</v>
      </c>
      <c r="AB135">
        <v>-6</v>
      </c>
      <c r="AC135" t="s">
        <v>420</v>
      </c>
      <c r="AD135">
        <v>-140.5</v>
      </c>
      <c r="AE135" t="s">
        <v>701</v>
      </c>
      <c r="AF135">
        <v>-12</v>
      </c>
      <c r="AG135" t="s">
        <v>8</v>
      </c>
      <c r="AH135">
        <v>-116</v>
      </c>
      <c r="AI135" t="s">
        <v>391</v>
      </c>
      <c r="AJ135">
        <v>-31</v>
      </c>
      <c r="AK135" t="s">
        <v>367</v>
      </c>
      <c r="AL135">
        <v>-2</v>
      </c>
      <c r="AM135" t="s">
        <v>855</v>
      </c>
      <c r="AN135">
        <v>-4</v>
      </c>
    </row>
    <row r="136" spans="2:40" x14ac:dyDescent="0.25">
      <c r="B136" t="s">
        <v>778</v>
      </c>
      <c r="C136">
        <v>-20</v>
      </c>
      <c r="E136" t="s">
        <v>167</v>
      </c>
      <c r="F136">
        <v>-154</v>
      </c>
      <c r="H136" t="s">
        <v>199</v>
      </c>
      <c r="I136">
        <v>-26</v>
      </c>
      <c r="J136" t="s">
        <v>41</v>
      </c>
      <c r="K136">
        <v>-21</v>
      </c>
      <c r="L136" t="s">
        <v>1139</v>
      </c>
      <c r="M136">
        <v>-4</v>
      </c>
      <c r="O136" t="s">
        <v>49</v>
      </c>
      <c r="P136">
        <v>-8</v>
      </c>
      <c r="Q136" t="s">
        <v>1568</v>
      </c>
      <c r="R136">
        <v>-10</v>
      </c>
      <c r="S136" t="s">
        <v>224</v>
      </c>
      <c r="T136">
        <v>-1</v>
      </c>
      <c r="U136" t="s">
        <v>367</v>
      </c>
      <c r="V136">
        <v>-2</v>
      </c>
      <c r="W136" t="s">
        <v>1818</v>
      </c>
      <c r="X136">
        <v>-1</v>
      </c>
      <c r="Y136" t="s">
        <v>264</v>
      </c>
      <c r="Z136">
        <v>-26</v>
      </c>
      <c r="AA136" t="s">
        <v>266</v>
      </c>
      <c r="AB136">
        <v>-30</v>
      </c>
      <c r="AC136" t="s">
        <v>1992</v>
      </c>
      <c r="AD136">
        <v>-50</v>
      </c>
      <c r="AE136" t="s">
        <v>166</v>
      </c>
      <c r="AF136">
        <v>-32</v>
      </c>
      <c r="AG136" t="s">
        <v>82</v>
      </c>
      <c r="AH136">
        <v>-3</v>
      </c>
      <c r="AI136" t="s">
        <v>12</v>
      </c>
      <c r="AJ136">
        <v>-4</v>
      </c>
      <c r="AK136" t="s">
        <v>1728</v>
      </c>
      <c r="AL136">
        <v>-2</v>
      </c>
      <c r="AM136" t="s">
        <v>190</v>
      </c>
      <c r="AN136">
        <v>-2</v>
      </c>
    </row>
    <row r="137" spans="2:40" x14ac:dyDescent="0.25">
      <c r="B137" t="s">
        <v>5</v>
      </c>
      <c r="C137">
        <v>-4</v>
      </c>
      <c r="E137" t="s">
        <v>798</v>
      </c>
      <c r="F137">
        <v>-160</v>
      </c>
      <c r="H137" t="s">
        <v>510</v>
      </c>
      <c r="I137">
        <v>-35</v>
      </c>
      <c r="J137" t="s">
        <v>980</v>
      </c>
      <c r="K137">
        <v>-18</v>
      </c>
      <c r="L137" t="s">
        <v>791</v>
      </c>
      <c r="M137">
        <v>-3</v>
      </c>
      <c r="O137" t="s">
        <v>373</v>
      </c>
      <c r="P137">
        <v>-4</v>
      </c>
      <c r="Q137" t="s">
        <v>1569</v>
      </c>
      <c r="R137">
        <v>-5</v>
      </c>
      <c r="S137" t="s">
        <v>166</v>
      </c>
      <c r="T137">
        <v>-21</v>
      </c>
      <c r="U137" t="s">
        <v>1728</v>
      </c>
      <c r="V137">
        <v>-1</v>
      </c>
      <c r="W137" t="s">
        <v>5</v>
      </c>
      <c r="X137">
        <v>-6</v>
      </c>
      <c r="Y137" t="s">
        <v>248</v>
      </c>
      <c r="Z137">
        <v>-13</v>
      </c>
      <c r="AA137" t="s">
        <v>264</v>
      </c>
      <c r="AB137">
        <v>-6</v>
      </c>
      <c r="AC137" t="s">
        <v>253</v>
      </c>
      <c r="AD137">
        <v>-2</v>
      </c>
      <c r="AE137" t="s">
        <v>8</v>
      </c>
      <c r="AF137">
        <v>-80</v>
      </c>
      <c r="AG137" t="s">
        <v>729</v>
      </c>
      <c r="AH137">
        <v>-9</v>
      </c>
      <c r="AI137" t="s">
        <v>401</v>
      </c>
      <c r="AJ137">
        <v>-1</v>
      </c>
      <c r="AK137" t="s">
        <v>1729</v>
      </c>
      <c r="AL137">
        <v>-4</v>
      </c>
      <c r="AM137" t="s">
        <v>1150</v>
      </c>
      <c r="AN137">
        <v>-2</v>
      </c>
    </row>
    <row r="138" spans="2:40" x14ac:dyDescent="0.25">
      <c r="B138" t="s">
        <v>649</v>
      </c>
      <c r="C138">
        <v>-20</v>
      </c>
      <c r="E138" t="s">
        <v>562</v>
      </c>
      <c r="F138">
        <v>-19</v>
      </c>
      <c r="H138" t="s">
        <v>171</v>
      </c>
      <c r="I138">
        <v>-26</v>
      </c>
      <c r="J138" t="s">
        <v>981</v>
      </c>
      <c r="K138">
        <v>-12</v>
      </c>
      <c r="L138" t="s">
        <v>3</v>
      </c>
      <c r="M138">
        <v>-42</v>
      </c>
      <c r="O138" t="s">
        <v>1143</v>
      </c>
      <c r="P138">
        <v>-6</v>
      </c>
      <c r="Q138" t="s">
        <v>277</v>
      </c>
      <c r="R138">
        <v>-42</v>
      </c>
      <c r="S138" t="s">
        <v>464</v>
      </c>
      <c r="T138">
        <v>-2</v>
      </c>
      <c r="U138" t="s">
        <v>1729</v>
      </c>
      <c r="V138">
        <v>-2</v>
      </c>
      <c r="W138" t="s">
        <v>1176</v>
      </c>
      <c r="X138">
        <v>-3</v>
      </c>
      <c r="Y138" t="s">
        <v>257</v>
      </c>
      <c r="Z138">
        <v>-1</v>
      </c>
      <c r="AA138" t="s">
        <v>257</v>
      </c>
      <c r="AB138">
        <v>-1</v>
      </c>
      <c r="AC138" t="s">
        <v>203</v>
      </c>
      <c r="AD138">
        <v>-8</v>
      </c>
      <c r="AE138" t="s">
        <v>82</v>
      </c>
      <c r="AF138">
        <v>-4</v>
      </c>
      <c r="AG138" t="s">
        <v>2146</v>
      </c>
      <c r="AH138">
        <v>-1</v>
      </c>
      <c r="AI138" t="s">
        <v>236</v>
      </c>
      <c r="AJ138">
        <v>-13</v>
      </c>
      <c r="AK138" t="s">
        <v>223</v>
      </c>
      <c r="AL138">
        <v>-8</v>
      </c>
      <c r="AM138" t="s">
        <v>16</v>
      </c>
      <c r="AN138">
        <v>-12</v>
      </c>
    </row>
    <row r="139" spans="2:40" x14ac:dyDescent="0.25">
      <c r="B139" t="s">
        <v>527</v>
      </c>
      <c r="C139">
        <v>-1</v>
      </c>
      <c r="E139" t="s">
        <v>560</v>
      </c>
      <c r="F139">
        <v>-79</v>
      </c>
      <c r="H139" t="s">
        <v>241</v>
      </c>
      <c r="I139">
        <v>-5</v>
      </c>
      <c r="J139" t="s">
        <v>501</v>
      </c>
      <c r="K139">
        <v>-11</v>
      </c>
      <c r="L139" t="s">
        <v>972</v>
      </c>
      <c r="M139">
        <v>-3</v>
      </c>
      <c r="O139" t="s">
        <v>854</v>
      </c>
      <c r="P139">
        <v>-13</v>
      </c>
      <c r="Q139" t="s">
        <v>234</v>
      </c>
      <c r="R139">
        <v>-65.099999999999994</v>
      </c>
      <c r="S139" t="s">
        <v>8</v>
      </c>
      <c r="T139">
        <v>-56</v>
      </c>
      <c r="U139" t="s">
        <v>1658</v>
      </c>
      <c r="V139">
        <v>-2</v>
      </c>
      <c r="W139" t="s">
        <v>1177</v>
      </c>
      <c r="X139">
        <v>-4</v>
      </c>
      <c r="Y139" t="s">
        <v>153</v>
      </c>
      <c r="Z139">
        <v>-1</v>
      </c>
      <c r="AA139" t="s">
        <v>502</v>
      </c>
      <c r="AB139">
        <v>-1.06</v>
      </c>
      <c r="AC139" t="s">
        <v>267</v>
      </c>
      <c r="AD139">
        <v>-60</v>
      </c>
      <c r="AE139" t="s">
        <v>2054</v>
      </c>
      <c r="AF139">
        <v>-9</v>
      </c>
      <c r="AG139" t="s">
        <v>2055</v>
      </c>
      <c r="AH139">
        <v>-12</v>
      </c>
      <c r="AI139" t="s">
        <v>396</v>
      </c>
      <c r="AJ139">
        <v>-9</v>
      </c>
      <c r="AK139" t="s">
        <v>38</v>
      </c>
      <c r="AL139">
        <v>-14</v>
      </c>
      <c r="AM139" t="s">
        <v>1156</v>
      </c>
      <c r="AN139">
        <v>-4</v>
      </c>
    </row>
    <row r="140" spans="2:40" x14ac:dyDescent="0.25">
      <c r="B140" t="s">
        <v>528</v>
      </c>
      <c r="C140">
        <v>-2</v>
      </c>
      <c r="E140" t="s">
        <v>191</v>
      </c>
      <c r="F140">
        <v>-30</v>
      </c>
      <c r="H140" t="s">
        <v>349</v>
      </c>
      <c r="I140">
        <v>-2.2999999999999998</v>
      </c>
      <c r="J140" t="s">
        <v>168</v>
      </c>
      <c r="K140">
        <v>-18</v>
      </c>
      <c r="L140" t="s">
        <v>80</v>
      </c>
      <c r="M140">
        <v>-4</v>
      </c>
      <c r="O140" t="s">
        <v>1145</v>
      </c>
      <c r="P140">
        <v>-4</v>
      </c>
      <c r="Q140" t="s">
        <v>420</v>
      </c>
      <c r="R140">
        <v>-215</v>
      </c>
      <c r="S140" t="s">
        <v>82</v>
      </c>
      <c r="T140">
        <v>-2</v>
      </c>
      <c r="U140" t="s">
        <v>223</v>
      </c>
      <c r="V140">
        <v>-13</v>
      </c>
      <c r="W140" t="s">
        <v>1819</v>
      </c>
      <c r="X140">
        <v>-4</v>
      </c>
      <c r="Y140" t="s">
        <v>502</v>
      </c>
      <c r="Z140">
        <v>-2.2000000000000002</v>
      </c>
      <c r="AA140" t="s">
        <v>237</v>
      </c>
      <c r="AB140">
        <v>-8</v>
      </c>
      <c r="AC140" t="s">
        <v>265</v>
      </c>
      <c r="AD140">
        <v>-12</v>
      </c>
      <c r="AE140" t="s">
        <v>729</v>
      </c>
      <c r="AF140">
        <v>-4</v>
      </c>
      <c r="AG140" t="s">
        <v>183</v>
      </c>
      <c r="AH140">
        <v>-8</v>
      </c>
      <c r="AI140" t="s">
        <v>449</v>
      </c>
      <c r="AJ140">
        <v>-147</v>
      </c>
      <c r="AK140" t="s">
        <v>701</v>
      </c>
      <c r="AL140">
        <v>-4</v>
      </c>
      <c r="AM140" t="s">
        <v>2341</v>
      </c>
      <c r="AN140">
        <v>-1</v>
      </c>
    </row>
    <row r="141" spans="2:40" x14ac:dyDescent="0.25">
      <c r="B141" t="s">
        <v>551</v>
      </c>
      <c r="C141">
        <v>-2</v>
      </c>
      <c r="E141" t="s">
        <v>192</v>
      </c>
      <c r="F141">
        <v>-64</v>
      </c>
      <c r="H141" t="s">
        <v>501</v>
      </c>
      <c r="I141">
        <v>-9</v>
      </c>
      <c r="J141" t="s">
        <v>6</v>
      </c>
      <c r="K141">
        <v>-5</v>
      </c>
      <c r="L141" t="s">
        <v>1140</v>
      </c>
      <c r="M141">
        <v>-2</v>
      </c>
      <c r="O141" t="s">
        <v>1146</v>
      </c>
      <c r="P141">
        <v>-1</v>
      </c>
      <c r="Q141" t="s">
        <v>575</v>
      </c>
      <c r="R141">
        <v>-120</v>
      </c>
      <c r="S141" t="s">
        <v>729</v>
      </c>
      <c r="T141">
        <v>-5</v>
      </c>
      <c r="U141" t="s">
        <v>38</v>
      </c>
      <c r="V141">
        <v>-13</v>
      </c>
      <c r="W141" t="s">
        <v>495</v>
      </c>
      <c r="X141">
        <v>-17</v>
      </c>
      <c r="Y141" t="s">
        <v>1897</v>
      </c>
      <c r="Z141">
        <v>-2</v>
      </c>
      <c r="AA141" t="s">
        <v>199</v>
      </c>
      <c r="AB141">
        <v>-2</v>
      </c>
      <c r="AC141" t="s">
        <v>266</v>
      </c>
      <c r="AD141">
        <v>-60</v>
      </c>
      <c r="AE141" t="s">
        <v>2055</v>
      </c>
      <c r="AF141">
        <v>-12</v>
      </c>
      <c r="AG141" t="s">
        <v>5</v>
      </c>
      <c r="AH141">
        <v>-10</v>
      </c>
      <c r="AI141" t="s">
        <v>2195</v>
      </c>
      <c r="AJ141">
        <v>-1</v>
      </c>
      <c r="AK141" t="s">
        <v>170</v>
      </c>
      <c r="AL141">
        <v>-2</v>
      </c>
      <c r="AM141" t="s">
        <v>2342</v>
      </c>
      <c r="AN141">
        <v>-4</v>
      </c>
    </row>
    <row r="142" spans="2:40" x14ac:dyDescent="0.25">
      <c r="B142" t="s">
        <v>377</v>
      </c>
      <c r="C142">
        <v>-1</v>
      </c>
      <c r="E142" t="s">
        <v>348</v>
      </c>
      <c r="F142">
        <v>-1</v>
      </c>
      <c r="H142" t="s">
        <v>797</v>
      </c>
      <c r="I142">
        <v>-32</v>
      </c>
      <c r="J142" t="s">
        <v>982</v>
      </c>
      <c r="K142">
        <v>-4</v>
      </c>
      <c r="L142" t="s">
        <v>206</v>
      </c>
      <c r="M142">
        <v>-4</v>
      </c>
      <c r="O142" t="s">
        <v>1398</v>
      </c>
      <c r="P142">
        <v>-1</v>
      </c>
      <c r="Q142" t="s">
        <v>276</v>
      </c>
      <c r="R142">
        <v>-56</v>
      </c>
      <c r="S142" t="s">
        <v>387</v>
      </c>
      <c r="T142">
        <v>-2</v>
      </c>
      <c r="U142" t="s">
        <v>701</v>
      </c>
      <c r="V142">
        <v>-4</v>
      </c>
      <c r="W142" t="s">
        <v>277</v>
      </c>
      <c r="X142">
        <v>-14</v>
      </c>
      <c r="Y142" t="s">
        <v>747</v>
      </c>
      <c r="Z142">
        <v>-6</v>
      </c>
      <c r="AA142" t="s">
        <v>750</v>
      </c>
      <c r="AB142">
        <v>-1</v>
      </c>
      <c r="AC142" t="s">
        <v>264</v>
      </c>
      <c r="AD142">
        <v>-12</v>
      </c>
      <c r="AE142" t="s">
        <v>183</v>
      </c>
      <c r="AF142">
        <v>-20</v>
      </c>
      <c r="AG142" t="s">
        <v>1176</v>
      </c>
      <c r="AH142">
        <v>-1</v>
      </c>
      <c r="AI142" t="s">
        <v>858</v>
      </c>
      <c r="AJ142">
        <v>-5</v>
      </c>
      <c r="AK142" t="s">
        <v>1166</v>
      </c>
      <c r="AL142">
        <v>-16</v>
      </c>
      <c r="AM142" t="s">
        <v>2343</v>
      </c>
      <c r="AN142">
        <v>-12</v>
      </c>
    </row>
    <row r="143" spans="2:40" x14ac:dyDescent="0.25">
      <c r="B143" t="s">
        <v>529</v>
      </c>
      <c r="C143">
        <v>-1</v>
      </c>
      <c r="E143" t="s">
        <v>182</v>
      </c>
      <c r="F143">
        <v>-30</v>
      </c>
      <c r="H143" t="s">
        <v>6</v>
      </c>
      <c r="I143">
        <v>-6</v>
      </c>
      <c r="J143" t="s">
        <v>10</v>
      </c>
      <c r="K143">
        <v>-20</v>
      </c>
      <c r="L143" t="s">
        <v>49</v>
      </c>
      <c r="M143">
        <v>-18</v>
      </c>
      <c r="O143" t="s">
        <v>973</v>
      </c>
      <c r="P143">
        <v>-6</v>
      </c>
      <c r="Q143" t="s">
        <v>253</v>
      </c>
      <c r="R143">
        <v>-2</v>
      </c>
      <c r="S143" t="s">
        <v>377</v>
      </c>
      <c r="T143">
        <v>-2</v>
      </c>
      <c r="U143" t="s">
        <v>224</v>
      </c>
      <c r="V143">
        <v>-2</v>
      </c>
      <c r="W143" t="s">
        <v>234</v>
      </c>
      <c r="X143">
        <v>-1.9999999999999998</v>
      </c>
      <c r="Y143" t="s">
        <v>171</v>
      </c>
      <c r="Z143">
        <v>-18</v>
      </c>
      <c r="AA143" t="s">
        <v>1948</v>
      </c>
      <c r="AB143">
        <v>-2</v>
      </c>
      <c r="AC143" t="s">
        <v>1410</v>
      </c>
      <c r="AD143">
        <v>-1</v>
      </c>
      <c r="AE143" t="s">
        <v>5</v>
      </c>
      <c r="AF143">
        <v>-24</v>
      </c>
      <c r="AG143" t="s">
        <v>1177</v>
      </c>
      <c r="AH143">
        <v>-1</v>
      </c>
      <c r="AI143" t="s">
        <v>1161</v>
      </c>
      <c r="AJ143">
        <v>-33</v>
      </c>
      <c r="AK143" t="s">
        <v>224</v>
      </c>
      <c r="AL143">
        <v>-1</v>
      </c>
      <c r="AM143" t="s">
        <v>2344</v>
      </c>
      <c r="AN143">
        <v>-12</v>
      </c>
    </row>
    <row r="144" spans="2:40" x14ac:dyDescent="0.25">
      <c r="B144" t="s">
        <v>277</v>
      </c>
      <c r="C144">
        <v>-12</v>
      </c>
      <c r="E144" t="s">
        <v>181</v>
      </c>
      <c r="F144">
        <v>-32</v>
      </c>
      <c r="H144" t="s">
        <v>10</v>
      </c>
      <c r="I144">
        <v>-4</v>
      </c>
      <c r="J144" t="s">
        <v>479</v>
      </c>
      <c r="K144">
        <v>-27</v>
      </c>
      <c r="L144" t="s">
        <v>852</v>
      </c>
      <c r="M144">
        <v>-4</v>
      </c>
      <c r="O144" t="s">
        <v>190</v>
      </c>
      <c r="P144">
        <v>-78</v>
      </c>
      <c r="Q144" t="s">
        <v>203</v>
      </c>
      <c r="R144">
        <v>-24</v>
      </c>
      <c r="S144" t="s">
        <v>495</v>
      </c>
      <c r="T144">
        <v>-20</v>
      </c>
      <c r="U144" t="s">
        <v>166</v>
      </c>
      <c r="V144">
        <v>-22</v>
      </c>
      <c r="W144" t="s">
        <v>420</v>
      </c>
      <c r="X144">
        <v>-258</v>
      </c>
      <c r="Y144" t="s">
        <v>91</v>
      </c>
      <c r="Z144">
        <v>-30</v>
      </c>
      <c r="AA144" t="s">
        <v>171</v>
      </c>
      <c r="AB144">
        <v>-6</v>
      </c>
      <c r="AC144" t="s">
        <v>248</v>
      </c>
      <c r="AD144">
        <v>-26</v>
      </c>
      <c r="AE144" t="s">
        <v>2056</v>
      </c>
      <c r="AF144">
        <v>-1</v>
      </c>
      <c r="AG144" t="s">
        <v>551</v>
      </c>
      <c r="AH144">
        <v>-1</v>
      </c>
      <c r="AI144" t="s">
        <v>233</v>
      </c>
      <c r="AJ144">
        <v>-5</v>
      </c>
      <c r="AK144" t="s">
        <v>166</v>
      </c>
      <c r="AL144">
        <v>-31</v>
      </c>
      <c r="AM144" t="s">
        <v>974</v>
      </c>
      <c r="AN144">
        <v>-3</v>
      </c>
    </row>
    <row r="145" spans="2:40" x14ac:dyDescent="0.25">
      <c r="B145" t="s">
        <v>234</v>
      </c>
      <c r="C145">
        <v>-79.8</v>
      </c>
      <c r="E145" t="s">
        <v>185</v>
      </c>
      <c r="F145">
        <v>-23</v>
      </c>
      <c r="H145" t="s">
        <v>11</v>
      </c>
      <c r="I145">
        <v>-28</v>
      </c>
      <c r="J145" t="s">
        <v>11</v>
      </c>
      <c r="K145">
        <v>-45</v>
      </c>
      <c r="L145" t="s">
        <v>853</v>
      </c>
      <c r="M145">
        <v>-2</v>
      </c>
      <c r="O145" t="s">
        <v>856</v>
      </c>
      <c r="P145">
        <v>-7</v>
      </c>
      <c r="Q145" t="s">
        <v>267</v>
      </c>
      <c r="R145">
        <v>-190</v>
      </c>
      <c r="S145" t="s">
        <v>277</v>
      </c>
      <c r="T145">
        <v>-109</v>
      </c>
      <c r="U145" t="s">
        <v>83</v>
      </c>
      <c r="V145">
        <v>-8</v>
      </c>
      <c r="W145" t="s">
        <v>575</v>
      </c>
      <c r="X145">
        <v>-168.69</v>
      </c>
      <c r="Y145" t="s">
        <v>349</v>
      </c>
      <c r="Z145">
        <v>-0.60000000000000009</v>
      </c>
      <c r="AA145" t="s">
        <v>241</v>
      </c>
      <c r="AB145">
        <v>-1</v>
      </c>
      <c r="AC145" t="s">
        <v>257</v>
      </c>
      <c r="AD145">
        <v>-5</v>
      </c>
      <c r="AE145" t="s">
        <v>2057</v>
      </c>
      <c r="AF145">
        <v>-1</v>
      </c>
      <c r="AG145" t="s">
        <v>377</v>
      </c>
      <c r="AH145">
        <v>-1</v>
      </c>
      <c r="AI145" t="s">
        <v>245</v>
      </c>
      <c r="AJ145">
        <v>-6</v>
      </c>
      <c r="AK145" t="s">
        <v>83</v>
      </c>
      <c r="AL145">
        <v>-4</v>
      </c>
      <c r="AM145" t="s">
        <v>4</v>
      </c>
      <c r="AN145">
        <v>-24</v>
      </c>
    </row>
    <row r="146" spans="2:40" x14ac:dyDescent="0.25">
      <c r="B146" t="s">
        <v>420</v>
      </c>
      <c r="C146">
        <v>-310</v>
      </c>
      <c r="E146" t="s">
        <v>350</v>
      </c>
      <c r="F146">
        <v>-24</v>
      </c>
      <c r="H146" t="s">
        <v>43</v>
      </c>
      <c r="I146">
        <v>-52</v>
      </c>
      <c r="J146" t="s">
        <v>43</v>
      </c>
      <c r="K146">
        <v>-33</v>
      </c>
      <c r="L146" t="s">
        <v>1141</v>
      </c>
      <c r="M146">
        <v>-3</v>
      </c>
      <c r="O146" t="s">
        <v>1149</v>
      </c>
      <c r="P146">
        <v>-72</v>
      </c>
      <c r="Q146" t="s">
        <v>265</v>
      </c>
      <c r="R146">
        <v>-62</v>
      </c>
      <c r="S146" t="s">
        <v>234</v>
      </c>
      <c r="T146">
        <v>-85.999999999999986</v>
      </c>
      <c r="U146" t="s">
        <v>8</v>
      </c>
      <c r="V146">
        <v>-61</v>
      </c>
      <c r="W146" t="s">
        <v>276</v>
      </c>
      <c r="X146">
        <v>-60</v>
      </c>
      <c r="Y146" t="s">
        <v>1191</v>
      </c>
      <c r="Z146">
        <v>-3</v>
      </c>
      <c r="AA146" t="s">
        <v>349</v>
      </c>
      <c r="AB146">
        <v>-0.4</v>
      </c>
      <c r="AC146" t="s">
        <v>153</v>
      </c>
      <c r="AD146">
        <v>-2</v>
      </c>
      <c r="AE146" t="s">
        <v>2058</v>
      </c>
      <c r="AF146">
        <v>-12</v>
      </c>
      <c r="AG146" t="s">
        <v>495</v>
      </c>
      <c r="AH146">
        <v>-40</v>
      </c>
      <c r="AI146" t="s">
        <v>9</v>
      </c>
      <c r="AJ146">
        <v>-1</v>
      </c>
      <c r="AK146" t="s">
        <v>8</v>
      </c>
      <c r="AL146">
        <v>-74</v>
      </c>
      <c r="AM146" t="s">
        <v>792</v>
      </c>
      <c r="AN146">
        <v>-12</v>
      </c>
    </row>
    <row r="147" spans="2:40" x14ac:dyDescent="0.25">
      <c r="B147" t="s">
        <v>575</v>
      </c>
      <c r="C147">
        <v>-150.97999999999999</v>
      </c>
      <c r="E147" t="s">
        <v>799</v>
      </c>
      <c r="F147">
        <v>-20</v>
      </c>
      <c r="H147" t="s">
        <v>167</v>
      </c>
      <c r="I147">
        <v>-81</v>
      </c>
      <c r="J147" t="s">
        <v>983</v>
      </c>
      <c r="K147">
        <v>-53</v>
      </c>
      <c r="L147" t="s">
        <v>373</v>
      </c>
      <c r="M147">
        <v>-4</v>
      </c>
      <c r="O147" t="s">
        <v>1151</v>
      </c>
      <c r="P147">
        <v>-42</v>
      </c>
      <c r="Q147" t="s">
        <v>266</v>
      </c>
      <c r="R147">
        <v>-190</v>
      </c>
      <c r="S147" t="s">
        <v>420</v>
      </c>
      <c r="T147">
        <v>-300</v>
      </c>
      <c r="U147" t="s">
        <v>82</v>
      </c>
      <c r="V147">
        <v>-2</v>
      </c>
      <c r="W147" t="s">
        <v>253</v>
      </c>
      <c r="X147">
        <v>-4</v>
      </c>
      <c r="Y147" t="s">
        <v>501</v>
      </c>
      <c r="Z147">
        <v>-6</v>
      </c>
      <c r="AA147" t="s">
        <v>41</v>
      </c>
      <c r="AB147">
        <v>-8</v>
      </c>
      <c r="AC147" t="s">
        <v>502</v>
      </c>
      <c r="AD147">
        <v>-8.5</v>
      </c>
      <c r="AE147" t="s">
        <v>495</v>
      </c>
      <c r="AF147">
        <v>-24</v>
      </c>
      <c r="AG147" t="s">
        <v>277</v>
      </c>
      <c r="AH147">
        <v>-10</v>
      </c>
      <c r="AI147" t="s">
        <v>367</v>
      </c>
      <c r="AJ147">
        <v>-1</v>
      </c>
      <c r="AK147" t="s">
        <v>1167</v>
      </c>
      <c r="AL147">
        <v>-1</v>
      </c>
      <c r="AM147" t="s">
        <v>391</v>
      </c>
      <c r="AN147">
        <v>-25</v>
      </c>
    </row>
    <row r="148" spans="2:40" x14ac:dyDescent="0.25">
      <c r="B148" t="s">
        <v>276</v>
      </c>
      <c r="C148">
        <v>-300</v>
      </c>
      <c r="E148" t="s">
        <v>454</v>
      </c>
      <c r="F148">
        <v>-20</v>
      </c>
      <c r="H148" t="s">
        <v>564</v>
      </c>
      <c r="I148">
        <v>-9</v>
      </c>
      <c r="J148" t="s">
        <v>167</v>
      </c>
      <c r="K148">
        <v>-15</v>
      </c>
      <c r="L148" t="s">
        <v>1142</v>
      </c>
      <c r="M148">
        <v>-2</v>
      </c>
      <c r="O148" t="s">
        <v>1152</v>
      </c>
      <c r="P148">
        <v>-30</v>
      </c>
      <c r="Q148" t="s">
        <v>264</v>
      </c>
      <c r="R148">
        <v>-62</v>
      </c>
      <c r="S148" t="s">
        <v>575</v>
      </c>
      <c r="T148">
        <v>-167.36000000000004</v>
      </c>
      <c r="U148" t="s">
        <v>729</v>
      </c>
      <c r="V148">
        <v>-2</v>
      </c>
      <c r="W148" t="s">
        <v>203</v>
      </c>
      <c r="X148">
        <v>-52</v>
      </c>
      <c r="Y148" t="s">
        <v>168</v>
      </c>
      <c r="Z148">
        <v>-4</v>
      </c>
      <c r="AA148" t="s">
        <v>980</v>
      </c>
      <c r="AB148">
        <v>-2</v>
      </c>
      <c r="AC148" t="s">
        <v>750</v>
      </c>
      <c r="AD148">
        <v>-1</v>
      </c>
      <c r="AE148" t="s">
        <v>277</v>
      </c>
      <c r="AF148">
        <v>-31</v>
      </c>
      <c r="AG148" t="s">
        <v>234</v>
      </c>
      <c r="AH148">
        <v>-88.6</v>
      </c>
      <c r="AI148" t="s">
        <v>223</v>
      </c>
      <c r="AJ148">
        <v>-5</v>
      </c>
      <c r="AK148" t="s">
        <v>1567</v>
      </c>
      <c r="AL148">
        <v>-20</v>
      </c>
      <c r="AM148" t="s">
        <v>401</v>
      </c>
      <c r="AN148">
        <v>-1</v>
      </c>
    </row>
    <row r="149" spans="2:40" x14ac:dyDescent="0.25">
      <c r="B149" t="s">
        <v>253</v>
      </c>
      <c r="C149">
        <v>-8</v>
      </c>
      <c r="E149" t="s">
        <v>219</v>
      </c>
      <c r="F149">
        <v>-16</v>
      </c>
      <c r="H149" t="s">
        <v>562</v>
      </c>
      <c r="I149">
        <v>-50</v>
      </c>
      <c r="J149" t="s">
        <v>798</v>
      </c>
      <c r="K149">
        <v>-144</v>
      </c>
      <c r="L149" t="s">
        <v>1143</v>
      </c>
      <c r="M149">
        <v>-3</v>
      </c>
      <c r="O149" t="s">
        <v>16</v>
      </c>
      <c r="P149">
        <v>-18</v>
      </c>
      <c r="Q149" t="s">
        <v>1410</v>
      </c>
      <c r="R149">
        <v>-11</v>
      </c>
      <c r="S149" t="s">
        <v>276</v>
      </c>
      <c r="T149">
        <v>-152</v>
      </c>
      <c r="U149" t="s">
        <v>5</v>
      </c>
      <c r="V149">
        <v>-30</v>
      </c>
      <c r="W149" t="s">
        <v>267</v>
      </c>
      <c r="X149">
        <v>-320</v>
      </c>
      <c r="Y149" t="s">
        <v>6</v>
      </c>
      <c r="Z149">
        <v>-1</v>
      </c>
      <c r="AA149" t="s">
        <v>6</v>
      </c>
      <c r="AB149">
        <v>-1</v>
      </c>
      <c r="AC149" t="s">
        <v>510</v>
      </c>
      <c r="AD149">
        <v>-2</v>
      </c>
      <c r="AE149" t="s">
        <v>2059</v>
      </c>
      <c r="AF149">
        <v>-24</v>
      </c>
      <c r="AG149" t="s">
        <v>420</v>
      </c>
      <c r="AH149">
        <v>-108</v>
      </c>
      <c r="AI149" t="s">
        <v>1981</v>
      </c>
      <c r="AJ149">
        <v>-2</v>
      </c>
      <c r="AK149" t="s">
        <v>82</v>
      </c>
      <c r="AL149">
        <v>-3</v>
      </c>
      <c r="AM149" t="s">
        <v>2345</v>
      </c>
      <c r="AN149">
        <v>-9</v>
      </c>
    </row>
    <row r="150" spans="2:40" x14ac:dyDescent="0.25">
      <c r="B150" t="s">
        <v>203</v>
      </c>
      <c r="C150">
        <v>-16</v>
      </c>
      <c r="E150" t="s">
        <v>97</v>
      </c>
      <c r="F150">
        <v>-210</v>
      </c>
      <c r="H150" t="s">
        <v>864</v>
      </c>
      <c r="I150">
        <v>-110</v>
      </c>
      <c r="J150" t="s">
        <v>562</v>
      </c>
      <c r="K150">
        <v>-1</v>
      </c>
      <c r="L150" t="s">
        <v>1144</v>
      </c>
      <c r="M150">
        <v>-2</v>
      </c>
      <c r="O150" t="s">
        <v>1154</v>
      </c>
      <c r="P150">
        <v>-6</v>
      </c>
      <c r="Q150" t="s">
        <v>248</v>
      </c>
      <c r="R150">
        <v>-61</v>
      </c>
      <c r="S150" t="s">
        <v>253</v>
      </c>
      <c r="T150">
        <v>-31</v>
      </c>
      <c r="U150" t="s">
        <v>1176</v>
      </c>
      <c r="V150">
        <v>-17</v>
      </c>
      <c r="W150" t="s">
        <v>265</v>
      </c>
      <c r="X150">
        <v>-128</v>
      </c>
      <c r="Y150" t="s">
        <v>10</v>
      </c>
      <c r="Z150">
        <v>-4</v>
      </c>
      <c r="AA150" t="s">
        <v>10</v>
      </c>
      <c r="AB150">
        <v>-4</v>
      </c>
      <c r="AC150" t="s">
        <v>1948</v>
      </c>
      <c r="AD150">
        <v>-5</v>
      </c>
      <c r="AE150" t="s">
        <v>234</v>
      </c>
      <c r="AF150">
        <v>-59.900000000000006</v>
      </c>
      <c r="AG150" t="s">
        <v>575</v>
      </c>
      <c r="AH150">
        <v>-75</v>
      </c>
      <c r="AI150" t="s">
        <v>38</v>
      </c>
      <c r="AJ150">
        <v>-29</v>
      </c>
      <c r="AK150" t="s">
        <v>729</v>
      </c>
      <c r="AL150">
        <v>-5</v>
      </c>
      <c r="AM150" t="s">
        <v>396</v>
      </c>
      <c r="AN150">
        <v>-9</v>
      </c>
    </row>
    <row r="151" spans="2:40" x14ac:dyDescent="0.25">
      <c r="B151" t="s">
        <v>267</v>
      </c>
      <c r="C151">
        <v>-240</v>
      </c>
      <c r="E151" t="s">
        <v>95</v>
      </c>
      <c r="F151">
        <v>-391</v>
      </c>
      <c r="H151" t="s">
        <v>757</v>
      </c>
      <c r="I151">
        <v>-27</v>
      </c>
      <c r="J151" t="s">
        <v>757</v>
      </c>
      <c r="K151">
        <v>-1</v>
      </c>
      <c r="L151" t="s">
        <v>1145</v>
      </c>
      <c r="M151">
        <v>-4</v>
      </c>
      <c r="O151" t="s">
        <v>1155</v>
      </c>
      <c r="P151">
        <v>-1</v>
      </c>
      <c r="Q151" t="s">
        <v>1181</v>
      </c>
      <c r="R151">
        <v>-12</v>
      </c>
      <c r="S151" t="s">
        <v>203</v>
      </c>
      <c r="T151">
        <v>-32</v>
      </c>
      <c r="U151" t="s">
        <v>1177</v>
      </c>
      <c r="V151">
        <v>-12</v>
      </c>
      <c r="W151" t="s">
        <v>266</v>
      </c>
      <c r="X151">
        <v>-346</v>
      </c>
      <c r="Y151" t="s">
        <v>11</v>
      </c>
      <c r="Z151">
        <v>-4</v>
      </c>
      <c r="AA151" t="s">
        <v>11</v>
      </c>
      <c r="AB151">
        <v>-11</v>
      </c>
      <c r="AC151" t="s">
        <v>979</v>
      </c>
      <c r="AD151">
        <v>-6</v>
      </c>
      <c r="AE151" t="s">
        <v>420</v>
      </c>
      <c r="AF151">
        <v>-243</v>
      </c>
      <c r="AG151" t="s">
        <v>276</v>
      </c>
      <c r="AH151">
        <v>-152</v>
      </c>
      <c r="AI151" t="s">
        <v>701</v>
      </c>
      <c r="AJ151">
        <v>-8</v>
      </c>
      <c r="AK151" t="s">
        <v>2197</v>
      </c>
      <c r="AL151">
        <v>-6</v>
      </c>
      <c r="AM151" t="s">
        <v>1559</v>
      </c>
      <c r="AN151">
        <v>-6</v>
      </c>
    </row>
    <row r="152" spans="2:40" x14ac:dyDescent="0.25">
      <c r="B152" t="s">
        <v>265</v>
      </c>
      <c r="C152">
        <v>-48</v>
      </c>
      <c r="E152" t="s">
        <v>96</v>
      </c>
      <c r="F152">
        <v>-179</v>
      </c>
      <c r="H152" t="s">
        <v>560</v>
      </c>
      <c r="I152">
        <v>-41</v>
      </c>
      <c r="J152" t="s">
        <v>560</v>
      </c>
      <c r="K152">
        <v>-13</v>
      </c>
      <c r="L152" t="s">
        <v>1146</v>
      </c>
      <c r="M152">
        <v>-1</v>
      </c>
      <c r="O152" t="s">
        <v>974</v>
      </c>
      <c r="P152">
        <v>-29</v>
      </c>
      <c r="Q152" t="s">
        <v>257</v>
      </c>
      <c r="R152">
        <v>-13</v>
      </c>
      <c r="S152" t="s">
        <v>267</v>
      </c>
      <c r="T152">
        <v>-273</v>
      </c>
      <c r="U152" t="s">
        <v>1730</v>
      </c>
      <c r="V152">
        <v>-2</v>
      </c>
      <c r="W152" t="s">
        <v>264</v>
      </c>
      <c r="X152">
        <v>-108</v>
      </c>
      <c r="Y152" t="s">
        <v>43</v>
      </c>
      <c r="Z152">
        <v>-13</v>
      </c>
      <c r="AA152" t="s">
        <v>43</v>
      </c>
      <c r="AB152">
        <v>-13</v>
      </c>
      <c r="AC152" t="s">
        <v>241</v>
      </c>
      <c r="AD152">
        <v>-1</v>
      </c>
      <c r="AE152" t="s">
        <v>575</v>
      </c>
      <c r="AF152">
        <v>-84.990000000000009</v>
      </c>
      <c r="AG152" t="s">
        <v>253</v>
      </c>
      <c r="AH152">
        <v>-11</v>
      </c>
      <c r="AI152" t="s">
        <v>170</v>
      </c>
      <c r="AJ152">
        <v>-1</v>
      </c>
      <c r="AK152" t="s">
        <v>2269</v>
      </c>
      <c r="AL152">
        <v>-1</v>
      </c>
      <c r="AM152" t="s">
        <v>2346</v>
      </c>
      <c r="AN152">
        <v>-9</v>
      </c>
    </row>
    <row r="153" spans="2:40" x14ac:dyDescent="0.25">
      <c r="B153" t="s">
        <v>266</v>
      </c>
      <c r="C153">
        <v>-240</v>
      </c>
      <c r="E153" t="s">
        <v>303</v>
      </c>
      <c r="F153">
        <v>-32</v>
      </c>
      <c r="H153" t="s">
        <v>758</v>
      </c>
      <c r="I153">
        <v>-22</v>
      </c>
      <c r="J153" t="s">
        <v>191</v>
      </c>
      <c r="K153">
        <v>-6</v>
      </c>
      <c r="L153" t="s">
        <v>1147</v>
      </c>
      <c r="M153">
        <v>-1</v>
      </c>
      <c r="O153" t="s">
        <v>4</v>
      </c>
      <c r="P153">
        <v>-37</v>
      </c>
      <c r="Q153" t="s">
        <v>153</v>
      </c>
      <c r="R153">
        <v>-2</v>
      </c>
      <c r="S153" t="s">
        <v>265</v>
      </c>
      <c r="T153">
        <v>-78</v>
      </c>
      <c r="U153" t="s">
        <v>1731</v>
      </c>
      <c r="V153">
        <v>-2</v>
      </c>
      <c r="W153" t="s">
        <v>1410</v>
      </c>
      <c r="X153">
        <v>-1</v>
      </c>
      <c r="Y153" t="s">
        <v>167</v>
      </c>
      <c r="Z153">
        <v>-17</v>
      </c>
      <c r="AA153" t="s">
        <v>167</v>
      </c>
      <c r="AB153">
        <v>-9</v>
      </c>
      <c r="AC153" t="s">
        <v>1993</v>
      </c>
      <c r="AD153">
        <v>-12</v>
      </c>
      <c r="AE153" t="s">
        <v>276</v>
      </c>
      <c r="AF153">
        <v>-538</v>
      </c>
      <c r="AG153" t="s">
        <v>203</v>
      </c>
      <c r="AH153">
        <v>-15</v>
      </c>
      <c r="AI153" t="s">
        <v>1982</v>
      </c>
      <c r="AJ153">
        <v>-2</v>
      </c>
      <c r="AK153" t="s">
        <v>183</v>
      </c>
      <c r="AL153">
        <v>-2</v>
      </c>
      <c r="AM153" t="s">
        <v>1560</v>
      </c>
      <c r="AN153">
        <v>-9</v>
      </c>
    </row>
    <row r="154" spans="2:40" x14ac:dyDescent="0.25">
      <c r="B154" t="s">
        <v>264</v>
      </c>
      <c r="C154">
        <v>-48</v>
      </c>
      <c r="E154" t="s">
        <v>304</v>
      </c>
      <c r="F154">
        <v>-32</v>
      </c>
      <c r="H154" t="s">
        <v>759</v>
      </c>
      <c r="I154">
        <v>-9</v>
      </c>
      <c r="J154" t="s">
        <v>192</v>
      </c>
      <c r="K154">
        <v>-3</v>
      </c>
      <c r="L154" t="s">
        <v>973</v>
      </c>
      <c r="M154">
        <v>-22</v>
      </c>
      <c r="O154" t="s">
        <v>792</v>
      </c>
      <c r="P154">
        <v>-4</v>
      </c>
      <c r="Q154" t="s">
        <v>502</v>
      </c>
      <c r="R154">
        <v>-1.1598999999999999</v>
      </c>
      <c r="S154" t="s">
        <v>266</v>
      </c>
      <c r="T154">
        <v>-291</v>
      </c>
      <c r="U154" t="s">
        <v>377</v>
      </c>
      <c r="V154">
        <v>-2</v>
      </c>
      <c r="W154" t="s">
        <v>248</v>
      </c>
      <c r="X154">
        <v>-116</v>
      </c>
      <c r="Y154" t="s">
        <v>1898</v>
      </c>
      <c r="Z154">
        <v>-21</v>
      </c>
      <c r="AA154" t="s">
        <v>757</v>
      </c>
      <c r="AB154">
        <v>-4</v>
      </c>
      <c r="AC154" t="s">
        <v>349</v>
      </c>
      <c r="AD154">
        <v>-3.2399999999999998</v>
      </c>
      <c r="AE154" t="s">
        <v>253</v>
      </c>
      <c r="AF154">
        <v>-4</v>
      </c>
      <c r="AG154" t="s">
        <v>267</v>
      </c>
      <c r="AH154">
        <v>-293</v>
      </c>
      <c r="AI154" t="s">
        <v>224</v>
      </c>
      <c r="AJ154">
        <v>-1</v>
      </c>
      <c r="AK154" t="s">
        <v>387</v>
      </c>
      <c r="AL154">
        <v>-2</v>
      </c>
      <c r="AM154" t="s">
        <v>1561</v>
      </c>
      <c r="AN154">
        <v>-9</v>
      </c>
    </row>
    <row r="155" spans="2:40" x14ac:dyDescent="0.25">
      <c r="B155" t="s">
        <v>248</v>
      </c>
      <c r="C155">
        <v>-104</v>
      </c>
      <c r="E155" t="s">
        <v>305</v>
      </c>
      <c r="F155">
        <v>-86</v>
      </c>
      <c r="H155" t="s">
        <v>865</v>
      </c>
      <c r="I155">
        <v>-4</v>
      </c>
      <c r="J155" t="s">
        <v>984</v>
      </c>
      <c r="K155">
        <v>-6</v>
      </c>
      <c r="L155" t="s">
        <v>1148</v>
      </c>
      <c r="M155">
        <v>-4</v>
      </c>
      <c r="O155" t="s">
        <v>391</v>
      </c>
      <c r="P155">
        <v>-63</v>
      </c>
      <c r="Q155" t="s">
        <v>1184</v>
      </c>
      <c r="R155">
        <v>-36</v>
      </c>
      <c r="S155" t="s">
        <v>264</v>
      </c>
      <c r="T155">
        <v>-78</v>
      </c>
      <c r="U155" t="s">
        <v>277</v>
      </c>
      <c r="V155">
        <v>-88</v>
      </c>
      <c r="W155" t="s">
        <v>257</v>
      </c>
      <c r="X155">
        <v>-9</v>
      </c>
      <c r="Y155" t="s">
        <v>560</v>
      </c>
      <c r="Z155">
        <v>-4</v>
      </c>
      <c r="AA155" t="s">
        <v>758</v>
      </c>
      <c r="AB155">
        <v>-2</v>
      </c>
      <c r="AC155" t="s">
        <v>41</v>
      </c>
      <c r="AD155">
        <v>-18</v>
      </c>
      <c r="AE155" t="s">
        <v>203</v>
      </c>
      <c r="AF155">
        <v>-16</v>
      </c>
      <c r="AG155" t="s">
        <v>265</v>
      </c>
      <c r="AH155">
        <v>-58</v>
      </c>
      <c r="AI155" t="s">
        <v>166</v>
      </c>
      <c r="AJ155">
        <v>-26</v>
      </c>
      <c r="AK155" t="s">
        <v>5</v>
      </c>
      <c r="AL155">
        <v>-3</v>
      </c>
      <c r="AM155" t="s">
        <v>449</v>
      </c>
      <c r="AN155">
        <v>-20</v>
      </c>
    </row>
    <row r="156" spans="2:40" x14ac:dyDescent="0.25">
      <c r="B156" t="s">
        <v>260</v>
      </c>
      <c r="C156">
        <v>-6</v>
      </c>
      <c r="E156" t="s">
        <v>116</v>
      </c>
      <c r="F156">
        <v>-120</v>
      </c>
      <c r="H156" t="s">
        <v>191</v>
      </c>
      <c r="I156">
        <v>-46</v>
      </c>
      <c r="J156" t="s">
        <v>985</v>
      </c>
      <c r="K156">
        <v>-3</v>
      </c>
      <c r="L156" t="s">
        <v>190</v>
      </c>
      <c r="M156">
        <v>-70</v>
      </c>
      <c r="O156" t="s">
        <v>12</v>
      </c>
      <c r="P156">
        <v>-2</v>
      </c>
      <c r="Q156" t="s">
        <v>510</v>
      </c>
      <c r="R156">
        <v>-6</v>
      </c>
      <c r="S156" t="s">
        <v>1659</v>
      </c>
      <c r="T156">
        <v>-36</v>
      </c>
      <c r="U156" t="s">
        <v>234</v>
      </c>
      <c r="V156">
        <v>-65.7</v>
      </c>
      <c r="W156" t="s">
        <v>153</v>
      </c>
      <c r="X156">
        <v>-3</v>
      </c>
      <c r="Y156" t="s">
        <v>348</v>
      </c>
      <c r="Z156">
        <v>-4</v>
      </c>
      <c r="AA156" t="s">
        <v>191</v>
      </c>
      <c r="AB156">
        <v>-4</v>
      </c>
      <c r="AC156" t="s">
        <v>980</v>
      </c>
      <c r="AD156">
        <v>-8</v>
      </c>
      <c r="AE156" t="s">
        <v>267</v>
      </c>
      <c r="AF156">
        <v>-222</v>
      </c>
      <c r="AG156" t="s">
        <v>266</v>
      </c>
      <c r="AH156">
        <v>-293</v>
      </c>
      <c r="AI156" t="s">
        <v>776</v>
      </c>
      <c r="AJ156">
        <v>-175</v>
      </c>
      <c r="AK156" t="s">
        <v>1176</v>
      </c>
      <c r="AL156">
        <v>-1</v>
      </c>
      <c r="AM156" t="s">
        <v>858</v>
      </c>
      <c r="AN156">
        <v>-1</v>
      </c>
    </row>
    <row r="157" spans="2:40" x14ac:dyDescent="0.25">
      <c r="B157" t="s">
        <v>580</v>
      </c>
      <c r="C157">
        <v>-39</v>
      </c>
      <c r="E157" t="s">
        <v>119</v>
      </c>
      <c r="F157">
        <v>-30</v>
      </c>
      <c r="H157" t="s">
        <v>192</v>
      </c>
      <c r="I157">
        <v>-32</v>
      </c>
      <c r="J157" t="s">
        <v>90</v>
      </c>
      <c r="K157">
        <v>-24</v>
      </c>
      <c r="L157" t="s">
        <v>1149</v>
      </c>
      <c r="M157">
        <v>-72</v>
      </c>
      <c r="O157" t="s">
        <v>1399</v>
      </c>
      <c r="P157">
        <v>-4</v>
      </c>
      <c r="Q157" t="s">
        <v>796</v>
      </c>
      <c r="R157">
        <v>-60</v>
      </c>
      <c r="S157" t="s">
        <v>248</v>
      </c>
      <c r="T157">
        <v>-100</v>
      </c>
      <c r="U157" t="s">
        <v>420</v>
      </c>
      <c r="V157">
        <v>-128</v>
      </c>
      <c r="W157" t="s">
        <v>502</v>
      </c>
      <c r="X157">
        <v>-2.8200000000000003</v>
      </c>
      <c r="Y157" t="s">
        <v>1899</v>
      </c>
      <c r="Z157">
        <v>-1</v>
      </c>
      <c r="AA157" t="s">
        <v>192</v>
      </c>
      <c r="AB157">
        <v>-2</v>
      </c>
      <c r="AC157" t="s">
        <v>1416</v>
      </c>
      <c r="AD157">
        <v>-2</v>
      </c>
      <c r="AE157" t="s">
        <v>265</v>
      </c>
      <c r="AF157">
        <v>-60</v>
      </c>
      <c r="AG157" t="s">
        <v>264</v>
      </c>
      <c r="AH157">
        <v>-58</v>
      </c>
      <c r="AI157" t="s">
        <v>464</v>
      </c>
      <c r="AJ157">
        <v>-5</v>
      </c>
      <c r="AK157" t="s">
        <v>1177</v>
      </c>
      <c r="AL157">
        <v>-1</v>
      </c>
      <c r="AM157" t="s">
        <v>1161</v>
      </c>
      <c r="AN157">
        <v>-13</v>
      </c>
    </row>
    <row r="158" spans="2:40" x14ac:dyDescent="0.25">
      <c r="B158" t="s">
        <v>257</v>
      </c>
      <c r="C158">
        <v>-22</v>
      </c>
      <c r="E158" t="s">
        <v>117</v>
      </c>
      <c r="F158">
        <v>-82</v>
      </c>
      <c r="H158" t="s">
        <v>182</v>
      </c>
      <c r="I158">
        <v>-26</v>
      </c>
      <c r="J158" t="s">
        <v>348</v>
      </c>
      <c r="K158">
        <v>-1</v>
      </c>
      <c r="L158" t="s">
        <v>1150</v>
      </c>
      <c r="M158">
        <v>-7</v>
      </c>
      <c r="O158" t="s">
        <v>474</v>
      </c>
      <c r="P158">
        <v>-1</v>
      </c>
      <c r="Q158" t="s">
        <v>747</v>
      </c>
      <c r="R158">
        <v>-2</v>
      </c>
      <c r="S158" t="s">
        <v>257</v>
      </c>
      <c r="T158">
        <v>-5</v>
      </c>
      <c r="U158" t="s">
        <v>575</v>
      </c>
      <c r="V158">
        <v>-43.79</v>
      </c>
      <c r="W158" t="s">
        <v>1820</v>
      </c>
      <c r="X158">
        <v>-2</v>
      </c>
      <c r="Y158" t="s">
        <v>182</v>
      </c>
      <c r="Z158">
        <v>-6</v>
      </c>
      <c r="AA158" t="s">
        <v>348</v>
      </c>
      <c r="AB158">
        <v>-1</v>
      </c>
      <c r="AC158" t="s">
        <v>1190</v>
      </c>
      <c r="AD158">
        <v>-4</v>
      </c>
      <c r="AE158" t="s">
        <v>266</v>
      </c>
      <c r="AF158">
        <v>-222</v>
      </c>
      <c r="AG158" t="s">
        <v>862</v>
      </c>
      <c r="AH158">
        <v>-34</v>
      </c>
      <c r="AI158" t="s">
        <v>83</v>
      </c>
      <c r="AJ158">
        <v>-4</v>
      </c>
      <c r="AK158" t="s">
        <v>1987</v>
      </c>
      <c r="AL158">
        <v>-4</v>
      </c>
      <c r="AM158" t="s">
        <v>233</v>
      </c>
      <c r="AN158">
        <v>-4</v>
      </c>
    </row>
    <row r="159" spans="2:40" x14ac:dyDescent="0.25">
      <c r="B159" t="s">
        <v>502</v>
      </c>
      <c r="C159">
        <v>-15.75</v>
      </c>
      <c r="E159" t="s">
        <v>337</v>
      </c>
      <c r="F159">
        <v>-8</v>
      </c>
      <c r="H159" t="s">
        <v>181</v>
      </c>
      <c r="I159">
        <v>-24</v>
      </c>
      <c r="J159" t="s">
        <v>182</v>
      </c>
      <c r="K159">
        <v>-4</v>
      </c>
      <c r="L159" t="s">
        <v>1151</v>
      </c>
      <c r="M159">
        <v>-36</v>
      </c>
      <c r="O159" t="s">
        <v>1159</v>
      </c>
      <c r="P159">
        <v>-27</v>
      </c>
      <c r="Q159" t="s">
        <v>171</v>
      </c>
      <c r="R159">
        <v>-2</v>
      </c>
      <c r="S159" t="s">
        <v>153</v>
      </c>
      <c r="T159">
        <v>-4</v>
      </c>
      <c r="U159" t="s">
        <v>276</v>
      </c>
      <c r="V159">
        <v>-198</v>
      </c>
      <c r="W159" t="s">
        <v>237</v>
      </c>
      <c r="X159">
        <v>-8</v>
      </c>
      <c r="Y159" t="s">
        <v>181</v>
      </c>
      <c r="Z159">
        <v>-8</v>
      </c>
      <c r="AA159" t="s">
        <v>662</v>
      </c>
      <c r="AB159">
        <v>-3</v>
      </c>
      <c r="AC159" t="s">
        <v>981</v>
      </c>
      <c r="AD159">
        <v>-2</v>
      </c>
      <c r="AE159" t="s">
        <v>264</v>
      </c>
      <c r="AF159">
        <v>-60</v>
      </c>
      <c r="AG159" t="s">
        <v>248</v>
      </c>
      <c r="AH159">
        <v>-130</v>
      </c>
      <c r="AI159" t="s">
        <v>8</v>
      </c>
      <c r="AJ159">
        <v>-65</v>
      </c>
      <c r="AK159" t="s">
        <v>1989</v>
      </c>
      <c r="AL159">
        <v>-4</v>
      </c>
      <c r="AM159" t="s">
        <v>245</v>
      </c>
      <c r="AN159">
        <v>-7</v>
      </c>
    </row>
    <row r="160" spans="2:40" x14ac:dyDescent="0.25">
      <c r="B160" t="s">
        <v>237</v>
      </c>
      <c r="C160">
        <v>-64</v>
      </c>
      <c r="E160" t="s">
        <v>121</v>
      </c>
      <c r="F160">
        <v>-21</v>
      </c>
      <c r="H160" t="s">
        <v>185</v>
      </c>
      <c r="I160">
        <v>-12</v>
      </c>
      <c r="J160" t="s">
        <v>181</v>
      </c>
      <c r="K160">
        <v>-15</v>
      </c>
      <c r="L160" t="s">
        <v>1152</v>
      </c>
      <c r="M160">
        <v>-36</v>
      </c>
      <c r="O160" t="s">
        <v>396</v>
      </c>
      <c r="P160">
        <v>-10</v>
      </c>
      <c r="Q160" t="s">
        <v>91</v>
      </c>
      <c r="R160">
        <v>-30</v>
      </c>
      <c r="S160" t="s">
        <v>237</v>
      </c>
      <c r="T160">
        <v>-15</v>
      </c>
      <c r="U160" t="s">
        <v>253</v>
      </c>
      <c r="V160">
        <v>-7</v>
      </c>
      <c r="W160" t="s">
        <v>199</v>
      </c>
      <c r="X160">
        <v>-2</v>
      </c>
      <c r="Y160" t="s">
        <v>185</v>
      </c>
      <c r="Z160">
        <v>-3</v>
      </c>
      <c r="AA160" t="s">
        <v>1824</v>
      </c>
      <c r="AB160">
        <v>-6</v>
      </c>
      <c r="AC160" t="s">
        <v>501</v>
      </c>
      <c r="AD160">
        <v>-1</v>
      </c>
      <c r="AE160" t="s">
        <v>862</v>
      </c>
      <c r="AF160">
        <v>-68</v>
      </c>
      <c r="AG160" t="s">
        <v>257</v>
      </c>
      <c r="AH160">
        <v>-11</v>
      </c>
      <c r="AI160" t="s">
        <v>1167</v>
      </c>
      <c r="AJ160">
        <v>-16</v>
      </c>
      <c r="AK160" t="s">
        <v>2199</v>
      </c>
      <c r="AL160">
        <v>-20</v>
      </c>
      <c r="AM160" t="s">
        <v>2347</v>
      </c>
      <c r="AN160">
        <v>-2</v>
      </c>
    </row>
    <row r="161" spans="2:40" x14ac:dyDescent="0.25">
      <c r="B161" t="s">
        <v>199</v>
      </c>
      <c r="C161">
        <v>-18</v>
      </c>
      <c r="E161" t="s">
        <v>321</v>
      </c>
      <c r="F161">
        <v>-28</v>
      </c>
      <c r="H161" t="s">
        <v>350</v>
      </c>
      <c r="I161">
        <v>-4</v>
      </c>
      <c r="J161" t="s">
        <v>185</v>
      </c>
      <c r="K161">
        <v>-2</v>
      </c>
      <c r="L161" t="s">
        <v>1153</v>
      </c>
      <c r="M161">
        <v>-2</v>
      </c>
      <c r="O161" t="s">
        <v>449</v>
      </c>
      <c r="P161">
        <v>-90</v>
      </c>
      <c r="Q161" t="s">
        <v>349</v>
      </c>
      <c r="R161">
        <v>-0.2</v>
      </c>
      <c r="S161" t="s">
        <v>199</v>
      </c>
      <c r="T161">
        <v>-6</v>
      </c>
      <c r="U161" t="s">
        <v>203</v>
      </c>
      <c r="V161">
        <v>-53</v>
      </c>
      <c r="W161" t="s">
        <v>1821</v>
      </c>
      <c r="X161">
        <v>-3</v>
      </c>
      <c r="Y161" t="s">
        <v>799</v>
      </c>
      <c r="Z161">
        <v>-26</v>
      </c>
      <c r="AA161" t="s">
        <v>182</v>
      </c>
      <c r="AB161">
        <v>-4</v>
      </c>
      <c r="AC161" t="s">
        <v>6</v>
      </c>
      <c r="AD161">
        <v>-10</v>
      </c>
      <c r="AE161" t="s">
        <v>248</v>
      </c>
      <c r="AF161">
        <v>-72</v>
      </c>
      <c r="AG161" t="s">
        <v>502</v>
      </c>
      <c r="AH161">
        <v>-5.5</v>
      </c>
      <c r="AI161" t="s">
        <v>2196</v>
      </c>
      <c r="AJ161">
        <v>-4</v>
      </c>
      <c r="AK161" t="s">
        <v>377</v>
      </c>
      <c r="AL161">
        <v>-2</v>
      </c>
      <c r="AM161" t="s">
        <v>2348</v>
      </c>
      <c r="AN161">
        <v>-4</v>
      </c>
    </row>
    <row r="162" spans="2:40" x14ac:dyDescent="0.25">
      <c r="B162" t="s">
        <v>530</v>
      </c>
      <c r="C162">
        <v>-2</v>
      </c>
      <c r="E162" t="s">
        <v>295</v>
      </c>
      <c r="F162">
        <v>-157</v>
      </c>
      <c r="H162" t="s">
        <v>454</v>
      </c>
      <c r="I162">
        <v>-92</v>
      </c>
      <c r="J162" t="s">
        <v>350</v>
      </c>
      <c r="K162">
        <v>-44</v>
      </c>
      <c r="L162" t="s">
        <v>16</v>
      </c>
      <c r="M162">
        <v>-16</v>
      </c>
      <c r="O162" t="s">
        <v>1160</v>
      </c>
      <c r="P162">
        <v>-20</v>
      </c>
      <c r="Q162" t="s">
        <v>41</v>
      </c>
      <c r="R162">
        <v>-9</v>
      </c>
      <c r="S162" t="s">
        <v>795</v>
      </c>
      <c r="T162">
        <v>-2</v>
      </c>
      <c r="U162" t="s">
        <v>267</v>
      </c>
      <c r="V162">
        <v>-367</v>
      </c>
      <c r="W162" t="s">
        <v>510</v>
      </c>
      <c r="X162">
        <v>-12</v>
      </c>
      <c r="Y162" t="s">
        <v>219</v>
      </c>
      <c r="Z162">
        <v>-2</v>
      </c>
      <c r="AA162" t="s">
        <v>181</v>
      </c>
      <c r="AB162">
        <v>-4</v>
      </c>
      <c r="AC162" t="s">
        <v>11</v>
      </c>
      <c r="AD162">
        <v>-54</v>
      </c>
      <c r="AE162" t="s">
        <v>257</v>
      </c>
      <c r="AF162">
        <v>-7</v>
      </c>
      <c r="AG162" t="s">
        <v>237</v>
      </c>
      <c r="AH162">
        <v>-5</v>
      </c>
      <c r="AI162" t="s">
        <v>82</v>
      </c>
      <c r="AJ162">
        <v>-1</v>
      </c>
      <c r="AK162" t="s">
        <v>495</v>
      </c>
      <c r="AL162">
        <v>-13</v>
      </c>
      <c r="AM162" t="s">
        <v>2349</v>
      </c>
      <c r="AN162">
        <v>-1</v>
      </c>
    </row>
    <row r="163" spans="2:40" x14ac:dyDescent="0.25">
      <c r="B163" t="s">
        <v>707</v>
      </c>
      <c r="C163">
        <v>-2</v>
      </c>
      <c r="E163" t="s">
        <v>296</v>
      </c>
      <c r="F163">
        <v>-125</v>
      </c>
      <c r="H163" t="s">
        <v>219</v>
      </c>
      <c r="I163">
        <v>-4</v>
      </c>
      <c r="J163" t="s">
        <v>799</v>
      </c>
      <c r="K163">
        <v>-60</v>
      </c>
      <c r="L163" t="s">
        <v>376</v>
      </c>
      <c r="M163">
        <v>-4</v>
      </c>
      <c r="O163" t="s">
        <v>858</v>
      </c>
      <c r="P163">
        <v>-7</v>
      </c>
      <c r="Q163" t="s">
        <v>1189</v>
      </c>
      <c r="R163">
        <v>-7</v>
      </c>
      <c r="S163" t="s">
        <v>863</v>
      </c>
      <c r="T163">
        <v>-2</v>
      </c>
      <c r="U163" t="s">
        <v>265</v>
      </c>
      <c r="V163">
        <v>-98</v>
      </c>
      <c r="W163" t="s">
        <v>747</v>
      </c>
      <c r="X163">
        <v>-5</v>
      </c>
      <c r="Y163" t="s">
        <v>97</v>
      </c>
      <c r="Z163">
        <v>-6</v>
      </c>
      <c r="AA163" t="s">
        <v>185</v>
      </c>
      <c r="AB163">
        <v>-3</v>
      </c>
      <c r="AC163" t="s">
        <v>43</v>
      </c>
      <c r="AD163">
        <v>-27</v>
      </c>
      <c r="AE163" t="s">
        <v>153</v>
      </c>
      <c r="AF163">
        <v>-1</v>
      </c>
      <c r="AG163" t="s">
        <v>199</v>
      </c>
      <c r="AH163">
        <v>-11</v>
      </c>
      <c r="AI163" t="s">
        <v>729</v>
      </c>
      <c r="AJ163">
        <v>-5</v>
      </c>
      <c r="AK163" t="s">
        <v>277</v>
      </c>
      <c r="AL163">
        <v>-6</v>
      </c>
      <c r="AM163" t="s">
        <v>525</v>
      </c>
      <c r="AN163">
        <v>-8</v>
      </c>
    </row>
    <row r="164" spans="2:40" x14ac:dyDescent="0.25">
      <c r="B164" t="s">
        <v>749</v>
      </c>
      <c r="C164">
        <v>-1</v>
      </c>
      <c r="E164" t="s">
        <v>800</v>
      </c>
      <c r="F164">
        <v>-5</v>
      </c>
      <c r="H164" t="s">
        <v>97</v>
      </c>
      <c r="I164">
        <v>-34</v>
      </c>
      <c r="J164" t="s">
        <v>454</v>
      </c>
      <c r="K164">
        <v>-12</v>
      </c>
      <c r="L164" t="s">
        <v>1154</v>
      </c>
      <c r="M164">
        <v>-10</v>
      </c>
      <c r="O164" t="s">
        <v>1400</v>
      </c>
      <c r="P164">
        <v>-18</v>
      </c>
      <c r="Q164" t="s">
        <v>1570</v>
      </c>
      <c r="R164">
        <v>-2</v>
      </c>
      <c r="S164" t="s">
        <v>510</v>
      </c>
      <c r="T164">
        <v>-26</v>
      </c>
      <c r="U164" t="s">
        <v>266</v>
      </c>
      <c r="V164">
        <v>-341</v>
      </c>
      <c r="W164" t="s">
        <v>171</v>
      </c>
      <c r="X164">
        <v>-6</v>
      </c>
      <c r="Y164" t="s">
        <v>95</v>
      </c>
      <c r="Z164">
        <v>-12</v>
      </c>
      <c r="AA164" t="s">
        <v>799</v>
      </c>
      <c r="AB164">
        <v>-30</v>
      </c>
      <c r="AC164" t="s">
        <v>1732</v>
      </c>
      <c r="AD164">
        <v>-8</v>
      </c>
      <c r="AE164" t="s">
        <v>199</v>
      </c>
      <c r="AF164">
        <v>-13</v>
      </c>
      <c r="AG164" t="s">
        <v>863</v>
      </c>
      <c r="AH164">
        <v>-4</v>
      </c>
      <c r="AI164" t="s">
        <v>2197</v>
      </c>
      <c r="AJ164">
        <v>-3</v>
      </c>
      <c r="AK164" t="s">
        <v>2059</v>
      </c>
      <c r="AL164">
        <v>-4</v>
      </c>
      <c r="AM164" t="s">
        <v>2350</v>
      </c>
      <c r="AN164">
        <v>-2</v>
      </c>
    </row>
    <row r="165" spans="2:40" x14ac:dyDescent="0.25">
      <c r="B165" t="s">
        <v>330</v>
      </c>
      <c r="C165">
        <v>-1</v>
      </c>
      <c r="E165" t="s">
        <v>801</v>
      </c>
      <c r="F165">
        <v>-5</v>
      </c>
      <c r="H165" t="s">
        <v>95</v>
      </c>
      <c r="I165">
        <v>-129</v>
      </c>
      <c r="J165" t="s">
        <v>219</v>
      </c>
      <c r="K165">
        <v>-2</v>
      </c>
      <c r="L165" t="s">
        <v>1155</v>
      </c>
      <c r="M165">
        <v>-1</v>
      </c>
      <c r="O165" t="s">
        <v>245</v>
      </c>
      <c r="P165">
        <v>-15</v>
      </c>
      <c r="Q165" t="s">
        <v>1191</v>
      </c>
      <c r="R165">
        <v>-5</v>
      </c>
      <c r="S165" t="s">
        <v>171</v>
      </c>
      <c r="T165">
        <v>-10</v>
      </c>
      <c r="U165" t="s">
        <v>264</v>
      </c>
      <c r="V165">
        <v>-98</v>
      </c>
      <c r="W165" t="s">
        <v>241</v>
      </c>
      <c r="X165">
        <v>-1</v>
      </c>
      <c r="Y165" t="s">
        <v>96</v>
      </c>
      <c r="Z165">
        <v>-6</v>
      </c>
      <c r="AA165" t="s">
        <v>219</v>
      </c>
      <c r="AB165">
        <v>-3</v>
      </c>
      <c r="AC165" t="s">
        <v>1994</v>
      </c>
      <c r="AD165">
        <v>-1</v>
      </c>
      <c r="AE165" t="s">
        <v>750</v>
      </c>
      <c r="AF165">
        <v>-5</v>
      </c>
      <c r="AG165" t="s">
        <v>2147</v>
      </c>
      <c r="AH165">
        <v>-2</v>
      </c>
      <c r="AI165" t="s">
        <v>2146</v>
      </c>
      <c r="AJ165">
        <v>-1</v>
      </c>
      <c r="AK165" t="s">
        <v>234</v>
      </c>
      <c r="AL165">
        <v>-50.5</v>
      </c>
      <c r="AM165" t="s">
        <v>2351</v>
      </c>
      <c r="AN165">
        <v>-2</v>
      </c>
    </row>
    <row r="166" spans="2:40" x14ac:dyDescent="0.25">
      <c r="B166" t="s">
        <v>510</v>
      </c>
      <c r="C166">
        <v>-32</v>
      </c>
      <c r="E166" t="s">
        <v>802</v>
      </c>
      <c r="F166">
        <v>-5</v>
      </c>
      <c r="H166" t="s">
        <v>96</v>
      </c>
      <c r="I166">
        <v>-34</v>
      </c>
      <c r="J166" t="s">
        <v>97</v>
      </c>
      <c r="K166">
        <v>-60</v>
      </c>
      <c r="L166" t="s">
        <v>1156</v>
      </c>
      <c r="M166">
        <v>-3</v>
      </c>
      <c r="O166" t="s">
        <v>9</v>
      </c>
      <c r="P166">
        <v>-4</v>
      </c>
      <c r="Q166" t="s">
        <v>501</v>
      </c>
      <c r="R166">
        <v>-4</v>
      </c>
      <c r="S166" t="s">
        <v>349</v>
      </c>
      <c r="T166">
        <v>-0.8</v>
      </c>
      <c r="U166" t="s">
        <v>248</v>
      </c>
      <c r="V166">
        <v>-133</v>
      </c>
      <c r="W166" t="s">
        <v>349</v>
      </c>
      <c r="X166">
        <v>-4.1000000000000014</v>
      </c>
      <c r="Y166" t="s">
        <v>1202</v>
      </c>
      <c r="Z166">
        <v>-1</v>
      </c>
      <c r="AA166" t="s">
        <v>97</v>
      </c>
      <c r="AB166">
        <v>-30</v>
      </c>
      <c r="AC166" t="s">
        <v>1995</v>
      </c>
      <c r="AD166">
        <v>-1</v>
      </c>
      <c r="AE166" t="s">
        <v>510</v>
      </c>
      <c r="AF166">
        <v>-8</v>
      </c>
      <c r="AG166" t="s">
        <v>750</v>
      </c>
      <c r="AH166">
        <v>-3</v>
      </c>
      <c r="AI166" t="s">
        <v>2055</v>
      </c>
      <c r="AJ166">
        <v>-24</v>
      </c>
      <c r="AK166" t="s">
        <v>420</v>
      </c>
      <c r="AL166">
        <v>-364</v>
      </c>
      <c r="AM166" t="s">
        <v>1981</v>
      </c>
      <c r="AN166">
        <v>-1</v>
      </c>
    </row>
    <row r="167" spans="2:40" x14ac:dyDescent="0.25">
      <c r="B167" t="s">
        <v>171</v>
      </c>
      <c r="C167">
        <v>-24</v>
      </c>
      <c r="E167" t="s">
        <v>297</v>
      </c>
      <c r="F167">
        <v>-133</v>
      </c>
      <c r="H167" t="s">
        <v>866</v>
      </c>
      <c r="I167">
        <v>-2</v>
      </c>
      <c r="J167" t="s">
        <v>95</v>
      </c>
      <c r="K167">
        <v>-110</v>
      </c>
      <c r="L167" t="s">
        <v>974</v>
      </c>
      <c r="M167">
        <v>-20</v>
      </c>
      <c r="O167" t="s">
        <v>1401</v>
      </c>
      <c r="P167">
        <v>-1</v>
      </c>
      <c r="Q167" t="s">
        <v>797</v>
      </c>
      <c r="R167">
        <v>-33</v>
      </c>
      <c r="S167" t="s">
        <v>41</v>
      </c>
      <c r="T167">
        <v>-67</v>
      </c>
      <c r="U167" t="s">
        <v>1181</v>
      </c>
      <c r="V167">
        <v>-8</v>
      </c>
      <c r="W167" t="s">
        <v>41</v>
      </c>
      <c r="X167">
        <v>-43</v>
      </c>
      <c r="Y167" t="s">
        <v>121</v>
      </c>
      <c r="Z167">
        <v>-12</v>
      </c>
      <c r="AA167" t="s">
        <v>95</v>
      </c>
      <c r="AB167">
        <v>-60</v>
      </c>
      <c r="AC167" t="s">
        <v>560</v>
      </c>
      <c r="AD167">
        <v>-2</v>
      </c>
      <c r="AE167" t="s">
        <v>747</v>
      </c>
      <c r="AF167">
        <v>-8</v>
      </c>
      <c r="AG167" t="s">
        <v>510</v>
      </c>
      <c r="AH167">
        <v>-2</v>
      </c>
      <c r="AI167" t="s">
        <v>5</v>
      </c>
      <c r="AJ167">
        <v>-8</v>
      </c>
      <c r="AK167" t="s">
        <v>575</v>
      </c>
      <c r="AL167">
        <v>-21.19</v>
      </c>
      <c r="AM167" t="s">
        <v>2352</v>
      </c>
      <c r="AN167">
        <v>-12</v>
      </c>
    </row>
    <row r="168" spans="2:40" x14ac:dyDescent="0.25">
      <c r="B168" t="s">
        <v>91</v>
      </c>
      <c r="C168">
        <v>-60</v>
      </c>
      <c r="E168" t="s">
        <v>352</v>
      </c>
      <c r="F168">
        <v>-120</v>
      </c>
      <c r="H168" t="s">
        <v>303</v>
      </c>
      <c r="I168">
        <v>-24</v>
      </c>
      <c r="J168" t="s">
        <v>96</v>
      </c>
      <c r="K168">
        <v>-52</v>
      </c>
      <c r="L168" t="s">
        <v>4</v>
      </c>
      <c r="M168">
        <v>-62</v>
      </c>
      <c r="O168" t="s">
        <v>1163</v>
      </c>
      <c r="P168">
        <v>-3</v>
      </c>
      <c r="Q168" t="s">
        <v>1192</v>
      </c>
      <c r="R168">
        <v>-5</v>
      </c>
      <c r="S168" t="s">
        <v>980</v>
      </c>
      <c r="T168">
        <v>-38</v>
      </c>
      <c r="U168" t="s">
        <v>257</v>
      </c>
      <c r="V168">
        <v>-8</v>
      </c>
      <c r="W168" t="s">
        <v>980</v>
      </c>
      <c r="X168">
        <v>-22</v>
      </c>
      <c r="Y168" t="s">
        <v>448</v>
      </c>
      <c r="Z168">
        <v>-48</v>
      </c>
      <c r="AA168" t="s">
        <v>96</v>
      </c>
      <c r="AB168">
        <v>-30</v>
      </c>
      <c r="AC168" t="s">
        <v>1823</v>
      </c>
      <c r="AD168">
        <v>-5</v>
      </c>
      <c r="AE168" t="s">
        <v>171</v>
      </c>
      <c r="AF168">
        <v>-12</v>
      </c>
      <c r="AG168" t="s">
        <v>796</v>
      </c>
      <c r="AH168">
        <v>-60</v>
      </c>
      <c r="AI168" t="s">
        <v>1176</v>
      </c>
      <c r="AJ168">
        <v>-2</v>
      </c>
      <c r="AK168" t="s">
        <v>276</v>
      </c>
      <c r="AL168">
        <v>-202</v>
      </c>
      <c r="AM168" t="s">
        <v>38</v>
      </c>
      <c r="AN168">
        <v>-9</v>
      </c>
    </row>
    <row r="169" spans="2:40" x14ac:dyDescent="0.25">
      <c r="B169" t="s">
        <v>241</v>
      </c>
      <c r="C169">
        <v>-8</v>
      </c>
      <c r="E169" t="s">
        <v>300</v>
      </c>
      <c r="F169">
        <v>-125</v>
      </c>
      <c r="H169" t="s">
        <v>304</v>
      </c>
      <c r="I169">
        <v>-24</v>
      </c>
      <c r="J169" t="s">
        <v>986</v>
      </c>
      <c r="K169">
        <v>-3</v>
      </c>
      <c r="L169" t="s">
        <v>792</v>
      </c>
      <c r="M169">
        <v>-3</v>
      </c>
      <c r="O169" t="s">
        <v>223</v>
      </c>
      <c r="P169">
        <v>-30</v>
      </c>
      <c r="Q169" t="s">
        <v>10</v>
      </c>
      <c r="R169">
        <v>-20</v>
      </c>
      <c r="S169" t="s">
        <v>501</v>
      </c>
      <c r="T169">
        <v>-2</v>
      </c>
      <c r="U169" t="s">
        <v>153</v>
      </c>
      <c r="V169">
        <v>-4</v>
      </c>
      <c r="W169" t="s">
        <v>1191</v>
      </c>
      <c r="X169">
        <v>-3</v>
      </c>
      <c r="Y169" t="s">
        <v>994</v>
      </c>
      <c r="Z169">
        <v>-6</v>
      </c>
      <c r="AA169" t="s">
        <v>303</v>
      </c>
      <c r="AB169">
        <v>-4</v>
      </c>
      <c r="AC169" t="s">
        <v>90</v>
      </c>
      <c r="AD169">
        <v>-8</v>
      </c>
      <c r="AE169" t="s">
        <v>241</v>
      </c>
      <c r="AF169">
        <v>-1</v>
      </c>
      <c r="AG169" t="s">
        <v>171</v>
      </c>
      <c r="AH169">
        <v>-22</v>
      </c>
      <c r="AI169" t="s">
        <v>551</v>
      </c>
      <c r="AJ169">
        <v>-2</v>
      </c>
      <c r="AK169" t="s">
        <v>253</v>
      </c>
      <c r="AL169">
        <v>-6</v>
      </c>
      <c r="AM169" t="s">
        <v>701</v>
      </c>
      <c r="AN169">
        <v>-15</v>
      </c>
    </row>
    <row r="170" spans="2:40" x14ac:dyDescent="0.25">
      <c r="B170" t="s">
        <v>531</v>
      </c>
      <c r="C170">
        <v>-1</v>
      </c>
      <c r="E170" t="s">
        <v>353</v>
      </c>
      <c r="F170">
        <v>-128</v>
      </c>
      <c r="H170" t="s">
        <v>305</v>
      </c>
      <c r="I170">
        <v>-114</v>
      </c>
      <c r="J170" t="s">
        <v>987</v>
      </c>
      <c r="K170">
        <v>-8</v>
      </c>
      <c r="L170" t="s">
        <v>391</v>
      </c>
      <c r="M170">
        <v>-48</v>
      </c>
      <c r="O170" t="s">
        <v>38</v>
      </c>
      <c r="P170">
        <v>-7</v>
      </c>
      <c r="Q170" t="s">
        <v>479</v>
      </c>
      <c r="R170">
        <v>-7</v>
      </c>
      <c r="S170" t="s">
        <v>6</v>
      </c>
      <c r="T170">
        <v>-7</v>
      </c>
      <c r="U170" t="s">
        <v>502</v>
      </c>
      <c r="V170">
        <v>-13.7234</v>
      </c>
      <c r="W170" t="s">
        <v>501</v>
      </c>
      <c r="X170">
        <v>-3</v>
      </c>
      <c r="Y170" t="s">
        <v>606</v>
      </c>
      <c r="Z170">
        <v>-8.92</v>
      </c>
      <c r="AA170" t="s">
        <v>304</v>
      </c>
      <c r="AB170">
        <v>-4</v>
      </c>
      <c r="AC170" t="s">
        <v>182</v>
      </c>
      <c r="AD170">
        <v>-4</v>
      </c>
      <c r="AE170" t="s">
        <v>349</v>
      </c>
      <c r="AF170">
        <v>-1.2000000000000002</v>
      </c>
      <c r="AG170" t="s">
        <v>91</v>
      </c>
      <c r="AH170">
        <v>-20</v>
      </c>
      <c r="AI170" t="s">
        <v>1986</v>
      </c>
      <c r="AJ170">
        <v>-3</v>
      </c>
      <c r="AK170" t="s">
        <v>203</v>
      </c>
      <c r="AL170">
        <v>-14</v>
      </c>
      <c r="AM170" t="s">
        <v>170</v>
      </c>
      <c r="AN170">
        <v>-1</v>
      </c>
    </row>
    <row r="171" spans="2:40" x14ac:dyDescent="0.25">
      <c r="B171" t="s">
        <v>349</v>
      </c>
      <c r="C171">
        <v>-6.75</v>
      </c>
      <c r="E171" t="s">
        <v>298</v>
      </c>
      <c r="F171">
        <v>-112</v>
      </c>
      <c r="H171" t="s">
        <v>116</v>
      </c>
      <c r="I171">
        <v>-80</v>
      </c>
      <c r="J171" t="s">
        <v>337</v>
      </c>
      <c r="K171">
        <v>-2</v>
      </c>
      <c r="L171" t="s">
        <v>1157</v>
      </c>
      <c r="M171">
        <v>-2</v>
      </c>
      <c r="O171" t="s">
        <v>701</v>
      </c>
      <c r="P171">
        <v>-2</v>
      </c>
      <c r="Q171" t="s">
        <v>11</v>
      </c>
      <c r="R171">
        <v>-46</v>
      </c>
      <c r="S171" t="s">
        <v>11</v>
      </c>
      <c r="T171">
        <v>-40</v>
      </c>
      <c r="U171" t="s">
        <v>237</v>
      </c>
      <c r="V171">
        <v>-13</v>
      </c>
      <c r="W171" t="s">
        <v>168</v>
      </c>
      <c r="X171">
        <v>-2</v>
      </c>
      <c r="Y171" t="s">
        <v>1900</v>
      </c>
      <c r="Z171">
        <v>-8</v>
      </c>
      <c r="AA171" t="s">
        <v>305</v>
      </c>
      <c r="AB171">
        <v>-12</v>
      </c>
      <c r="AC171" t="s">
        <v>181</v>
      </c>
      <c r="AD171">
        <v>-4</v>
      </c>
      <c r="AE171" t="s">
        <v>41</v>
      </c>
      <c r="AF171">
        <v>-6</v>
      </c>
      <c r="AG171" t="s">
        <v>349</v>
      </c>
      <c r="AH171">
        <v>-4.3999999999999995</v>
      </c>
      <c r="AI171" t="s">
        <v>1987</v>
      </c>
      <c r="AJ171">
        <v>-3</v>
      </c>
      <c r="AK171" t="s">
        <v>267</v>
      </c>
      <c r="AL171">
        <v>-180</v>
      </c>
      <c r="AM171" t="s">
        <v>1982</v>
      </c>
      <c r="AN171">
        <v>-1</v>
      </c>
    </row>
    <row r="172" spans="2:40" x14ac:dyDescent="0.25">
      <c r="B172" t="s">
        <v>41</v>
      </c>
      <c r="C172">
        <v>-60</v>
      </c>
      <c r="E172" t="s">
        <v>299</v>
      </c>
      <c r="F172">
        <v>-112</v>
      </c>
      <c r="H172" t="s">
        <v>119</v>
      </c>
      <c r="I172">
        <v>-22</v>
      </c>
      <c r="J172" t="s">
        <v>121</v>
      </c>
      <c r="K172">
        <v>-1</v>
      </c>
      <c r="L172" t="s">
        <v>1158</v>
      </c>
      <c r="M172">
        <v>-1</v>
      </c>
      <c r="O172" t="s">
        <v>170</v>
      </c>
      <c r="P172">
        <v>-7</v>
      </c>
      <c r="Q172" t="s">
        <v>43</v>
      </c>
      <c r="R172">
        <v>-85</v>
      </c>
      <c r="S172" t="s">
        <v>43</v>
      </c>
      <c r="T172">
        <v>-74</v>
      </c>
      <c r="U172" t="s">
        <v>199</v>
      </c>
      <c r="V172">
        <v>-8</v>
      </c>
      <c r="W172" t="s">
        <v>6</v>
      </c>
      <c r="X172">
        <v>-5</v>
      </c>
      <c r="Y172" t="s">
        <v>804</v>
      </c>
      <c r="Z172">
        <v>-1</v>
      </c>
      <c r="AA172" t="s">
        <v>116</v>
      </c>
      <c r="AB172">
        <v>-12</v>
      </c>
      <c r="AC172" t="s">
        <v>185</v>
      </c>
      <c r="AD172">
        <v>-2</v>
      </c>
      <c r="AE172" t="s">
        <v>980</v>
      </c>
      <c r="AF172">
        <v>-18</v>
      </c>
      <c r="AG172" t="s">
        <v>41</v>
      </c>
      <c r="AH172">
        <v>-75</v>
      </c>
      <c r="AI172" t="s">
        <v>1988</v>
      </c>
      <c r="AJ172">
        <v>-3</v>
      </c>
      <c r="AK172" t="s">
        <v>265</v>
      </c>
      <c r="AL172">
        <v>-36</v>
      </c>
      <c r="AM172" t="s">
        <v>166</v>
      </c>
      <c r="AN172">
        <v>-14</v>
      </c>
    </row>
    <row r="173" spans="2:40" x14ac:dyDescent="0.25">
      <c r="B173" t="s">
        <v>501</v>
      </c>
      <c r="C173">
        <v>-17</v>
      </c>
      <c r="E173" t="s">
        <v>448</v>
      </c>
      <c r="F173">
        <v>-227</v>
      </c>
      <c r="H173" t="s">
        <v>117</v>
      </c>
      <c r="I173">
        <v>-8</v>
      </c>
      <c r="J173" t="s">
        <v>988</v>
      </c>
      <c r="K173">
        <v>-1</v>
      </c>
      <c r="L173" t="s">
        <v>1159</v>
      </c>
      <c r="M173">
        <v>-33</v>
      </c>
      <c r="O173" t="s">
        <v>859</v>
      </c>
      <c r="P173">
        <v>-16</v>
      </c>
      <c r="Q173" t="s">
        <v>1571</v>
      </c>
      <c r="R173">
        <v>-2</v>
      </c>
      <c r="S173" t="s">
        <v>1660</v>
      </c>
      <c r="T173">
        <v>-16</v>
      </c>
      <c r="U173" t="s">
        <v>330</v>
      </c>
      <c r="V173">
        <v>-4</v>
      </c>
      <c r="W173" t="s">
        <v>11</v>
      </c>
      <c r="X173">
        <v>-35</v>
      </c>
      <c r="Y173" t="s">
        <v>274</v>
      </c>
      <c r="Z173">
        <v>-2</v>
      </c>
      <c r="AA173" t="s">
        <v>119</v>
      </c>
      <c r="AB173">
        <v>-4</v>
      </c>
      <c r="AC173" t="s">
        <v>350</v>
      </c>
      <c r="AD173">
        <v>-176</v>
      </c>
      <c r="AE173" t="s">
        <v>1190</v>
      </c>
      <c r="AF173">
        <v>-2</v>
      </c>
      <c r="AG173" t="s">
        <v>980</v>
      </c>
      <c r="AH173">
        <v>-40</v>
      </c>
      <c r="AI173" t="s">
        <v>1989</v>
      </c>
      <c r="AJ173">
        <v>-3</v>
      </c>
      <c r="AK173" t="s">
        <v>266</v>
      </c>
      <c r="AL173">
        <v>-180</v>
      </c>
      <c r="AM173" t="s">
        <v>83</v>
      </c>
      <c r="AN173">
        <v>-5</v>
      </c>
    </row>
    <row r="174" spans="2:40" x14ac:dyDescent="0.25">
      <c r="B174" t="s">
        <v>6</v>
      </c>
      <c r="C174">
        <v>-17</v>
      </c>
      <c r="E174" t="s">
        <v>120</v>
      </c>
      <c r="F174">
        <v>-15</v>
      </c>
      <c r="H174" t="s">
        <v>337</v>
      </c>
      <c r="I174">
        <v>-3</v>
      </c>
      <c r="J174" t="s">
        <v>989</v>
      </c>
      <c r="K174">
        <v>-1</v>
      </c>
      <c r="L174" t="s">
        <v>396</v>
      </c>
      <c r="M174">
        <v>-4</v>
      </c>
      <c r="O174" t="s">
        <v>166</v>
      </c>
      <c r="P174">
        <v>-26</v>
      </c>
      <c r="Q174" t="s">
        <v>864</v>
      </c>
      <c r="R174">
        <v>-55</v>
      </c>
      <c r="S174" t="s">
        <v>1571</v>
      </c>
      <c r="T174">
        <v>-4</v>
      </c>
      <c r="U174" t="s">
        <v>510</v>
      </c>
      <c r="V174">
        <v>-36</v>
      </c>
      <c r="W174" t="s">
        <v>43</v>
      </c>
      <c r="X174">
        <v>-67</v>
      </c>
      <c r="Y174" t="s">
        <v>293</v>
      </c>
      <c r="Z174">
        <v>-1</v>
      </c>
      <c r="AA174" t="s">
        <v>117</v>
      </c>
      <c r="AB174">
        <v>-4</v>
      </c>
      <c r="AC174" t="s">
        <v>799</v>
      </c>
      <c r="AD174">
        <v>-126</v>
      </c>
      <c r="AE174" t="s">
        <v>501</v>
      </c>
      <c r="AF174">
        <v>-9</v>
      </c>
      <c r="AG174" t="s">
        <v>501</v>
      </c>
      <c r="AH174">
        <v>-8</v>
      </c>
      <c r="AI174" t="s">
        <v>2198</v>
      </c>
      <c r="AJ174">
        <v>-2</v>
      </c>
      <c r="AK174" t="s">
        <v>264</v>
      </c>
      <c r="AL174">
        <v>-42</v>
      </c>
      <c r="AM174" t="s">
        <v>8</v>
      </c>
      <c r="AN174">
        <v>-67</v>
      </c>
    </row>
    <row r="175" spans="2:40" x14ac:dyDescent="0.25">
      <c r="B175" t="s">
        <v>10</v>
      </c>
      <c r="C175">
        <v>-4</v>
      </c>
      <c r="E175" t="s">
        <v>308</v>
      </c>
      <c r="F175">
        <v>-16</v>
      </c>
      <c r="H175" t="s">
        <v>121</v>
      </c>
      <c r="I175">
        <v>-7</v>
      </c>
      <c r="J175" t="s">
        <v>990</v>
      </c>
      <c r="K175">
        <v>-12</v>
      </c>
      <c r="L175" t="s">
        <v>449</v>
      </c>
      <c r="M175">
        <v>-28</v>
      </c>
      <c r="O175" t="s">
        <v>8</v>
      </c>
      <c r="P175">
        <v>-144</v>
      </c>
      <c r="Q175" t="s">
        <v>771</v>
      </c>
      <c r="R175">
        <v>-8</v>
      </c>
      <c r="S175" t="s">
        <v>1661</v>
      </c>
      <c r="T175">
        <v>-1</v>
      </c>
      <c r="U175" t="s">
        <v>796</v>
      </c>
      <c r="V175">
        <v>-30</v>
      </c>
      <c r="W175" t="s">
        <v>768</v>
      </c>
      <c r="X175">
        <v>-1</v>
      </c>
      <c r="Y175" t="s">
        <v>1210</v>
      </c>
      <c r="Z175">
        <v>-2</v>
      </c>
      <c r="AA175" t="s">
        <v>337</v>
      </c>
      <c r="AB175">
        <v>-4</v>
      </c>
      <c r="AC175" t="s">
        <v>454</v>
      </c>
      <c r="AD175">
        <v>-96</v>
      </c>
      <c r="AE175" t="s">
        <v>6</v>
      </c>
      <c r="AF175">
        <v>-12</v>
      </c>
      <c r="AG175" t="s">
        <v>797</v>
      </c>
      <c r="AH175">
        <v>-33</v>
      </c>
      <c r="AI175" t="s">
        <v>2199</v>
      </c>
      <c r="AJ175">
        <v>-10</v>
      </c>
      <c r="AK175" t="s">
        <v>1180</v>
      </c>
      <c r="AL175">
        <v>-11</v>
      </c>
      <c r="AM175" t="s">
        <v>1167</v>
      </c>
      <c r="AN175">
        <v>-8</v>
      </c>
    </row>
    <row r="176" spans="2:40" x14ac:dyDescent="0.25">
      <c r="B176" t="s">
        <v>479</v>
      </c>
      <c r="C176">
        <v>-2</v>
      </c>
      <c r="E176" t="s">
        <v>309</v>
      </c>
      <c r="F176">
        <v>-16</v>
      </c>
      <c r="H176" t="s">
        <v>321</v>
      </c>
      <c r="I176">
        <v>-26</v>
      </c>
      <c r="J176" t="s">
        <v>991</v>
      </c>
      <c r="K176">
        <v>-7.5</v>
      </c>
      <c r="L176" t="s">
        <v>1160</v>
      </c>
      <c r="M176">
        <v>-5</v>
      </c>
      <c r="O176" t="s">
        <v>1167</v>
      </c>
      <c r="P176">
        <v>-8</v>
      </c>
      <c r="Q176" t="s">
        <v>1195</v>
      </c>
      <c r="R176">
        <v>-4</v>
      </c>
      <c r="S176" t="s">
        <v>1195</v>
      </c>
      <c r="T176">
        <v>-6</v>
      </c>
      <c r="U176" t="s">
        <v>171</v>
      </c>
      <c r="V176">
        <v>-22</v>
      </c>
      <c r="W176" t="s">
        <v>1822</v>
      </c>
      <c r="X176">
        <v>-2</v>
      </c>
      <c r="Y176" t="s">
        <v>226</v>
      </c>
      <c r="Z176">
        <v>-2</v>
      </c>
      <c r="AA176" t="s">
        <v>121</v>
      </c>
      <c r="AB176">
        <v>-5</v>
      </c>
      <c r="AC176" t="s">
        <v>219</v>
      </c>
      <c r="AD176">
        <v>-2</v>
      </c>
      <c r="AE176" t="s">
        <v>10</v>
      </c>
      <c r="AF176">
        <v>-16</v>
      </c>
      <c r="AG176" t="s">
        <v>6</v>
      </c>
      <c r="AH176">
        <v>-13</v>
      </c>
      <c r="AI176" t="s">
        <v>377</v>
      </c>
      <c r="AJ176">
        <v>-1</v>
      </c>
      <c r="AK176" t="s">
        <v>248</v>
      </c>
      <c r="AL176">
        <v>-80</v>
      </c>
      <c r="AM176" t="s">
        <v>2196</v>
      </c>
      <c r="AN176">
        <v>-2</v>
      </c>
    </row>
    <row r="177" spans="2:40" x14ac:dyDescent="0.25">
      <c r="B177" t="s">
        <v>11</v>
      </c>
      <c r="C177">
        <v>-68</v>
      </c>
      <c r="E177" t="s">
        <v>310</v>
      </c>
      <c r="F177">
        <v>-13</v>
      </c>
      <c r="H177" t="s">
        <v>295</v>
      </c>
      <c r="I177">
        <v>-77</v>
      </c>
      <c r="J177" t="s">
        <v>992</v>
      </c>
      <c r="K177">
        <v>-7.5</v>
      </c>
      <c r="L177" t="s">
        <v>858</v>
      </c>
      <c r="M177">
        <v>-13</v>
      </c>
      <c r="O177" t="s">
        <v>82</v>
      </c>
      <c r="P177">
        <v>-7</v>
      </c>
      <c r="Q177" t="s">
        <v>90</v>
      </c>
      <c r="R177">
        <v>-120</v>
      </c>
      <c r="S177" t="s">
        <v>191</v>
      </c>
      <c r="T177">
        <v>-12</v>
      </c>
      <c r="U177" t="s">
        <v>241</v>
      </c>
      <c r="V177">
        <v>-2</v>
      </c>
      <c r="W177" t="s">
        <v>167</v>
      </c>
      <c r="X177">
        <v>-28</v>
      </c>
      <c r="Y177" t="s">
        <v>869</v>
      </c>
      <c r="Z177">
        <v>-5</v>
      </c>
      <c r="AA177" t="s">
        <v>321</v>
      </c>
      <c r="AB177">
        <v>-4</v>
      </c>
      <c r="AC177" t="s">
        <v>97</v>
      </c>
      <c r="AD177">
        <v>-140</v>
      </c>
      <c r="AE177" t="s">
        <v>479</v>
      </c>
      <c r="AF177">
        <v>-9</v>
      </c>
      <c r="AG177" t="s">
        <v>10</v>
      </c>
      <c r="AH177">
        <v>-8</v>
      </c>
      <c r="AI177" t="s">
        <v>495</v>
      </c>
      <c r="AJ177">
        <v>-26</v>
      </c>
      <c r="AK177" t="s">
        <v>257</v>
      </c>
      <c r="AL177">
        <v>-6</v>
      </c>
      <c r="AM177" t="s">
        <v>82</v>
      </c>
      <c r="AN177">
        <v>-1</v>
      </c>
    </row>
    <row r="178" spans="2:40" x14ac:dyDescent="0.25">
      <c r="B178" t="s">
        <v>43</v>
      </c>
      <c r="C178">
        <v>-115</v>
      </c>
      <c r="E178" t="s">
        <v>399</v>
      </c>
      <c r="F178">
        <v>-5</v>
      </c>
      <c r="H178" t="s">
        <v>296</v>
      </c>
      <c r="I178">
        <v>-80</v>
      </c>
      <c r="J178" t="s">
        <v>448</v>
      </c>
      <c r="K178">
        <v>-40</v>
      </c>
      <c r="L178" t="s">
        <v>1161</v>
      </c>
      <c r="M178">
        <v>-12</v>
      </c>
      <c r="O178" t="s">
        <v>1402</v>
      </c>
      <c r="P178">
        <v>-3</v>
      </c>
      <c r="Q178" t="s">
        <v>1196</v>
      </c>
      <c r="R178">
        <v>-96</v>
      </c>
      <c r="S178" t="s">
        <v>192</v>
      </c>
      <c r="T178">
        <v>-6</v>
      </c>
      <c r="U178" t="s">
        <v>349</v>
      </c>
      <c r="V178">
        <v>-1.3</v>
      </c>
      <c r="W178" t="s">
        <v>757</v>
      </c>
      <c r="X178">
        <v>-1</v>
      </c>
      <c r="Y178" t="s">
        <v>631</v>
      </c>
      <c r="Z178">
        <v>-35</v>
      </c>
      <c r="AA178" t="s">
        <v>295</v>
      </c>
      <c r="AB178">
        <v>-12</v>
      </c>
      <c r="AC178" t="s">
        <v>95</v>
      </c>
      <c r="AD178">
        <v>-168</v>
      </c>
      <c r="AE178" t="s">
        <v>11</v>
      </c>
      <c r="AF178">
        <v>-61</v>
      </c>
      <c r="AG178" t="s">
        <v>11</v>
      </c>
      <c r="AH178">
        <v>-89</v>
      </c>
      <c r="AI178" t="s">
        <v>277</v>
      </c>
      <c r="AJ178">
        <v>-10</v>
      </c>
      <c r="AK178" t="s">
        <v>502</v>
      </c>
      <c r="AL178">
        <v>-2.5</v>
      </c>
      <c r="AM178" t="s">
        <v>1402</v>
      </c>
      <c r="AN178">
        <v>-1</v>
      </c>
    </row>
    <row r="179" spans="2:40" x14ac:dyDescent="0.25">
      <c r="B179" t="s">
        <v>768</v>
      </c>
      <c r="C179">
        <v>-3</v>
      </c>
      <c r="E179" t="s">
        <v>311</v>
      </c>
      <c r="F179">
        <v>-30</v>
      </c>
      <c r="H179" t="s">
        <v>297</v>
      </c>
      <c r="I179">
        <v>-72</v>
      </c>
      <c r="J179" t="s">
        <v>993</v>
      </c>
      <c r="K179">
        <v>-3</v>
      </c>
      <c r="L179" t="s">
        <v>233</v>
      </c>
      <c r="M179">
        <v>-4</v>
      </c>
      <c r="O179" t="s">
        <v>1403</v>
      </c>
      <c r="P179">
        <v>-1</v>
      </c>
      <c r="Q179" t="s">
        <v>348</v>
      </c>
      <c r="R179">
        <v>-15</v>
      </c>
      <c r="S179" t="s">
        <v>90</v>
      </c>
      <c r="T179">
        <v>-104</v>
      </c>
      <c r="U179" t="s">
        <v>41</v>
      </c>
      <c r="V179">
        <v>-5</v>
      </c>
      <c r="W179" t="s">
        <v>560</v>
      </c>
      <c r="X179">
        <v>-11</v>
      </c>
      <c r="Y179" t="s">
        <v>669</v>
      </c>
      <c r="Z179">
        <v>-4</v>
      </c>
      <c r="AA179" t="s">
        <v>296</v>
      </c>
      <c r="AB179">
        <v>-12</v>
      </c>
      <c r="AC179" t="s">
        <v>96</v>
      </c>
      <c r="AD179">
        <v>-119</v>
      </c>
      <c r="AE179" t="s">
        <v>43</v>
      </c>
      <c r="AF179">
        <v>-73</v>
      </c>
      <c r="AG179" t="s">
        <v>43</v>
      </c>
      <c r="AH179">
        <v>-115</v>
      </c>
      <c r="AI179" t="s">
        <v>2059</v>
      </c>
      <c r="AJ179">
        <v>-6</v>
      </c>
      <c r="AK179" t="s">
        <v>237</v>
      </c>
      <c r="AL179">
        <v>-8</v>
      </c>
      <c r="AM179" t="s">
        <v>729</v>
      </c>
      <c r="AN179">
        <v>-6</v>
      </c>
    </row>
    <row r="180" spans="2:40" x14ac:dyDescent="0.25">
      <c r="B180" t="s">
        <v>167</v>
      </c>
      <c r="C180">
        <v>-71</v>
      </c>
      <c r="E180" t="s">
        <v>312</v>
      </c>
      <c r="F180">
        <v>-15</v>
      </c>
      <c r="H180" t="s">
        <v>352</v>
      </c>
      <c r="I180">
        <v>-80</v>
      </c>
      <c r="J180" t="s">
        <v>994</v>
      </c>
      <c r="K180">
        <v>-3</v>
      </c>
      <c r="L180" t="s">
        <v>245</v>
      </c>
      <c r="M180">
        <v>-13</v>
      </c>
      <c r="O180" t="s">
        <v>1404</v>
      </c>
      <c r="P180">
        <v>-1</v>
      </c>
      <c r="Q180" t="s">
        <v>182</v>
      </c>
      <c r="R180">
        <v>-28</v>
      </c>
      <c r="S180" t="s">
        <v>1196</v>
      </c>
      <c r="T180">
        <v>-4</v>
      </c>
      <c r="U180" t="s">
        <v>980</v>
      </c>
      <c r="V180">
        <v>-5</v>
      </c>
      <c r="W180" t="s">
        <v>1823</v>
      </c>
      <c r="X180">
        <v>-5</v>
      </c>
      <c r="Y180" t="s">
        <v>444</v>
      </c>
      <c r="Z180">
        <v>-7</v>
      </c>
      <c r="AA180" t="s">
        <v>800</v>
      </c>
      <c r="AB180">
        <v>-12</v>
      </c>
      <c r="AC180" t="s">
        <v>1202</v>
      </c>
      <c r="AD180">
        <v>-2</v>
      </c>
      <c r="AE180" t="s">
        <v>1994</v>
      </c>
      <c r="AF180">
        <v>-3</v>
      </c>
      <c r="AG180" t="s">
        <v>1732</v>
      </c>
      <c r="AH180">
        <v>-2</v>
      </c>
      <c r="AI180" t="s">
        <v>234</v>
      </c>
      <c r="AJ180">
        <v>-82.7</v>
      </c>
      <c r="AK180" t="s">
        <v>199</v>
      </c>
      <c r="AL180">
        <v>-8</v>
      </c>
      <c r="AM180" t="s">
        <v>2353</v>
      </c>
      <c r="AN180">
        <v>-1</v>
      </c>
    </row>
    <row r="181" spans="2:40" x14ac:dyDescent="0.25">
      <c r="B181" t="s">
        <v>564</v>
      </c>
      <c r="C181">
        <v>-1</v>
      </c>
      <c r="E181" t="s">
        <v>313</v>
      </c>
      <c r="F181">
        <v>-15</v>
      </c>
      <c r="H181" t="s">
        <v>300</v>
      </c>
      <c r="I181">
        <v>-80</v>
      </c>
      <c r="J181" t="s">
        <v>995</v>
      </c>
      <c r="K181">
        <v>-3</v>
      </c>
      <c r="L181" t="s">
        <v>1162</v>
      </c>
      <c r="M181">
        <v>-1</v>
      </c>
      <c r="O181" t="s">
        <v>1170</v>
      </c>
      <c r="P181">
        <v>-8</v>
      </c>
      <c r="Q181" t="s">
        <v>181</v>
      </c>
      <c r="R181">
        <v>-28</v>
      </c>
      <c r="S181" t="s">
        <v>348</v>
      </c>
      <c r="T181">
        <v>-2.5</v>
      </c>
      <c r="U181" t="s">
        <v>1416</v>
      </c>
      <c r="V181">
        <v>-4</v>
      </c>
      <c r="W181" t="s">
        <v>191</v>
      </c>
      <c r="X181">
        <v>-4</v>
      </c>
      <c r="Y181" t="s">
        <v>633</v>
      </c>
      <c r="Z181">
        <v>-4</v>
      </c>
      <c r="AA181" t="s">
        <v>801</v>
      </c>
      <c r="AB181">
        <v>-12</v>
      </c>
      <c r="AC181" t="s">
        <v>1996</v>
      </c>
      <c r="AD181">
        <v>-5</v>
      </c>
      <c r="AE181" t="s">
        <v>2060</v>
      </c>
      <c r="AF181">
        <v>-4</v>
      </c>
      <c r="AG181" t="s">
        <v>1994</v>
      </c>
      <c r="AH181">
        <v>-5</v>
      </c>
      <c r="AI181" t="s">
        <v>420</v>
      </c>
      <c r="AJ181">
        <v>-239</v>
      </c>
      <c r="AK181" t="s">
        <v>2270</v>
      </c>
      <c r="AL181">
        <v>-1</v>
      </c>
      <c r="AM181" t="s">
        <v>526</v>
      </c>
      <c r="AN181">
        <v>-1</v>
      </c>
    </row>
    <row r="182" spans="2:40" x14ac:dyDescent="0.25">
      <c r="B182" t="s">
        <v>562</v>
      </c>
      <c r="C182">
        <v>-19</v>
      </c>
      <c r="E182" t="s">
        <v>314</v>
      </c>
      <c r="F182">
        <v>-15</v>
      </c>
      <c r="H182" t="s">
        <v>353</v>
      </c>
      <c r="I182">
        <v>-72</v>
      </c>
      <c r="J182" t="s">
        <v>996</v>
      </c>
      <c r="K182">
        <v>-6</v>
      </c>
      <c r="L182" t="s">
        <v>1163</v>
      </c>
      <c r="M182">
        <v>-3</v>
      </c>
      <c r="O182" t="s">
        <v>1405</v>
      </c>
      <c r="P182">
        <v>-12</v>
      </c>
      <c r="Q182" t="s">
        <v>185</v>
      </c>
      <c r="R182">
        <v>-14</v>
      </c>
      <c r="S182" t="s">
        <v>182</v>
      </c>
      <c r="T182">
        <v>-10</v>
      </c>
      <c r="U182" t="s">
        <v>1190</v>
      </c>
      <c r="V182">
        <v>-4</v>
      </c>
      <c r="W182" t="s">
        <v>192</v>
      </c>
      <c r="X182">
        <v>-2</v>
      </c>
      <c r="Y182" t="s">
        <v>364</v>
      </c>
      <c r="Z182">
        <v>-3</v>
      </c>
      <c r="AA182" t="s">
        <v>802</v>
      </c>
      <c r="AB182">
        <v>-12</v>
      </c>
      <c r="AC182" t="s">
        <v>303</v>
      </c>
      <c r="AD182">
        <v>-10</v>
      </c>
      <c r="AE182" t="s">
        <v>167</v>
      </c>
      <c r="AF182">
        <v>-59</v>
      </c>
      <c r="AG182" t="s">
        <v>167</v>
      </c>
      <c r="AH182">
        <v>-56</v>
      </c>
      <c r="AI182" t="s">
        <v>575</v>
      </c>
      <c r="AJ182">
        <v>-87.88</v>
      </c>
      <c r="AK182" t="s">
        <v>510</v>
      </c>
      <c r="AL182">
        <v>-2</v>
      </c>
      <c r="AM182" t="s">
        <v>2146</v>
      </c>
      <c r="AN182">
        <v>-1</v>
      </c>
    </row>
    <row r="183" spans="2:40" x14ac:dyDescent="0.25">
      <c r="B183" t="s">
        <v>757</v>
      </c>
      <c r="C183">
        <v>-1</v>
      </c>
      <c r="E183" t="s">
        <v>118</v>
      </c>
      <c r="F183">
        <v>-28</v>
      </c>
      <c r="H183" t="s">
        <v>298</v>
      </c>
      <c r="I183">
        <v>-85</v>
      </c>
      <c r="J183" t="s">
        <v>997</v>
      </c>
      <c r="K183">
        <v>-3</v>
      </c>
      <c r="L183" t="s">
        <v>367</v>
      </c>
      <c r="M183">
        <v>-2</v>
      </c>
      <c r="O183" t="s">
        <v>729</v>
      </c>
      <c r="P183">
        <v>-3</v>
      </c>
      <c r="Q183" t="s">
        <v>350</v>
      </c>
      <c r="R183">
        <v>-6</v>
      </c>
      <c r="S183" t="s">
        <v>181</v>
      </c>
      <c r="T183">
        <v>-10</v>
      </c>
      <c r="U183" t="s">
        <v>1191</v>
      </c>
      <c r="V183">
        <v>-9</v>
      </c>
      <c r="W183" t="s">
        <v>90</v>
      </c>
      <c r="X183">
        <v>-40</v>
      </c>
      <c r="Y183" t="s">
        <v>1901</v>
      </c>
      <c r="Z183">
        <v>-12</v>
      </c>
      <c r="AA183" t="s">
        <v>297</v>
      </c>
      <c r="AB183">
        <v>-12</v>
      </c>
      <c r="AC183" t="s">
        <v>304</v>
      </c>
      <c r="AD183">
        <v>-10</v>
      </c>
      <c r="AE183" t="s">
        <v>562</v>
      </c>
      <c r="AF183">
        <v>-9</v>
      </c>
      <c r="AG183" t="s">
        <v>2148</v>
      </c>
      <c r="AH183">
        <v>-12</v>
      </c>
      <c r="AI183" t="s">
        <v>276</v>
      </c>
      <c r="AJ183">
        <v>-200</v>
      </c>
      <c r="AK183" t="s">
        <v>171</v>
      </c>
      <c r="AL183">
        <v>-24</v>
      </c>
      <c r="AM183" t="s">
        <v>2055</v>
      </c>
      <c r="AN183">
        <v>-12</v>
      </c>
    </row>
    <row r="184" spans="2:40" x14ac:dyDescent="0.25">
      <c r="B184" t="s">
        <v>532</v>
      </c>
      <c r="C184">
        <v>-1</v>
      </c>
      <c r="E184" t="s">
        <v>315</v>
      </c>
      <c r="F184">
        <v>-18</v>
      </c>
      <c r="H184" t="s">
        <v>299</v>
      </c>
      <c r="I184">
        <v>-88</v>
      </c>
      <c r="J184" t="s">
        <v>998</v>
      </c>
      <c r="K184">
        <v>-3</v>
      </c>
      <c r="L184" t="s">
        <v>1164</v>
      </c>
      <c r="M184">
        <v>-7</v>
      </c>
      <c r="O184" t="s">
        <v>369</v>
      </c>
      <c r="P184">
        <v>-4</v>
      </c>
      <c r="Q184" t="s">
        <v>1417</v>
      </c>
      <c r="R184">
        <v>-6.6</v>
      </c>
      <c r="S184" t="s">
        <v>185</v>
      </c>
      <c r="T184">
        <v>-5</v>
      </c>
      <c r="U184" t="s">
        <v>501</v>
      </c>
      <c r="V184">
        <v>-9</v>
      </c>
      <c r="W184" t="s">
        <v>348</v>
      </c>
      <c r="X184">
        <v>-0.36</v>
      </c>
      <c r="Y184" t="s">
        <v>730</v>
      </c>
      <c r="Z184">
        <v>-3</v>
      </c>
      <c r="AA184" t="s">
        <v>352</v>
      </c>
      <c r="AB184">
        <v>-12</v>
      </c>
      <c r="AC184" t="s">
        <v>305</v>
      </c>
      <c r="AD184">
        <v>-20</v>
      </c>
      <c r="AE184" t="s">
        <v>757</v>
      </c>
      <c r="AF184">
        <v>-55</v>
      </c>
      <c r="AG184" t="s">
        <v>562</v>
      </c>
      <c r="AH184">
        <v>-10</v>
      </c>
      <c r="AI184" t="s">
        <v>253</v>
      </c>
      <c r="AJ184">
        <v>-8</v>
      </c>
      <c r="AK184" t="s">
        <v>241</v>
      </c>
      <c r="AL184">
        <v>-1</v>
      </c>
      <c r="AM184" t="s">
        <v>5</v>
      </c>
      <c r="AN184">
        <v>-2</v>
      </c>
    </row>
    <row r="185" spans="2:40" x14ac:dyDescent="0.25">
      <c r="B185" t="s">
        <v>560</v>
      </c>
      <c r="C185">
        <v>-54</v>
      </c>
      <c r="E185" t="s">
        <v>316</v>
      </c>
      <c r="F185">
        <v>-15</v>
      </c>
      <c r="H185" t="s">
        <v>448</v>
      </c>
      <c r="I185">
        <v>-102</v>
      </c>
      <c r="J185" t="s">
        <v>999</v>
      </c>
      <c r="K185">
        <v>-6</v>
      </c>
      <c r="L185" t="s">
        <v>84</v>
      </c>
      <c r="M185">
        <v>-40</v>
      </c>
      <c r="O185" t="s">
        <v>183</v>
      </c>
      <c r="P185">
        <v>-8</v>
      </c>
      <c r="Q185" t="s">
        <v>799</v>
      </c>
      <c r="R185">
        <v>-32</v>
      </c>
      <c r="S185" t="s">
        <v>350</v>
      </c>
      <c r="T185">
        <v>-70</v>
      </c>
      <c r="U185" t="s">
        <v>168</v>
      </c>
      <c r="V185">
        <v>-2</v>
      </c>
      <c r="W185" t="s">
        <v>662</v>
      </c>
      <c r="X185">
        <v>-6</v>
      </c>
      <c r="Y185" t="s">
        <v>1902</v>
      </c>
      <c r="Z185">
        <v>-4</v>
      </c>
      <c r="AA185" t="s">
        <v>1572</v>
      </c>
      <c r="AB185">
        <v>-12</v>
      </c>
      <c r="AC185" t="s">
        <v>116</v>
      </c>
      <c r="AD185">
        <v>-20</v>
      </c>
      <c r="AE185" t="s">
        <v>560</v>
      </c>
      <c r="AF185">
        <v>-5</v>
      </c>
      <c r="AG185" t="s">
        <v>757</v>
      </c>
      <c r="AH185">
        <v>-33</v>
      </c>
      <c r="AI185" t="s">
        <v>203</v>
      </c>
      <c r="AJ185">
        <v>-30</v>
      </c>
      <c r="AK185" t="s">
        <v>2271</v>
      </c>
      <c r="AL185">
        <v>-1</v>
      </c>
      <c r="AM185" t="s">
        <v>527</v>
      </c>
      <c r="AN185">
        <v>-1</v>
      </c>
    </row>
    <row r="186" spans="2:40" x14ac:dyDescent="0.25">
      <c r="B186" t="s">
        <v>758</v>
      </c>
      <c r="C186">
        <v>-3</v>
      </c>
      <c r="E186" t="s">
        <v>386</v>
      </c>
      <c r="F186">
        <v>-77</v>
      </c>
      <c r="H186" t="s">
        <v>867</v>
      </c>
      <c r="I186">
        <v>-8</v>
      </c>
      <c r="J186" t="s">
        <v>1000</v>
      </c>
      <c r="K186">
        <v>-6</v>
      </c>
      <c r="L186" t="s">
        <v>1165</v>
      </c>
      <c r="M186">
        <v>-1</v>
      </c>
      <c r="O186" t="s">
        <v>1173</v>
      </c>
      <c r="P186">
        <v>-17</v>
      </c>
      <c r="Q186" t="s">
        <v>454</v>
      </c>
      <c r="R186">
        <v>-46</v>
      </c>
      <c r="S186" t="s">
        <v>1197</v>
      </c>
      <c r="T186">
        <v>-10</v>
      </c>
      <c r="U186" t="s">
        <v>6</v>
      </c>
      <c r="V186">
        <v>-2</v>
      </c>
      <c r="W186" t="s">
        <v>1824</v>
      </c>
      <c r="X186">
        <v>-3</v>
      </c>
      <c r="Y186" t="s">
        <v>259</v>
      </c>
      <c r="Z186">
        <v>-2</v>
      </c>
      <c r="AA186" t="s">
        <v>299</v>
      </c>
      <c r="AB186">
        <v>-12</v>
      </c>
      <c r="AC186" t="s">
        <v>119</v>
      </c>
      <c r="AD186">
        <v>-13</v>
      </c>
      <c r="AE186" t="s">
        <v>771</v>
      </c>
      <c r="AF186">
        <v>-12</v>
      </c>
      <c r="AG186" t="s">
        <v>2149</v>
      </c>
      <c r="AH186">
        <v>-53</v>
      </c>
      <c r="AI186" t="s">
        <v>267</v>
      </c>
      <c r="AJ186">
        <v>-297</v>
      </c>
      <c r="AK186" t="s">
        <v>349</v>
      </c>
      <c r="AL186">
        <v>-3.9999999999999996</v>
      </c>
      <c r="AM186" t="s">
        <v>1176</v>
      </c>
      <c r="AN186">
        <v>-2</v>
      </c>
    </row>
    <row r="187" spans="2:40" x14ac:dyDescent="0.25">
      <c r="B187" t="s">
        <v>759</v>
      </c>
      <c r="C187">
        <v>-1</v>
      </c>
      <c r="E187" t="s">
        <v>606</v>
      </c>
      <c r="F187">
        <v>-48.030199999999994</v>
      </c>
      <c r="H187" t="s">
        <v>120</v>
      </c>
      <c r="I187">
        <v>-12</v>
      </c>
      <c r="J187" t="s">
        <v>1001</v>
      </c>
      <c r="K187">
        <v>-12</v>
      </c>
      <c r="L187" t="s">
        <v>859</v>
      </c>
      <c r="M187">
        <v>-16</v>
      </c>
      <c r="O187" t="s">
        <v>1406</v>
      </c>
      <c r="P187">
        <v>-2</v>
      </c>
      <c r="Q187" t="s">
        <v>219</v>
      </c>
      <c r="R187">
        <v>-2</v>
      </c>
      <c r="S187" t="s">
        <v>454</v>
      </c>
      <c r="T187">
        <v>-28</v>
      </c>
      <c r="U187" t="s">
        <v>10</v>
      </c>
      <c r="V187">
        <v>-8</v>
      </c>
      <c r="W187" t="s">
        <v>182</v>
      </c>
      <c r="X187">
        <v>-10</v>
      </c>
      <c r="Y187" t="s">
        <v>613</v>
      </c>
      <c r="Z187">
        <v>-8</v>
      </c>
      <c r="AA187" t="s">
        <v>1573</v>
      </c>
      <c r="AB187">
        <v>-12</v>
      </c>
      <c r="AC187" t="s">
        <v>117</v>
      </c>
      <c r="AD187">
        <v>-11</v>
      </c>
      <c r="AE187" t="s">
        <v>1195</v>
      </c>
      <c r="AF187">
        <v>-6</v>
      </c>
      <c r="AG187" t="s">
        <v>560</v>
      </c>
      <c r="AH187">
        <v>-10</v>
      </c>
      <c r="AI187" t="s">
        <v>265</v>
      </c>
      <c r="AJ187">
        <v>-50</v>
      </c>
      <c r="AK187" t="s">
        <v>41</v>
      </c>
      <c r="AL187">
        <v>-64</v>
      </c>
      <c r="AM187" t="s">
        <v>528</v>
      </c>
      <c r="AN187">
        <v>-2</v>
      </c>
    </row>
    <row r="188" spans="2:40" x14ac:dyDescent="0.25">
      <c r="B188" t="s">
        <v>533</v>
      </c>
      <c r="C188">
        <v>-10</v>
      </c>
      <c r="E188" t="s">
        <v>803</v>
      </c>
      <c r="F188">
        <v>-1</v>
      </c>
      <c r="H188" t="s">
        <v>308</v>
      </c>
      <c r="I188">
        <v>-12</v>
      </c>
      <c r="J188" t="s">
        <v>1002</v>
      </c>
      <c r="K188">
        <v>-12</v>
      </c>
      <c r="L188" t="s">
        <v>1166</v>
      </c>
      <c r="M188">
        <v>-20</v>
      </c>
      <c r="O188" t="s">
        <v>1174</v>
      </c>
      <c r="P188">
        <v>-4</v>
      </c>
      <c r="Q188" t="s">
        <v>97</v>
      </c>
      <c r="R188">
        <v>-70</v>
      </c>
      <c r="S188" t="s">
        <v>219</v>
      </c>
      <c r="T188">
        <v>-4</v>
      </c>
      <c r="U188" t="s">
        <v>11</v>
      </c>
      <c r="V188">
        <v>-63</v>
      </c>
      <c r="W188" t="s">
        <v>181</v>
      </c>
      <c r="X188">
        <v>-10</v>
      </c>
      <c r="Y188" t="s">
        <v>1903</v>
      </c>
      <c r="Z188">
        <v>-2</v>
      </c>
      <c r="AA188" t="s">
        <v>448</v>
      </c>
      <c r="AB188">
        <v>-49</v>
      </c>
      <c r="AC188" t="s">
        <v>337</v>
      </c>
      <c r="AD188">
        <v>-6</v>
      </c>
      <c r="AE188" t="s">
        <v>191</v>
      </c>
      <c r="AF188">
        <v>-32</v>
      </c>
      <c r="AG188" t="s">
        <v>758</v>
      </c>
      <c r="AH188">
        <v>-2</v>
      </c>
      <c r="AI188" t="s">
        <v>266</v>
      </c>
      <c r="AJ188">
        <v>-297</v>
      </c>
      <c r="AK188" t="s">
        <v>980</v>
      </c>
      <c r="AL188">
        <v>-26</v>
      </c>
      <c r="AM188" t="s">
        <v>1177</v>
      </c>
      <c r="AN188">
        <v>-1</v>
      </c>
    </row>
    <row r="189" spans="2:40" x14ac:dyDescent="0.25">
      <c r="B189" t="s">
        <v>771</v>
      </c>
      <c r="C189">
        <v>-7</v>
      </c>
      <c r="E189" t="s">
        <v>804</v>
      </c>
      <c r="F189">
        <v>-1</v>
      </c>
      <c r="H189" t="s">
        <v>309</v>
      </c>
      <c r="I189">
        <v>-12</v>
      </c>
      <c r="J189" t="s">
        <v>1003</v>
      </c>
      <c r="K189">
        <v>-3</v>
      </c>
      <c r="L189" t="s">
        <v>166</v>
      </c>
      <c r="M189">
        <v>-38</v>
      </c>
      <c r="O189" t="s">
        <v>1175</v>
      </c>
      <c r="P189">
        <v>-2</v>
      </c>
      <c r="Q189" t="s">
        <v>95</v>
      </c>
      <c r="R189">
        <v>-140</v>
      </c>
      <c r="S189" t="s">
        <v>97</v>
      </c>
      <c r="T189">
        <v>-56</v>
      </c>
      <c r="U189" t="s">
        <v>43</v>
      </c>
      <c r="V189">
        <v>-69</v>
      </c>
      <c r="W189" t="s">
        <v>185</v>
      </c>
      <c r="X189">
        <v>-4</v>
      </c>
      <c r="Y189" t="s">
        <v>1904</v>
      </c>
      <c r="Z189">
        <v>-2</v>
      </c>
      <c r="AA189" t="s">
        <v>120</v>
      </c>
      <c r="AB189">
        <v>-2</v>
      </c>
      <c r="AC189" t="s">
        <v>121</v>
      </c>
      <c r="AD189">
        <v>-10</v>
      </c>
      <c r="AE189" t="s">
        <v>192</v>
      </c>
      <c r="AF189">
        <v>-21</v>
      </c>
      <c r="AG189" t="s">
        <v>2150</v>
      </c>
      <c r="AH189">
        <v>-50</v>
      </c>
      <c r="AI189" t="s">
        <v>264</v>
      </c>
      <c r="AJ189">
        <v>-50</v>
      </c>
      <c r="AK189" t="s">
        <v>1190</v>
      </c>
      <c r="AL189">
        <v>-1</v>
      </c>
      <c r="AM189" t="s">
        <v>1986</v>
      </c>
      <c r="AN189">
        <v>-1</v>
      </c>
    </row>
    <row r="190" spans="2:40" x14ac:dyDescent="0.25">
      <c r="B190" t="s">
        <v>191</v>
      </c>
      <c r="C190">
        <v>-24</v>
      </c>
      <c r="E190" t="s">
        <v>805</v>
      </c>
      <c r="F190">
        <v>-2</v>
      </c>
      <c r="H190" t="s">
        <v>310</v>
      </c>
      <c r="I190">
        <v>-7</v>
      </c>
      <c r="J190" t="s">
        <v>606</v>
      </c>
      <c r="K190">
        <v>-15.579999999999998</v>
      </c>
      <c r="L190" t="s">
        <v>794</v>
      </c>
      <c r="M190">
        <v>-24</v>
      </c>
      <c r="O190" t="s">
        <v>5</v>
      </c>
      <c r="P190">
        <v>-9</v>
      </c>
      <c r="Q190" t="s">
        <v>96</v>
      </c>
      <c r="R190">
        <v>-70</v>
      </c>
      <c r="S190" t="s">
        <v>95</v>
      </c>
      <c r="T190">
        <v>-112</v>
      </c>
      <c r="U190" t="s">
        <v>768</v>
      </c>
      <c r="V190">
        <v>-6</v>
      </c>
      <c r="W190" t="s">
        <v>350</v>
      </c>
      <c r="X190">
        <v>-64</v>
      </c>
      <c r="Y190" t="s">
        <v>1905</v>
      </c>
      <c r="Z190">
        <v>-2</v>
      </c>
      <c r="AA190" t="s">
        <v>308</v>
      </c>
      <c r="AB190">
        <v>-2</v>
      </c>
      <c r="AC190" t="s">
        <v>1997</v>
      </c>
      <c r="AD190">
        <v>-2</v>
      </c>
      <c r="AE190" t="s">
        <v>90</v>
      </c>
      <c r="AF190">
        <v>-50</v>
      </c>
      <c r="AG190" t="s">
        <v>865</v>
      </c>
      <c r="AH190">
        <v>-2</v>
      </c>
      <c r="AI190" t="s">
        <v>248</v>
      </c>
      <c r="AJ190">
        <v>-133</v>
      </c>
      <c r="AK190" t="s">
        <v>2272</v>
      </c>
      <c r="AL190">
        <v>-10</v>
      </c>
      <c r="AM190" t="s">
        <v>1988</v>
      </c>
      <c r="AN190">
        <v>-1</v>
      </c>
    </row>
    <row r="191" spans="2:40" x14ac:dyDescent="0.25">
      <c r="B191" t="s">
        <v>192</v>
      </c>
      <c r="C191">
        <v>-36</v>
      </c>
      <c r="E191" t="s">
        <v>274</v>
      </c>
      <c r="F191">
        <v>-32</v>
      </c>
      <c r="H191" t="s">
        <v>399</v>
      </c>
      <c r="I191">
        <v>-25</v>
      </c>
      <c r="J191" t="s">
        <v>226</v>
      </c>
      <c r="K191">
        <v>-6</v>
      </c>
      <c r="L191" t="s">
        <v>860</v>
      </c>
      <c r="M191">
        <v>-48</v>
      </c>
      <c r="O191" t="s">
        <v>1407</v>
      </c>
      <c r="P191">
        <v>-10</v>
      </c>
      <c r="Q191" t="s">
        <v>1202</v>
      </c>
      <c r="R191">
        <v>-2</v>
      </c>
      <c r="S191" t="s">
        <v>96</v>
      </c>
      <c r="T191">
        <v>-56</v>
      </c>
      <c r="U191" t="s">
        <v>1732</v>
      </c>
      <c r="V191">
        <v>-8</v>
      </c>
      <c r="W191" t="s">
        <v>1417</v>
      </c>
      <c r="X191">
        <v>-14</v>
      </c>
      <c r="Y191" t="s">
        <v>398</v>
      </c>
      <c r="Z191">
        <v>-2</v>
      </c>
      <c r="AA191" t="s">
        <v>309</v>
      </c>
      <c r="AB191">
        <v>-2</v>
      </c>
      <c r="AC191" t="s">
        <v>1998</v>
      </c>
      <c r="AD191">
        <v>-2</v>
      </c>
      <c r="AE191" t="s">
        <v>348</v>
      </c>
      <c r="AF191">
        <v>-4</v>
      </c>
      <c r="AG191" t="s">
        <v>191</v>
      </c>
      <c r="AH191">
        <v>-22</v>
      </c>
      <c r="AI191" t="s">
        <v>257</v>
      </c>
      <c r="AJ191">
        <v>-25</v>
      </c>
      <c r="AK191" t="s">
        <v>501</v>
      </c>
      <c r="AL191">
        <v>-6</v>
      </c>
      <c r="AM191" t="s">
        <v>2198</v>
      </c>
      <c r="AN191">
        <v>-1</v>
      </c>
    </row>
    <row r="192" spans="2:40" x14ac:dyDescent="0.25">
      <c r="B192" t="s">
        <v>90</v>
      </c>
      <c r="C192">
        <v>-30</v>
      </c>
      <c r="E192" t="s">
        <v>293</v>
      </c>
      <c r="F192">
        <v>-16</v>
      </c>
      <c r="H192" t="s">
        <v>311</v>
      </c>
      <c r="I192">
        <v>-10</v>
      </c>
      <c r="J192" t="s">
        <v>631</v>
      </c>
      <c r="K192">
        <v>-3</v>
      </c>
      <c r="L192" t="s">
        <v>8</v>
      </c>
      <c r="M192">
        <v>-126</v>
      </c>
      <c r="O192" t="s">
        <v>1408</v>
      </c>
      <c r="P192">
        <v>-4</v>
      </c>
      <c r="Q192" t="s">
        <v>303</v>
      </c>
      <c r="R192">
        <v>-10</v>
      </c>
      <c r="S192" t="s">
        <v>1202</v>
      </c>
      <c r="T192">
        <v>-4</v>
      </c>
      <c r="U192" t="s">
        <v>167</v>
      </c>
      <c r="V192">
        <v>-56</v>
      </c>
      <c r="W192" t="s">
        <v>799</v>
      </c>
      <c r="X192">
        <v>-104</v>
      </c>
      <c r="Y192" t="s">
        <v>755</v>
      </c>
      <c r="Z192">
        <v>-33.33</v>
      </c>
      <c r="AA192" t="s">
        <v>310</v>
      </c>
      <c r="AB192">
        <v>-1</v>
      </c>
      <c r="AC192" t="s">
        <v>1999</v>
      </c>
      <c r="AD192">
        <v>-3</v>
      </c>
      <c r="AE192" t="s">
        <v>1899</v>
      </c>
      <c r="AF192">
        <v>-2.04</v>
      </c>
      <c r="AG192" t="s">
        <v>192</v>
      </c>
      <c r="AH192">
        <v>-8</v>
      </c>
      <c r="AI192" t="s">
        <v>153</v>
      </c>
      <c r="AJ192">
        <v>-2</v>
      </c>
      <c r="AK192" t="s">
        <v>6</v>
      </c>
      <c r="AL192">
        <v>-10</v>
      </c>
      <c r="AM192" t="s">
        <v>495</v>
      </c>
      <c r="AN192">
        <v>-8</v>
      </c>
    </row>
    <row r="193" spans="2:40" x14ac:dyDescent="0.25">
      <c r="B193" t="s">
        <v>348</v>
      </c>
      <c r="C193">
        <v>-4.8499999999999996</v>
      </c>
      <c r="E193" t="s">
        <v>294</v>
      </c>
      <c r="F193">
        <v>-16</v>
      </c>
      <c r="H193" t="s">
        <v>312</v>
      </c>
      <c r="I193">
        <v>-5</v>
      </c>
      <c r="J193" t="s">
        <v>143</v>
      </c>
      <c r="K193">
        <v>-20</v>
      </c>
      <c r="L193" t="s">
        <v>1167</v>
      </c>
      <c r="M193">
        <v>-3</v>
      </c>
      <c r="O193" t="s">
        <v>377</v>
      </c>
      <c r="P193">
        <v>-2</v>
      </c>
      <c r="Q193" t="s">
        <v>304</v>
      </c>
      <c r="R193">
        <v>-10</v>
      </c>
      <c r="S193" t="s">
        <v>303</v>
      </c>
      <c r="T193">
        <v>-10</v>
      </c>
      <c r="U193" t="s">
        <v>798</v>
      </c>
      <c r="V193">
        <v>-214</v>
      </c>
      <c r="W193" t="s">
        <v>454</v>
      </c>
      <c r="X193">
        <v>-60</v>
      </c>
      <c r="Y193" t="s">
        <v>1675</v>
      </c>
      <c r="Z193">
        <v>-2</v>
      </c>
      <c r="AA193" t="s">
        <v>399</v>
      </c>
      <c r="AB193">
        <v>-1</v>
      </c>
      <c r="AC193" t="s">
        <v>2000</v>
      </c>
      <c r="AD193">
        <v>-2</v>
      </c>
      <c r="AE193" t="s">
        <v>182</v>
      </c>
      <c r="AF193">
        <v>-16</v>
      </c>
      <c r="AG193" t="s">
        <v>90</v>
      </c>
      <c r="AH193">
        <v>-80</v>
      </c>
      <c r="AI193" t="s">
        <v>502</v>
      </c>
      <c r="AJ193">
        <v>-5</v>
      </c>
      <c r="AK193" t="s">
        <v>2201</v>
      </c>
      <c r="AL193">
        <v>-10</v>
      </c>
      <c r="AM193" t="s">
        <v>2354</v>
      </c>
      <c r="AN193">
        <v>-1</v>
      </c>
    </row>
    <row r="194" spans="2:40" x14ac:dyDescent="0.25">
      <c r="B194" t="s">
        <v>662</v>
      </c>
      <c r="C194">
        <v>-6</v>
      </c>
      <c r="E194" t="s">
        <v>806</v>
      </c>
      <c r="F194">
        <v>-1</v>
      </c>
      <c r="H194" t="s">
        <v>313</v>
      </c>
      <c r="I194">
        <v>-5</v>
      </c>
      <c r="J194" t="s">
        <v>1004</v>
      </c>
      <c r="K194">
        <v>-36</v>
      </c>
      <c r="L194" t="s">
        <v>82</v>
      </c>
      <c r="M194">
        <v>-12</v>
      </c>
      <c r="O194" t="s">
        <v>495</v>
      </c>
      <c r="P194">
        <v>-8</v>
      </c>
      <c r="Q194" t="s">
        <v>305</v>
      </c>
      <c r="R194">
        <v>-20</v>
      </c>
      <c r="S194" t="s">
        <v>304</v>
      </c>
      <c r="T194">
        <v>-10</v>
      </c>
      <c r="U194" t="s">
        <v>562</v>
      </c>
      <c r="V194">
        <v>-15</v>
      </c>
      <c r="W194" t="s">
        <v>219</v>
      </c>
      <c r="X194">
        <v>-3</v>
      </c>
      <c r="Y194" t="s">
        <v>360</v>
      </c>
      <c r="Z194">
        <v>-84</v>
      </c>
      <c r="AA194" t="s">
        <v>311</v>
      </c>
      <c r="AB194">
        <v>-4</v>
      </c>
      <c r="AC194" t="s">
        <v>321</v>
      </c>
      <c r="AD194">
        <v>-10</v>
      </c>
      <c r="AE194" t="s">
        <v>181</v>
      </c>
      <c r="AF194">
        <v>-20</v>
      </c>
      <c r="AG194" t="s">
        <v>348</v>
      </c>
      <c r="AH194">
        <v>-1</v>
      </c>
      <c r="AI194" t="s">
        <v>237</v>
      </c>
      <c r="AJ194">
        <v>-13</v>
      </c>
      <c r="AK194" t="s">
        <v>10</v>
      </c>
      <c r="AL194">
        <v>-6</v>
      </c>
      <c r="AM194" t="s">
        <v>277</v>
      </c>
      <c r="AN194">
        <v>-19</v>
      </c>
    </row>
    <row r="195" spans="2:40" x14ac:dyDescent="0.25">
      <c r="B195" t="s">
        <v>182</v>
      </c>
      <c r="C195">
        <v>-24</v>
      </c>
      <c r="E195" t="s">
        <v>331</v>
      </c>
      <c r="F195">
        <v>-12</v>
      </c>
      <c r="H195" t="s">
        <v>314</v>
      </c>
      <c r="I195">
        <v>-5</v>
      </c>
      <c r="J195" t="s">
        <v>1005</v>
      </c>
      <c r="K195">
        <v>-12</v>
      </c>
      <c r="L195" t="s">
        <v>1168</v>
      </c>
      <c r="M195">
        <v>-1</v>
      </c>
      <c r="O195" t="s">
        <v>277</v>
      </c>
      <c r="P195">
        <v>-154</v>
      </c>
      <c r="Q195" t="s">
        <v>116</v>
      </c>
      <c r="R195">
        <v>-20</v>
      </c>
      <c r="S195" t="s">
        <v>305</v>
      </c>
      <c r="T195">
        <v>-17</v>
      </c>
      <c r="U195" t="s">
        <v>757</v>
      </c>
      <c r="V195">
        <v>-1</v>
      </c>
      <c r="W195" t="s">
        <v>97</v>
      </c>
      <c r="X195">
        <v>-82</v>
      </c>
      <c r="Y195" t="s">
        <v>809</v>
      </c>
      <c r="Z195">
        <v>-4</v>
      </c>
      <c r="AA195" t="s">
        <v>312</v>
      </c>
      <c r="AB195">
        <v>-2</v>
      </c>
      <c r="AC195" t="s">
        <v>296</v>
      </c>
      <c r="AD195">
        <v>-20</v>
      </c>
      <c r="AE195" t="s">
        <v>185</v>
      </c>
      <c r="AF195">
        <v>-8</v>
      </c>
      <c r="AG195" t="s">
        <v>1899</v>
      </c>
      <c r="AH195">
        <v>-3.96</v>
      </c>
      <c r="AI195" t="s">
        <v>199</v>
      </c>
      <c r="AJ195">
        <v>-31</v>
      </c>
      <c r="AK195" t="s">
        <v>479</v>
      </c>
      <c r="AL195">
        <v>-5</v>
      </c>
      <c r="AM195" t="s">
        <v>2355</v>
      </c>
      <c r="AN195">
        <v>-16</v>
      </c>
    </row>
    <row r="196" spans="2:40" x14ac:dyDescent="0.25">
      <c r="B196" t="s">
        <v>181</v>
      </c>
      <c r="C196">
        <v>-24</v>
      </c>
      <c r="E196" t="s">
        <v>541</v>
      </c>
      <c r="F196">
        <v>-20</v>
      </c>
      <c r="H196" t="s">
        <v>118</v>
      </c>
      <c r="I196">
        <v>-18</v>
      </c>
      <c r="J196" t="s">
        <v>1006</v>
      </c>
      <c r="K196">
        <v>-12</v>
      </c>
      <c r="L196" t="s">
        <v>1169</v>
      </c>
      <c r="M196">
        <v>-1</v>
      </c>
      <c r="O196" t="s">
        <v>1409</v>
      </c>
      <c r="P196">
        <v>-8</v>
      </c>
      <c r="Q196" t="s">
        <v>119</v>
      </c>
      <c r="R196">
        <v>-10</v>
      </c>
      <c r="S196" t="s">
        <v>116</v>
      </c>
      <c r="T196">
        <v>-17</v>
      </c>
      <c r="U196" t="s">
        <v>560</v>
      </c>
      <c r="V196">
        <v>-27</v>
      </c>
      <c r="W196" t="s">
        <v>95</v>
      </c>
      <c r="X196">
        <v>-164</v>
      </c>
      <c r="Y196" t="s">
        <v>351</v>
      </c>
      <c r="Z196">
        <v>-5</v>
      </c>
      <c r="AA196" t="s">
        <v>313</v>
      </c>
      <c r="AB196">
        <v>-2</v>
      </c>
      <c r="AC196" t="s">
        <v>800</v>
      </c>
      <c r="AD196">
        <v>-20</v>
      </c>
      <c r="AE196" t="s">
        <v>350</v>
      </c>
      <c r="AF196">
        <v>-38</v>
      </c>
      <c r="AG196" t="s">
        <v>182</v>
      </c>
      <c r="AH196">
        <v>-24</v>
      </c>
      <c r="AI196" t="s">
        <v>795</v>
      </c>
      <c r="AJ196">
        <v>-1</v>
      </c>
      <c r="AK196" t="s">
        <v>11</v>
      </c>
      <c r="AL196">
        <v>-30</v>
      </c>
      <c r="AM196" t="s">
        <v>234</v>
      </c>
      <c r="AN196">
        <v>-27.1</v>
      </c>
    </row>
    <row r="197" spans="2:40" x14ac:dyDescent="0.25">
      <c r="B197" t="s">
        <v>185</v>
      </c>
      <c r="C197">
        <v>-12</v>
      </c>
      <c r="E197" t="s">
        <v>226</v>
      </c>
      <c r="F197">
        <v>-34</v>
      </c>
      <c r="H197" t="s">
        <v>315</v>
      </c>
      <c r="I197">
        <v>-13</v>
      </c>
      <c r="J197" t="s">
        <v>1007</v>
      </c>
      <c r="K197">
        <v>-1</v>
      </c>
      <c r="L197" t="s">
        <v>1170</v>
      </c>
      <c r="M197">
        <v>-25</v>
      </c>
      <c r="O197" t="s">
        <v>234</v>
      </c>
      <c r="P197">
        <v>-58.4</v>
      </c>
      <c r="Q197" t="s">
        <v>117</v>
      </c>
      <c r="R197">
        <v>-10</v>
      </c>
      <c r="S197" t="s">
        <v>119</v>
      </c>
      <c r="T197">
        <v>-7</v>
      </c>
      <c r="U197" t="s">
        <v>1733</v>
      </c>
      <c r="V197">
        <v>-3</v>
      </c>
      <c r="W197" t="s">
        <v>96</v>
      </c>
      <c r="X197">
        <v>-96</v>
      </c>
      <c r="Y197" t="s">
        <v>230</v>
      </c>
      <c r="Z197">
        <v>-2</v>
      </c>
      <c r="AA197" t="s">
        <v>314</v>
      </c>
      <c r="AB197">
        <v>-1</v>
      </c>
      <c r="AC197" t="s">
        <v>801</v>
      </c>
      <c r="AD197">
        <v>-20</v>
      </c>
      <c r="AE197" t="s">
        <v>799</v>
      </c>
      <c r="AF197">
        <v>-132</v>
      </c>
      <c r="AG197" t="s">
        <v>181</v>
      </c>
      <c r="AH197">
        <v>-24</v>
      </c>
      <c r="AI197" t="s">
        <v>863</v>
      </c>
      <c r="AJ197">
        <v>-4</v>
      </c>
      <c r="AK197" t="s">
        <v>43</v>
      </c>
      <c r="AL197">
        <v>-86</v>
      </c>
      <c r="AM197" t="s">
        <v>420</v>
      </c>
      <c r="AN197">
        <v>-54</v>
      </c>
    </row>
    <row r="198" spans="2:40" x14ac:dyDescent="0.25">
      <c r="B198" t="s">
        <v>350</v>
      </c>
      <c r="C198">
        <v>-12</v>
      </c>
      <c r="E198" t="s">
        <v>631</v>
      </c>
      <c r="F198">
        <v>-70</v>
      </c>
      <c r="H198" t="s">
        <v>316</v>
      </c>
      <c r="I198">
        <v>-5</v>
      </c>
      <c r="J198" t="s">
        <v>669</v>
      </c>
      <c r="K198">
        <v>-11</v>
      </c>
      <c r="L198" t="s">
        <v>729</v>
      </c>
      <c r="M198">
        <v>-3</v>
      </c>
      <c r="O198" t="s">
        <v>420</v>
      </c>
      <c r="P198">
        <v>-292</v>
      </c>
      <c r="Q198" t="s">
        <v>337</v>
      </c>
      <c r="R198">
        <v>-2</v>
      </c>
      <c r="S198" t="s">
        <v>117</v>
      </c>
      <c r="T198">
        <v>-6</v>
      </c>
      <c r="U198" t="s">
        <v>191</v>
      </c>
      <c r="V198">
        <v>-16</v>
      </c>
      <c r="W198" t="s">
        <v>1202</v>
      </c>
      <c r="X198">
        <v>-2</v>
      </c>
      <c r="Y198" t="s">
        <v>217</v>
      </c>
      <c r="Z198">
        <v>-4</v>
      </c>
      <c r="AA198" t="s">
        <v>118</v>
      </c>
      <c r="AB198">
        <v>-2</v>
      </c>
      <c r="AC198" t="s">
        <v>802</v>
      </c>
      <c r="AD198">
        <v>-20</v>
      </c>
      <c r="AE198" t="s">
        <v>454</v>
      </c>
      <c r="AF198">
        <v>-58</v>
      </c>
      <c r="AG198" t="s">
        <v>185</v>
      </c>
      <c r="AH198">
        <v>-12</v>
      </c>
      <c r="AI198" t="s">
        <v>2147</v>
      </c>
      <c r="AJ198">
        <v>-2</v>
      </c>
      <c r="AK198" t="s">
        <v>768</v>
      </c>
      <c r="AL198">
        <v>-1</v>
      </c>
      <c r="AM198" t="s">
        <v>575</v>
      </c>
      <c r="AN198">
        <v>-299.8</v>
      </c>
    </row>
    <row r="199" spans="2:40" x14ac:dyDescent="0.25">
      <c r="B199" t="s">
        <v>454</v>
      </c>
      <c r="C199">
        <v>-336</v>
      </c>
      <c r="E199" t="s">
        <v>444</v>
      </c>
      <c r="F199">
        <v>-10.125</v>
      </c>
      <c r="H199" t="s">
        <v>606</v>
      </c>
      <c r="I199">
        <v>-20.299999999999997</v>
      </c>
      <c r="J199" t="s">
        <v>670</v>
      </c>
      <c r="K199">
        <v>-1</v>
      </c>
      <c r="L199" t="s">
        <v>1171</v>
      </c>
      <c r="M199">
        <v>-24</v>
      </c>
      <c r="O199" t="s">
        <v>575</v>
      </c>
      <c r="P199">
        <v>-123.4</v>
      </c>
      <c r="Q199" t="s">
        <v>121</v>
      </c>
      <c r="R199">
        <v>-7</v>
      </c>
      <c r="S199" t="s">
        <v>337</v>
      </c>
      <c r="T199">
        <v>-3</v>
      </c>
      <c r="U199" t="s">
        <v>192</v>
      </c>
      <c r="V199">
        <v>-8</v>
      </c>
      <c r="W199" t="s">
        <v>303</v>
      </c>
      <c r="X199">
        <v>-2</v>
      </c>
      <c r="Y199" t="s">
        <v>17</v>
      </c>
      <c r="Z199">
        <v>-4</v>
      </c>
      <c r="AA199" t="s">
        <v>315</v>
      </c>
      <c r="AB199">
        <v>-2</v>
      </c>
      <c r="AC199" t="s">
        <v>297</v>
      </c>
      <c r="AD199">
        <v>-20</v>
      </c>
      <c r="AE199" t="s">
        <v>219</v>
      </c>
      <c r="AF199">
        <v>-4</v>
      </c>
      <c r="AG199" t="s">
        <v>350</v>
      </c>
      <c r="AH199">
        <v>-116</v>
      </c>
      <c r="AI199" t="s">
        <v>2200</v>
      </c>
      <c r="AJ199">
        <v>-1</v>
      </c>
      <c r="AK199" t="s">
        <v>2202</v>
      </c>
      <c r="AL199">
        <v>-1</v>
      </c>
      <c r="AM199" t="s">
        <v>276</v>
      </c>
      <c r="AN199">
        <v>-28</v>
      </c>
    </row>
    <row r="200" spans="2:40" x14ac:dyDescent="0.25">
      <c r="B200" t="s">
        <v>219</v>
      </c>
      <c r="C200">
        <v>-8</v>
      </c>
      <c r="E200" t="s">
        <v>633</v>
      </c>
      <c r="F200">
        <v>-10.000000000000004</v>
      </c>
      <c r="H200" t="s">
        <v>274</v>
      </c>
      <c r="I200">
        <v>-24</v>
      </c>
      <c r="J200" t="s">
        <v>668</v>
      </c>
      <c r="K200">
        <v>-4</v>
      </c>
      <c r="L200" t="s">
        <v>1172</v>
      </c>
      <c r="M200">
        <v>-1</v>
      </c>
      <c r="O200" t="s">
        <v>253</v>
      </c>
      <c r="P200">
        <v>-11</v>
      </c>
      <c r="Q200" t="s">
        <v>321</v>
      </c>
      <c r="R200">
        <v>-10</v>
      </c>
      <c r="S200" t="s">
        <v>121</v>
      </c>
      <c r="T200">
        <v>-6</v>
      </c>
      <c r="U200" t="s">
        <v>348</v>
      </c>
      <c r="V200">
        <v>-1</v>
      </c>
      <c r="W200" t="s">
        <v>304</v>
      </c>
      <c r="X200">
        <v>-8</v>
      </c>
      <c r="Y200" t="s">
        <v>52</v>
      </c>
      <c r="Z200">
        <v>-1</v>
      </c>
      <c r="AA200" t="s">
        <v>1672</v>
      </c>
      <c r="AB200">
        <v>-1</v>
      </c>
      <c r="AC200" t="s">
        <v>1572</v>
      </c>
      <c r="AD200">
        <v>-20</v>
      </c>
      <c r="AE200" t="s">
        <v>97</v>
      </c>
      <c r="AF200">
        <v>-170</v>
      </c>
      <c r="AG200" t="s">
        <v>799</v>
      </c>
      <c r="AH200">
        <v>-128</v>
      </c>
      <c r="AI200" t="s">
        <v>750</v>
      </c>
      <c r="AJ200">
        <v>-2</v>
      </c>
      <c r="AK200" t="s">
        <v>1994</v>
      </c>
      <c r="AL200">
        <v>-5</v>
      </c>
      <c r="AM200" t="s">
        <v>253</v>
      </c>
      <c r="AN200">
        <v>-6</v>
      </c>
    </row>
    <row r="201" spans="2:40" x14ac:dyDescent="0.25">
      <c r="B201" t="s">
        <v>97</v>
      </c>
      <c r="C201">
        <v>-210</v>
      </c>
      <c r="E201" t="s">
        <v>364</v>
      </c>
      <c r="F201">
        <v>-1</v>
      </c>
      <c r="H201" t="s">
        <v>293</v>
      </c>
      <c r="I201">
        <v>-4</v>
      </c>
      <c r="J201" t="s">
        <v>444</v>
      </c>
      <c r="K201">
        <v>-6.0002000000000004</v>
      </c>
      <c r="L201" t="s">
        <v>183</v>
      </c>
      <c r="M201">
        <v>-2</v>
      </c>
      <c r="O201" t="s">
        <v>203</v>
      </c>
      <c r="P201">
        <v>-6</v>
      </c>
      <c r="Q201" t="s">
        <v>990</v>
      </c>
      <c r="R201">
        <v>-24</v>
      </c>
      <c r="S201" t="s">
        <v>321</v>
      </c>
      <c r="T201">
        <v>-6</v>
      </c>
      <c r="U201" t="s">
        <v>182</v>
      </c>
      <c r="V201">
        <v>-16</v>
      </c>
      <c r="W201" t="s">
        <v>305</v>
      </c>
      <c r="X201">
        <v>-8</v>
      </c>
      <c r="Y201" t="s">
        <v>1906</v>
      </c>
      <c r="Z201">
        <v>-20</v>
      </c>
      <c r="AA201" t="s">
        <v>316</v>
      </c>
      <c r="AB201">
        <v>-1</v>
      </c>
      <c r="AC201" t="s">
        <v>299</v>
      </c>
      <c r="AD201">
        <v>-20</v>
      </c>
      <c r="AE201" t="s">
        <v>95</v>
      </c>
      <c r="AF201">
        <v>-382</v>
      </c>
      <c r="AG201" t="s">
        <v>454</v>
      </c>
      <c r="AH201">
        <v>-40</v>
      </c>
      <c r="AI201" t="s">
        <v>510</v>
      </c>
      <c r="AJ201">
        <v>-10</v>
      </c>
      <c r="AK201" t="s">
        <v>167</v>
      </c>
      <c r="AL201">
        <v>-30</v>
      </c>
      <c r="AM201" t="s">
        <v>203</v>
      </c>
      <c r="AN201">
        <v>-13</v>
      </c>
    </row>
    <row r="202" spans="2:40" x14ac:dyDescent="0.25">
      <c r="B202" t="s">
        <v>95</v>
      </c>
      <c r="C202">
        <v>-437</v>
      </c>
      <c r="E202" t="s">
        <v>453</v>
      </c>
      <c r="F202">
        <v>-78</v>
      </c>
      <c r="H202" t="s">
        <v>294</v>
      </c>
      <c r="I202">
        <v>-12</v>
      </c>
      <c r="J202" t="s">
        <v>633</v>
      </c>
      <c r="K202">
        <v>-3</v>
      </c>
      <c r="L202" t="s">
        <v>1173</v>
      </c>
      <c r="M202">
        <v>-18</v>
      </c>
      <c r="O202" t="s">
        <v>267</v>
      </c>
      <c r="P202">
        <v>-188</v>
      </c>
      <c r="Q202" t="s">
        <v>295</v>
      </c>
      <c r="R202">
        <v>-20</v>
      </c>
      <c r="S202" t="s">
        <v>295</v>
      </c>
      <c r="T202">
        <v>-22</v>
      </c>
      <c r="U202" t="s">
        <v>181</v>
      </c>
      <c r="V202">
        <v>-16</v>
      </c>
      <c r="W202" t="s">
        <v>116</v>
      </c>
      <c r="X202">
        <v>-8</v>
      </c>
      <c r="Y202" t="s">
        <v>229</v>
      </c>
      <c r="Z202">
        <v>-25</v>
      </c>
      <c r="AA202" t="s">
        <v>274</v>
      </c>
      <c r="AB202">
        <v>-2</v>
      </c>
      <c r="AC202" t="s">
        <v>1573</v>
      </c>
      <c r="AD202">
        <v>-20</v>
      </c>
      <c r="AE202" t="s">
        <v>96</v>
      </c>
      <c r="AF202">
        <v>-161</v>
      </c>
      <c r="AG202" t="s">
        <v>219</v>
      </c>
      <c r="AH202">
        <v>-9</v>
      </c>
      <c r="AI202" t="s">
        <v>171</v>
      </c>
      <c r="AJ202">
        <v>-10</v>
      </c>
      <c r="AK202" t="s">
        <v>562</v>
      </c>
      <c r="AL202">
        <v>-5</v>
      </c>
      <c r="AM202" t="s">
        <v>267</v>
      </c>
      <c r="AN202">
        <v>-244</v>
      </c>
    </row>
    <row r="203" spans="2:40" x14ac:dyDescent="0.25">
      <c r="B203" t="s">
        <v>96</v>
      </c>
      <c r="C203">
        <v>-210</v>
      </c>
      <c r="E203" t="s">
        <v>807</v>
      </c>
      <c r="F203">
        <v>-208</v>
      </c>
      <c r="H203" t="s">
        <v>868</v>
      </c>
      <c r="I203">
        <v>-1</v>
      </c>
      <c r="J203" t="s">
        <v>1008</v>
      </c>
      <c r="K203">
        <v>-3</v>
      </c>
      <c r="L203" t="s">
        <v>1174</v>
      </c>
      <c r="M203">
        <v>-2</v>
      </c>
      <c r="O203" t="s">
        <v>265</v>
      </c>
      <c r="P203">
        <v>-46</v>
      </c>
      <c r="Q203" t="s">
        <v>296</v>
      </c>
      <c r="R203">
        <v>-20</v>
      </c>
      <c r="S203" t="s">
        <v>296</v>
      </c>
      <c r="T203">
        <v>-12</v>
      </c>
      <c r="U203" t="s">
        <v>185</v>
      </c>
      <c r="V203">
        <v>-8</v>
      </c>
      <c r="W203" t="s">
        <v>119</v>
      </c>
      <c r="X203">
        <v>-2</v>
      </c>
      <c r="Y203" t="s">
        <v>278</v>
      </c>
      <c r="Z203">
        <v>-30</v>
      </c>
      <c r="AA203" t="s">
        <v>293</v>
      </c>
      <c r="AB203">
        <v>-1</v>
      </c>
      <c r="AC203" t="s">
        <v>448</v>
      </c>
      <c r="AD203">
        <v>-80</v>
      </c>
      <c r="AE203" t="s">
        <v>1202</v>
      </c>
      <c r="AF203">
        <v>-4</v>
      </c>
      <c r="AG203" t="s">
        <v>97</v>
      </c>
      <c r="AH203">
        <v>-122</v>
      </c>
      <c r="AI203" t="s">
        <v>91</v>
      </c>
      <c r="AJ203">
        <v>-30</v>
      </c>
      <c r="AK203" t="s">
        <v>1898</v>
      </c>
      <c r="AL203">
        <v>-3</v>
      </c>
      <c r="AM203" t="s">
        <v>265</v>
      </c>
      <c r="AN203">
        <v>-36</v>
      </c>
    </row>
    <row r="204" spans="2:40" x14ac:dyDescent="0.25">
      <c r="B204" t="s">
        <v>534</v>
      </c>
      <c r="C204">
        <v>-4</v>
      </c>
      <c r="E204" t="s">
        <v>632</v>
      </c>
      <c r="F204">
        <v>-9.9999999999999947</v>
      </c>
      <c r="H204" t="s">
        <v>226</v>
      </c>
      <c r="I204">
        <v>-8</v>
      </c>
      <c r="J204" t="s">
        <v>736</v>
      </c>
      <c r="K204">
        <v>-1</v>
      </c>
      <c r="L204" t="s">
        <v>1175</v>
      </c>
      <c r="M204">
        <v>-1</v>
      </c>
      <c r="O204" t="s">
        <v>266</v>
      </c>
      <c r="P204">
        <v>-188</v>
      </c>
      <c r="Q204" t="s">
        <v>800</v>
      </c>
      <c r="R204">
        <v>-20</v>
      </c>
      <c r="S204" t="s">
        <v>800</v>
      </c>
      <c r="T204">
        <v>-12</v>
      </c>
      <c r="U204" t="s">
        <v>350</v>
      </c>
      <c r="V204">
        <v>-4</v>
      </c>
      <c r="W204" t="s">
        <v>117</v>
      </c>
      <c r="X204">
        <v>-2</v>
      </c>
      <c r="Y204" t="s">
        <v>244</v>
      </c>
      <c r="Z204">
        <v>-455</v>
      </c>
      <c r="AA204" t="s">
        <v>294</v>
      </c>
      <c r="AB204">
        <v>-1</v>
      </c>
      <c r="AC204" t="s">
        <v>120</v>
      </c>
      <c r="AD204">
        <v>-5</v>
      </c>
      <c r="AE204" t="s">
        <v>303</v>
      </c>
      <c r="AF204">
        <v>-14</v>
      </c>
      <c r="AG204" t="s">
        <v>95</v>
      </c>
      <c r="AH204">
        <v>-304</v>
      </c>
      <c r="AI204" t="s">
        <v>241</v>
      </c>
      <c r="AJ204">
        <v>-3</v>
      </c>
      <c r="AK204" t="s">
        <v>560</v>
      </c>
      <c r="AL204">
        <v>-7</v>
      </c>
      <c r="AM204" t="s">
        <v>266</v>
      </c>
      <c r="AN204">
        <v>-244</v>
      </c>
    </row>
    <row r="205" spans="2:40" x14ac:dyDescent="0.25">
      <c r="B205" t="s">
        <v>535</v>
      </c>
      <c r="C205">
        <v>-2</v>
      </c>
      <c r="E205" t="s">
        <v>39</v>
      </c>
      <c r="F205">
        <v>-12</v>
      </c>
      <c r="H205" t="s">
        <v>869</v>
      </c>
      <c r="I205">
        <v>-11</v>
      </c>
      <c r="J205" t="s">
        <v>364</v>
      </c>
      <c r="K205">
        <v>-13</v>
      </c>
      <c r="L205" t="s">
        <v>5</v>
      </c>
      <c r="M205">
        <v>-2</v>
      </c>
      <c r="O205" t="s">
        <v>264</v>
      </c>
      <c r="P205">
        <v>-46</v>
      </c>
      <c r="Q205" t="s">
        <v>801</v>
      </c>
      <c r="R205">
        <v>-20</v>
      </c>
      <c r="S205" t="s">
        <v>801</v>
      </c>
      <c r="T205">
        <v>-12</v>
      </c>
      <c r="U205" t="s">
        <v>799</v>
      </c>
      <c r="V205">
        <v>-35</v>
      </c>
      <c r="W205" t="s">
        <v>337</v>
      </c>
      <c r="X205">
        <v>-4</v>
      </c>
      <c r="Y205" t="s">
        <v>243</v>
      </c>
      <c r="Z205">
        <v>-127</v>
      </c>
      <c r="AA205" t="s">
        <v>226</v>
      </c>
      <c r="AB205">
        <v>-2</v>
      </c>
      <c r="AC205" t="s">
        <v>308</v>
      </c>
      <c r="AD205">
        <v>-5</v>
      </c>
      <c r="AE205" t="s">
        <v>304</v>
      </c>
      <c r="AF205">
        <v>-14</v>
      </c>
      <c r="AG205" t="s">
        <v>96</v>
      </c>
      <c r="AH205">
        <v>-122</v>
      </c>
      <c r="AI205" t="s">
        <v>349</v>
      </c>
      <c r="AJ205">
        <v>-6.8000000000000016</v>
      </c>
      <c r="AK205" t="s">
        <v>2273</v>
      </c>
      <c r="AL205">
        <v>-3</v>
      </c>
      <c r="AM205" t="s">
        <v>264</v>
      </c>
      <c r="AN205">
        <v>-36</v>
      </c>
    </row>
    <row r="206" spans="2:40" x14ac:dyDescent="0.25">
      <c r="B206" t="s">
        <v>536</v>
      </c>
      <c r="C206">
        <v>-2</v>
      </c>
      <c r="E206" t="s">
        <v>808</v>
      </c>
      <c r="F206">
        <v>-1</v>
      </c>
      <c r="H206" t="s">
        <v>143</v>
      </c>
      <c r="I206">
        <v>-1</v>
      </c>
      <c r="J206" t="s">
        <v>1009</v>
      </c>
      <c r="K206">
        <v>-52</v>
      </c>
      <c r="L206" t="s">
        <v>1176</v>
      </c>
      <c r="M206">
        <v>-3</v>
      </c>
      <c r="O206" t="s">
        <v>1410</v>
      </c>
      <c r="P206">
        <v>-3</v>
      </c>
      <c r="Q206" t="s">
        <v>802</v>
      </c>
      <c r="R206">
        <v>-20</v>
      </c>
      <c r="S206" t="s">
        <v>802</v>
      </c>
      <c r="T206">
        <v>-12</v>
      </c>
      <c r="U206" t="s">
        <v>454</v>
      </c>
      <c r="V206">
        <v>-50</v>
      </c>
      <c r="W206" t="s">
        <v>121</v>
      </c>
      <c r="X206">
        <v>-5</v>
      </c>
      <c r="Y206" t="s">
        <v>18</v>
      </c>
      <c r="Z206">
        <v>-1</v>
      </c>
      <c r="AA206" t="s">
        <v>869</v>
      </c>
      <c r="AB206">
        <v>-1</v>
      </c>
      <c r="AC206" t="s">
        <v>309</v>
      </c>
      <c r="AD206">
        <v>-5</v>
      </c>
      <c r="AE206" t="s">
        <v>2061</v>
      </c>
      <c r="AF206">
        <v>-31</v>
      </c>
      <c r="AG206" t="s">
        <v>1202</v>
      </c>
      <c r="AH206">
        <v>-9</v>
      </c>
      <c r="AI206" t="s">
        <v>41</v>
      </c>
      <c r="AJ206">
        <v>-31</v>
      </c>
      <c r="AK206" t="s">
        <v>2274</v>
      </c>
      <c r="AL206">
        <v>-15</v>
      </c>
      <c r="AM206" t="s">
        <v>2356</v>
      </c>
      <c r="AN206">
        <v>-6</v>
      </c>
    </row>
    <row r="207" spans="2:40" x14ac:dyDescent="0.25">
      <c r="B207" t="s">
        <v>303</v>
      </c>
      <c r="C207">
        <v>-16</v>
      </c>
      <c r="E207" t="s">
        <v>458</v>
      </c>
      <c r="F207">
        <v>-22</v>
      </c>
      <c r="H207" t="s">
        <v>444</v>
      </c>
      <c r="I207">
        <v>-8</v>
      </c>
      <c r="J207" t="s">
        <v>632</v>
      </c>
      <c r="K207">
        <v>-6</v>
      </c>
      <c r="L207" t="s">
        <v>1177</v>
      </c>
      <c r="M207">
        <v>-6</v>
      </c>
      <c r="O207" t="s">
        <v>1180</v>
      </c>
      <c r="P207">
        <v>-4</v>
      </c>
      <c r="Q207" t="s">
        <v>297</v>
      </c>
      <c r="R207">
        <v>-20</v>
      </c>
      <c r="S207" t="s">
        <v>297</v>
      </c>
      <c r="T207">
        <v>-12</v>
      </c>
      <c r="U207" t="s">
        <v>219</v>
      </c>
      <c r="V207">
        <v>-5</v>
      </c>
      <c r="W207" t="s">
        <v>321</v>
      </c>
      <c r="X207">
        <v>-2</v>
      </c>
      <c r="Y207" t="s">
        <v>602</v>
      </c>
      <c r="Z207">
        <v>-3</v>
      </c>
      <c r="AA207" t="s">
        <v>444</v>
      </c>
      <c r="AB207">
        <v>-3</v>
      </c>
      <c r="AC207" t="s">
        <v>310</v>
      </c>
      <c r="AD207">
        <v>-19</v>
      </c>
      <c r="AE207" t="s">
        <v>116</v>
      </c>
      <c r="AF207">
        <v>-28</v>
      </c>
      <c r="AG207" t="s">
        <v>2151</v>
      </c>
      <c r="AH207">
        <v>-8</v>
      </c>
      <c r="AI207" t="s">
        <v>980</v>
      </c>
      <c r="AJ207">
        <v>-18</v>
      </c>
      <c r="AK207" t="s">
        <v>191</v>
      </c>
      <c r="AL207">
        <v>-6</v>
      </c>
      <c r="AM207" t="s">
        <v>1180</v>
      </c>
      <c r="AN207">
        <v>-24</v>
      </c>
    </row>
    <row r="208" spans="2:40" x14ac:dyDescent="0.25">
      <c r="B208" t="s">
        <v>304</v>
      </c>
      <c r="C208">
        <v>-16</v>
      </c>
      <c r="E208" t="s">
        <v>459</v>
      </c>
      <c r="F208">
        <v>-11</v>
      </c>
      <c r="H208" t="s">
        <v>453</v>
      </c>
      <c r="I208">
        <v>-156</v>
      </c>
      <c r="J208" t="s">
        <v>39</v>
      </c>
      <c r="K208">
        <v>-6</v>
      </c>
      <c r="L208" t="s">
        <v>377</v>
      </c>
      <c r="M208">
        <v>-2</v>
      </c>
      <c r="O208" t="s">
        <v>248</v>
      </c>
      <c r="P208">
        <v>-97</v>
      </c>
      <c r="Q208" t="s">
        <v>352</v>
      </c>
      <c r="R208">
        <v>-20</v>
      </c>
      <c r="S208" t="s">
        <v>352</v>
      </c>
      <c r="T208">
        <v>-12</v>
      </c>
      <c r="U208" t="s">
        <v>97</v>
      </c>
      <c r="V208">
        <v>-70</v>
      </c>
      <c r="W208" t="s">
        <v>295</v>
      </c>
      <c r="X208">
        <v>-8</v>
      </c>
      <c r="Y208" t="s">
        <v>107</v>
      </c>
      <c r="Z208">
        <v>-6</v>
      </c>
      <c r="AA208" t="s">
        <v>633</v>
      </c>
      <c r="AB208">
        <v>-2</v>
      </c>
      <c r="AC208" t="s">
        <v>399</v>
      </c>
      <c r="AD208">
        <v>-6</v>
      </c>
      <c r="AE208" t="s">
        <v>119</v>
      </c>
      <c r="AF208">
        <v>-14</v>
      </c>
      <c r="AG208" t="s">
        <v>303</v>
      </c>
      <c r="AH208">
        <v>-20</v>
      </c>
      <c r="AI208" t="s">
        <v>1190</v>
      </c>
      <c r="AJ208">
        <v>-1</v>
      </c>
      <c r="AK208" t="s">
        <v>192</v>
      </c>
      <c r="AL208">
        <v>-12</v>
      </c>
      <c r="AM208" t="s">
        <v>248</v>
      </c>
      <c r="AN208">
        <v>-86</v>
      </c>
    </row>
    <row r="209" spans="2:40" x14ac:dyDescent="0.25">
      <c r="B209" t="s">
        <v>305</v>
      </c>
      <c r="C209">
        <v>-64</v>
      </c>
      <c r="E209" t="s">
        <v>259</v>
      </c>
      <c r="F209">
        <v>-16</v>
      </c>
      <c r="H209" t="s">
        <v>458</v>
      </c>
      <c r="I209">
        <v>-18</v>
      </c>
      <c r="J209" t="s">
        <v>1010</v>
      </c>
      <c r="K209">
        <v>-2</v>
      </c>
      <c r="L209" t="s">
        <v>495</v>
      </c>
      <c r="M209">
        <v>-17</v>
      </c>
      <c r="O209" t="s">
        <v>1181</v>
      </c>
      <c r="P209">
        <v>-60</v>
      </c>
      <c r="Q209" t="s">
        <v>1572</v>
      </c>
      <c r="R209">
        <v>-20</v>
      </c>
      <c r="S209" t="s">
        <v>1572</v>
      </c>
      <c r="T209">
        <v>-12</v>
      </c>
      <c r="U209" t="s">
        <v>95</v>
      </c>
      <c r="V209">
        <v>-144</v>
      </c>
      <c r="W209" t="s">
        <v>296</v>
      </c>
      <c r="X209">
        <v>-8</v>
      </c>
      <c r="Y209" t="s">
        <v>1442</v>
      </c>
      <c r="Z209">
        <v>-3</v>
      </c>
      <c r="AA209" t="s">
        <v>364</v>
      </c>
      <c r="AB209">
        <v>-2</v>
      </c>
      <c r="AC209" t="s">
        <v>311</v>
      </c>
      <c r="AD209">
        <v>-14</v>
      </c>
      <c r="AE209" t="s">
        <v>117</v>
      </c>
      <c r="AF209">
        <v>-14</v>
      </c>
      <c r="AG209" t="s">
        <v>304</v>
      </c>
      <c r="AH209">
        <v>-20</v>
      </c>
      <c r="AI209" t="s">
        <v>1191</v>
      </c>
      <c r="AJ209">
        <v>-6</v>
      </c>
      <c r="AK209" t="s">
        <v>90</v>
      </c>
      <c r="AL209">
        <v>-24</v>
      </c>
      <c r="AM209" t="s">
        <v>257</v>
      </c>
      <c r="AN209">
        <v>-11</v>
      </c>
    </row>
    <row r="210" spans="2:40" x14ac:dyDescent="0.25">
      <c r="B210" t="s">
        <v>116</v>
      </c>
      <c r="C210">
        <v>-64</v>
      </c>
      <c r="E210" t="s">
        <v>613</v>
      </c>
      <c r="F210">
        <v>-132</v>
      </c>
      <c r="H210" t="s">
        <v>459</v>
      </c>
      <c r="I210">
        <v>-9</v>
      </c>
      <c r="J210" t="s">
        <v>1011</v>
      </c>
      <c r="K210">
        <v>-1</v>
      </c>
      <c r="L210" t="s">
        <v>1178</v>
      </c>
      <c r="M210">
        <v>-6</v>
      </c>
      <c r="O210" t="s">
        <v>257</v>
      </c>
      <c r="P210">
        <v>-7</v>
      </c>
      <c r="Q210" t="s">
        <v>299</v>
      </c>
      <c r="R210">
        <v>-20</v>
      </c>
      <c r="S210" t="s">
        <v>299</v>
      </c>
      <c r="T210">
        <v>-12</v>
      </c>
      <c r="U210" t="s">
        <v>96</v>
      </c>
      <c r="V210">
        <v>-75</v>
      </c>
      <c r="W210" t="s">
        <v>800</v>
      </c>
      <c r="X210">
        <v>-8</v>
      </c>
      <c r="Y210" t="s">
        <v>746</v>
      </c>
      <c r="Z210">
        <v>-1</v>
      </c>
      <c r="AA210" t="s">
        <v>453</v>
      </c>
      <c r="AB210">
        <v>-20</v>
      </c>
      <c r="AC210" t="s">
        <v>996</v>
      </c>
      <c r="AD210">
        <v>-2</v>
      </c>
      <c r="AE210" t="s">
        <v>337</v>
      </c>
      <c r="AF210">
        <v>-6</v>
      </c>
      <c r="AG210" t="s">
        <v>305</v>
      </c>
      <c r="AH210">
        <v>-41</v>
      </c>
      <c r="AI210" t="s">
        <v>981</v>
      </c>
      <c r="AJ210">
        <v>-6</v>
      </c>
      <c r="AK210" t="s">
        <v>348</v>
      </c>
      <c r="AL210">
        <v>-2</v>
      </c>
      <c r="AM210" t="s">
        <v>153</v>
      </c>
      <c r="AN210">
        <v>-1</v>
      </c>
    </row>
    <row r="211" spans="2:40" x14ac:dyDescent="0.25">
      <c r="B211" t="s">
        <v>119</v>
      </c>
      <c r="C211">
        <v>-17</v>
      </c>
      <c r="E211" t="s">
        <v>142</v>
      </c>
      <c r="F211">
        <v>-16</v>
      </c>
      <c r="H211" t="s">
        <v>259</v>
      </c>
      <c r="I211">
        <v>-12</v>
      </c>
      <c r="J211" t="s">
        <v>259</v>
      </c>
      <c r="K211">
        <v>-3</v>
      </c>
      <c r="L211" t="s">
        <v>1179</v>
      </c>
      <c r="M211">
        <v>-2</v>
      </c>
      <c r="O211" t="s">
        <v>153</v>
      </c>
      <c r="P211">
        <v>-1</v>
      </c>
      <c r="Q211" t="s">
        <v>1573</v>
      </c>
      <c r="R211">
        <v>-20</v>
      </c>
      <c r="S211" t="s">
        <v>1573</v>
      </c>
      <c r="T211">
        <v>-12</v>
      </c>
      <c r="U211" t="s">
        <v>1202</v>
      </c>
      <c r="V211">
        <v>-2</v>
      </c>
      <c r="W211" t="s">
        <v>801</v>
      </c>
      <c r="X211">
        <v>-8</v>
      </c>
      <c r="Y211" t="s">
        <v>465</v>
      </c>
      <c r="Z211">
        <v>-30</v>
      </c>
      <c r="AA211" t="s">
        <v>39</v>
      </c>
      <c r="AB211">
        <v>-1</v>
      </c>
      <c r="AC211" t="s">
        <v>312</v>
      </c>
      <c r="AD211">
        <v>-5</v>
      </c>
      <c r="AE211" t="s">
        <v>121</v>
      </c>
      <c r="AF211">
        <v>-12</v>
      </c>
      <c r="AG211" t="s">
        <v>116</v>
      </c>
      <c r="AH211">
        <v>-41</v>
      </c>
      <c r="AI211" t="s">
        <v>501</v>
      </c>
      <c r="AJ211">
        <v>-18.5</v>
      </c>
      <c r="AK211" t="s">
        <v>1899</v>
      </c>
      <c r="AL211">
        <v>-1</v>
      </c>
      <c r="AM211" t="s">
        <v>2357</v>
      </c>
      <c r="AN211">
        <v>-1</v>
      </c>
    </row>
    <row r="212" spans="2:40" x14ac:dyDescent="0.25">
      <c r="B212" t="s">
        <v>117</v>
      </c>
      <c r="C212">
        <v>-17</v>
      </c>
      <c r="E212" t="s">
        <v>398</v>
      </c>
      <c r="F212">
        <v>-10</v>
      </c>
      <c r="H212" t="s">
        <v>613</v>
      </c>
      <c r="I212">
        <v>-200</v>
      </c>
      <c r="J212" t="s">
        <v>142</v>
      </c>
      <c r="K212">
        <v>-1</v>
      </c>
      <c r="L212" t="s">
        <v>277</v>
      </c>
      <c r="M212">
        <v>-161</v>
      </c>
      <c r="O212" t="s">
        <v>502</v>
      </c>
      <c r="P212">
        <v>-0.48</v>
      </c>
      <c r="Q212" t="s">
        <v>448</v>
      </c>
      <c r="R212">
        <v>-50</v>
      </c>
      <c r="S212" t="s">
        <v>1662</v>
      </c>
      <c r="T212">
        <v>-5</v>
      </c>
      <c r="U212" t="s">
        <v>303</v>
      </c>
      <c r="V212">
        <v>-8</v>
      </c>
      <c r="W212" t="s">
        <v>802</v>
      </c>
      <c r="X212">
        <v>-8</v>
      </c>
      <c r="Y212" t="s">
        <v>275</v>
      </c>
      <c r="Z212">
        <v>-5</v>
      </c>
      <c r="AA212" t="s">
        <v>1949</v>
      </c>
      <c r="AB212">
        <v>-1</v>
      </c>
      <c r="AC212" t="s">
        <v>313</v>
      </c>
      <c r="AD212">
        <v>-5</v>
      </c>
      <c r="AE212" t="s">
        <v>2062</v>
      </c>
      <c r="AF212">
        <v>-148</v>
      </c>
      <c r="AG212" t="s">
        <v>119</v>
      </c>
      <c r="AH212">
        <v>-6</v>
      </c>
      <c r="AI212" t="s">
        <v>6</v>
      </c>
      <c r="AJ212">
        <v>-9</v>
      </c>
      <c r="AK212" t="s">
        <v>182</v>
      </c>
      <c r="AL212">
        <v>-14</v>
      </c>
      <c r="AM212" t="s">
        <v>2358</v>
      </c>
      <c r="AN212">
        <v>-1</v>
      </c>
    </row>
    <row r="213" spans="2:40" x14ac:dyDescent="0.25">
      <c r="B213" t="s">
        <v>337</v>
      </c>
      <c r="C213">
        <v>-7</v>
      </c>
      <c r="E213" t="s">
        <v>626</v>
      </c>
      <c r="F213">
        <v>-475</v>
      </c>
      <c r="H213" t="s">
        <v>142</v>
      </c>
      <c r="I213">
        <v>-14</v>
      </c>
      <c r="J213" t="s">
        <v>397</v>
      </c>
      <c r="K213">
        <v>-6</v>
      </c>
      <c r="L213" t="s">
        <v>234</v>
      </c>
      <c r="M213">
        <v>-2</v>
      </c>
      <c r="O213" t="s">
        <v>199</v>
      </c>
      <c r="P213">
        <v>-6</v>
      </c>
      <c r="Q213" t="s">
        <v>1204</v>
      </c>
      <c r="R213">
        <v>-6</v>
      </c>
      <c r="S213" t="s">
        <v>1663</v>
      </c>
      <c r="T213">
        <v>-5</v>
      </c>
      <c r="U213" t="s">
        <v>304</v>
      </c>
      <c r="V213">
        <v>-8</v>
      </c>
      <c r="W213" t="s">
        <v>297</v>
      </c>
      <c r="X213">
        <v>-8</v>
      </c>
      <c r="Y213" t="s">
        <v>302</v>
      </c>
      <c r="Z213">
        <v>-8</v>
      </c>
      <c r="AA213" t="s">
        <v>259</v>
      </c>
      <c r="AB213">
        <v>-1</v>
      </c>
      <c r="AC213" t="s">
        <v>118</v>
      </c>
      <c r="AD213">
        <v>-12</v>
      </c>
      <c r="AE213" t="s">
        <v>321</v>
      </c>
      <c r="AF213">
        <v>-14</v>
      </c>
      <c r="AG213" t="s">
        <v>117</v>
      </c>
      <c r="AH213">
        <v>-18</v>
      </c>
      <c r="AI213" t="s">
        <v>2201</v>
      </c>
      <c r="AJ213">
        <v>-3</v>
      </c>
      <c r="AK213" t="s">
        <v>181</v>
      </c>
      <c r="AL213">
        <v>-14</v>
      </c>
      <c r="AM213" t="s">
        <v>502</v>
      </c>
      <c r="AN213">
        <v>-0.1</v>
      </c>
    </row>
    <row r="214" spans="2:40" x14ac:dyDescent="0.25">
      <c r="B214" t="s">
        <v>121</v>
      </c>
      <c r="C214">
        <v>-15</v>
      </c>
      <c r="E214" t="s">
        <v>361</v>
      </c>
      <c r="F214">
        <v>-120</v>
      </c>
      <c r="H214" t="s">
        <v>398</v>
      </c>
      <c r="I214">
        <v>-32</v>
      </c>
      <c r="J214" t="s">
        <v>1012</v>
      </c>
      <c r="K214">
        <v>-100</v>
      </c>
      <c r="L214" t="s">
        <v>420</v>
      </c>
      <c r="M214">
        <v>-99</v>
      </c>
      <c r="O214" t="s">
        <v>1411</v>
      </c>
      <c r="P214">
        <v>-7</v>
      </c>
      <c r="Q214" t="s">
        <v>120</v>
      </c>
      <c r="R214">
        <v>-5</v>
      </c>
      <c r="S214" t="s">
        <v>1664</v>
      </c>
      <c r="T214">
        <v>-5</v>
      </c>
      <c r="U214" t="s">
        <v>305</v>
      </c>
      <c r="V214">
        <v>-15</v>
      </c>
      <c r="W214" t="s">
        <v>352</v>
      </c>
      <c r="X214">
        <v>-8</v>
      </c>
      <c r="Y214" t="s">
        <v>1907</v>
      </c>
      <c r="Z214">
        <v>-13.999999999999995</v>
      </c>
      <c r="AA214" t="s">
        <v>613</v>
      </c>
      <c r="AB214">
        <v>-4</v>
      </c>
      <c r="AC214" t="s">
        <v>315</v>
      </c>
      <c r="AD214">
        <v>-5</v>
      </c>
      <c r="AE214" t="s">
        <v>295</v>
      </c>
      <c r="AF214">
        <v>-28</v>
      </c>
      <c r="AG214" t="s">
        <v>337</v>
      </c>
      <c r="AH214">
        <v>-5</v>
      </c>
      <c r="AI214" t="s">
        <v>10</v>
      </c>
      <c r="AJ214">
        <v>-10</v>
      </c>
      <c r="AK214" t="s">
        <v>185</v>
      </c>
      <c r="AL214">
        <v>-7</v>
      </c>
      <c r="AM214" t="s">
        <v>2359</v>
      </c>
      <c r="AN214">
        <v>-4</v>
      </c>
    </row>
    <row r="215" spans="2:40" x14ac:dyDescent="0.25">
      <c r="B215" t="s">
        <v>537</v>
      </c>
      <c r="C215">
        <v>-2</v>
      </c>
      <c r="E215" t="s">
        <v>360</v>
      </c>
      <c r="F215">
        <v>-196</v>
      </c>
      <c r="H215" t="s">
        <v>626</v>
      </c>
      <c r="I215">
        <v>-144.9999</v>
      </c>
      <c r="J215" t="s">
        <v>1013</v>
      </c>
      <c r="K215">
        <v>-4</v>
      </c>
      <c r="L215" t="s">
        <v>253</v>
      </c>
      <c r="M215">
        <v>-11</v>
      </c>
      <c r="O215" t="s">
        <v>1182</v>
      </c>
      <c r="P215">
        <v>-3</v>
      </c>
      <c r="Q215" t="s">
        <v>993</v>
      </c>
      <c r="R215">
        <v>-6</v>
      </c>
      <c r="S215" t="s">
        <v>1665</v>
      </c>
      <c r="T215">
        <v>-5</v>
      </c>
      <c r="U215" t="s">
        <v>116</v>
      </c>
      <c r="V215">
        <v>-15</v>
      </c>
      <c r="W215" t="s">
        <v>1572</v>
      </c>
      <c r="X215">
        <v>-8</v>
      </c>
      <c r="Y215" t="s">
        <v>138</v>
      </c>
      <c r="Z215">
        <v>-3</v>
      </c>
      <c r="AA215" t="s">
        <v>1950</v>
      </c>
      <c r="AB215">
        <v>-3</v>
      </c>
      <c r="AC215" t="s">
        <v>1672</v>
      </c>
      <c r="AD215">
        <v>-5</v>
      </c>
      <c r="AE215" t="s">
        <v>296</v>
      </c>
      <c r="AF215">
        <v>-28</v>
      </c>
      <c r="AG215" t="s">
        <v>121</v>
      </c>
      <c r="AH215">
        <v>-14</v>
      </c>
      <c r="AI215" t="s">
        <v>11</v>
      </c>
      <c r="AJ215">
        <v>-69</v>
      </c>
      <c r="AK215" t="s">
        <v>350</v>
      </c>
      <c r="AL215">
        <v>-105</v>
      </c>
      <c r="AM215" t="s">
        <v>199</v>
      </c>
      <c r="AN215">
        <v>-3</v>
      </c>
    </row>
    <row r="216" spans="2:40" x14ac:dyDescent="0.25">
      <c r="B216" t="s">
        <v>538</v>
      </c>
      <c r="C216">
        <v>-2</v>
      </c>
      <c r="E216" t="s">
        <v>809</v>
      </c>
      <c r="F216">
        <v>-5</v>
      </c>
      <c r="H216" t="s">
        <v>361</v>
      </c>
      <c r="I216">
        <v>-300</v>
      </c>
      <c r="J216" t="s">
        <v>360</v>
      </c>
      <c r="K216">
        <v>-44</v>
      </c>
      <c r="L216" t="s">
        <v>203</v>
      </c>
      <c r="M216">
        <v>-7</v>
      </c>
      <c r="O216" t="s">
        <v>1412</v>
      </c>
      <c r="P216">
        <v>-50</v>
      </c>
      <c r="Q216" t="s">
        <v>308</v>
      </c>
      <c r="R216">
        <v>-5</v>
      </c>
      <c r="S216" t="s">
        <v>1666</v>
      </c>
      <c r="T216">
        <v>-5</v>
      </c>
      <c r="U216" t="s">
        <v>119</v>
      </c>
      <c r="V216">
        <v>-6</v>
      </c>
      <c r="W216" t="s">
        <v>299</v>
      </c>
      <c r="X216">
        <v>-8</v>
      </c>
      <c r="Y216" t="s">
        <v>134</v>
      </c>
      <c r="Z216">
        <v>-4</v>
      </c>
      <c r="AA216" t="s">
        <v>398</v>
      </c>
      <c r="AB216">
        <v>-2</v>
      </c>
      <c r="AC216" t="s">
        <v>2001</v>
      </c>
      <c r="AD216">
        <v>-6</v>
      </c>
      <c r="AE216" t="s">
        <v>800</v>
      </c>
      <c r="AF216">
        <v>-28</v>
      </c>
      <c r="AG216" t="s">
        <v>321</v>
      </c>
      <c r="AH216">
        <v>-18</v>
      </c>
      <c r="AI216" t="s">
        <v>43</v>
      </c>
      <c r="AJ216">
        <v>-100</v>
      </c>
      <c r="AK216" t="s">
        <v>799</v>
      </c>
      <c r="AL216">
        <v>-56</v>
      </c>
      <c r="AM216" t="s">
        <v>2360</v>
      </c>
      <c r="AN216">
        <v>-4</v>
      </c>
    </row>
    <row r="217" spans="2:40" x14ac:dyDescent="0.25">
      <c r="B217" t="s">
        <v>539</v>
      </c>
      <c r="C217">
        <v>-3</v>
      </c>
      <c r="E217" t="s">
        <v>351</v>
      </c>
      <c r="F217">
        <v>-16</v>
      </c>
      <c r="H217" t="s">
        <v>360</v>
      </c>
      <c r="I217">
        <v>-256</v>
      </c>
      <c r="J217" t="s">
        <v>655</v>
      </c>
      <c r="K217">
        <v>-24</v>
      </c>
      <c r="L217" t="s">
        <v>267</v>
      </c>
      <c r="M217">
        <v>-247</v>
      </c>
      <c r="O217" t="s">
        <v>1183</v>
      </c>
      <c r="P217">
        <v>-20</v>
      </c>
      <c r="Q217" t="s">
        <v>994</v>
      </c>
      <c r="R217">
        <v>-6</v>
      </c>
      <c r="S217" t="s">
        <v>1667</v>
      </c>
      <c r="T217">
        <v>-5</v>
      </c>
      <c r="U217" t="s">
        <v>117</v>
      </c>
      <c r="V217">
        <v>-4</v>
      </c>
      <c r="W217" t="s">
        <v>1573</v>
      </c>
      <c r="X217">
        <v>-8</v>
      </c>
      <c r="Y217" t="s">
        <v>745</v>
      </c>
      <c r="Z217">
        <v>-23</v>
      </c>
      <c r="AA217" t="s">
        <v>1951</v>
      </c>
      <c r="AB217">
        <v>-17</v>
      </c>
      <c r="AC217" t="s">
        <v>386</v>
      </c>
      <c r="AD217">
        <v>-44</v>
      </c>
      <c r="AE217" t="s">
        <v>801</v>
      </c>
      <c r="AF217">
        <v>-28</v>
      </c>
      <c r="AG217" t="s">
        <v>295</v>
      </c>
      <c r="AH217">
        <v>-20</v>
      </c>
      <c r="AI217" t="s">
        <v>768</v>
      </c>
      <c r="AJ217">
        <v>-2</v>
      </c>
      <c r="AK217" t="s">
        <v>454</v>
      </c>
      <c r="AL217">
        <v>-45</v>
      </c>
      <c r="AM217" t="s">
        <v>2361</v>
      </c>
      <c r="AN217">
        <v>-4</v>
      </c>
    </row>
    <row r="218" spans="2:40" x14ac:dyDescent="0.25">
      <c r="B218" t="s">
        <v>540</v>
      </c>
      <c r="C218">
        <v>-2</v>
      </c>
      <c r="E218" t="s">
        <v>230</v>
      </c>
      <c r="F218">
        <v>-31</v>
      </c>
      <c r="H218" t="s">
        <v>351</v>
      </c>
      <c r="I218">
        <v>-12</v>
      </c>
      <c r="J218" t="s">
        <v>351</v>
      </c>
      <c r="K218">
        <v>-3</v>
      </c>
      <c r="L218" t="s">
        <v>265</v>
      </c>
      <c r="M218">
        <v>-33</v>
      </c>
      <c r="O218" t="s">
        <v>1184</v>
      </c>
      <c r="P218">
        <v>-30</v>
      </c>
      <c r="Q218" t="s">
        <v>995</v>
      </c>
      <c r="R218">
        <v>-6</v>
      </c>
      <c r="S218" t="s">
        <v>1668</v>
      </c>
      <c r="T218">
        <v>-5</v>
      </c>
      <c r="U218" t="s">
        <v>337</v>
      </c>
      <c r="V218">
        <v>-4</v>
      </c>
      <c r="W218" t="s">
        <v>448</v>
      </c>
      <c r="X218">
        <v>-104</v>
      </c>
      <c r="Y218" t="s">
        <v>780</v>
      </c>
      <c r="Z218">
        <v>-2</v>
      </c>
      <c r="AA218" t="s">
        <v>1675</v>
      </c>
      <c r="AB218">
        <v>-1</v>
      </c>
      <c r="AC218" t="s">
        <v>606</v>
      </c>
      <c r="AD218">
        <v>-21.099999999999998</v>
      </c>
      <c r="AE218" t="s">
        <v>802</v>
      </c>
      <c r="AF218">
        <v>-28</v>
      </c>
      <c r="AG218" t="s">
        <v>296</v>
      </c>
      <c r="AH218">
        <v>-33</v>
      </c>
      <c r="AI218" t="s">
        <v>2202</v>
      </c>
      <c r="AJ218">
        <v>-2</v>
      </c>
      <c r="AK218" t="s">
        <v>219</v>
      </c>
      <c r="AL218">
        <v>-6</v>
      </c>
      <c r="AM218" t="s">
        <v>749</v>
      </c>
      <c r="AN218">
        <v>-1</v>
      </c>
    </row>
    <row r="219" spans="2:40" x14ac:dyDescent="0.25">
      <c r="B219" t="s">
        <v>321</v>
      </c>
      <c r="C219">
        <v>-16</v>
      </c>
      <c r="E219" t="s">
        <v>810</v>
      </c>
      <c r="F219">
        <v>-3</v>
      </c>
      <c r="H219" t="s">
        <v>230</v>
      </c>
      <c r="I219">
        <v>-24</v>
      </c>
      <c r="J219" t="s">
        <v>230</v>
      </c>
      <c r="K219">
        <v>-6</v>
      </c>
      <c r="L219" t="s">
        <v>266</v>
      </c>
      <c r="M219">
        <v>-232</v>
      </c>
      <c r="O219" t="s">
        <v>750</v>
      </c>
      <c r="P219">
        <v>-1</v>
      </c>
      <c r="Q219" t="s">
        <v>309</v>
      </c>
      <c r="R219">
        <v>-5</v>
      </c>
      <c r="S219" t="s">
        <v>1669</v>
      </c>
      <c r="T219">
        <v>-5</v>
      </c>
      <c r="U219" t="s">
        <v>121</v>
      </c>
      <c r="V219">
        <v>-6</v>
      </c>
      <c r="W219" t="s">
        <v>1670</v>
      </c>
      <c r="X219">
        <v>-8</v>
      </c>
      <c r="Y219" t="s">
        <v>497</v>
      </c>
      <c r="Z219">
        <v>-1</v>
      </c>
      <c r="AA219" t="s">
        <v>360</v>
      </c>
      <c r="AB219">
        <v>-178</v>
      </c>
      <c r="AC219" t="s">
        <v>274</v>
      </c>
      <c r="AD219">
        <v>-5</v>
      </c>
      <c r="AE219" t="s">
        <v>297</v>
      </c>
      <c r="AF219">
        <v>-28</v>
      </c>
      <c r="AG219" t="s">
        <v>800</v>
      </c>
      <c r="AH219">
        <v>-28</v>
      </c>
      <c r="AI219" t="s">
        <v>2203</v>
      </c>
      <c r="AJ219">
        <v>-2</v>
      </c>
      <c r="AK219" t="s">
        <v>97</v>
      </c>
      <c r="AL219">
        <v>-36</v>
      </c>
      <c r="AM219" t="s">
        <v>510</v>
      </c>
      <c r="AN219">
        <v>-3</v>
      </c>
    </row>
    <row r="220" spans="2:40" x14ac:dyDescent="0.25">
      <c r="B220" t="s">
        <v>295</v>
      </c>
      <c r="C220">
        <v>-40</v>
      </c>
      <c r="E220" t="s">
        <v>217</v>
      </c>
      <c r="F220">
        <v>-29</v>
      </c>
      <c r="H220" t="s">
        <v>870</v>
      </c>
      <c r="I220">
        <v>-2</v>
      </c>
      <c r="J220" t="s">
        <v>1014</v>
      </c>
      <c r="K220">
        <v>-3</v>
      </c>
      <c r="L220" t="s">
        <v>264</v>
      </c>
      <c r="M220">
        <v>-18</v>
      </c>
      <c r="O220" t="s">
        <v>510</v>
      </c>
      <c r="P220">
        <v>-28</v>
      </c>
      <c r="Q220" t="s">
        <v>310</v>
      </c>
      <c r="R220">
        <v>-5</v>
      </c>
      <c r="S220" t="s">
        <v>448</v>
      </c>
      <c r="T220">
        <v>-67</v>
      </c>
      <c r="U220" t="s">
        <v>321</v>
      </c>
      <c r="V220">
        <v>-8</v>
      </c>
      <c r="W220" t="s">
        <v>120</v>
      </c>
      <c r="X220">
        <v>-1</v>
      </c>
      <c r="Y220" t="s">
        <v>365</v>
      </c>
      <c r="Z220">
        <v>-20</v>
      </c>
      <c r="AA220" t="s">
        <v>351</v>
      </c>
      <c r="AB220">
        <v>-1</v>
      </c>
      <c r="AC220" t="s">
        <v>293</v>
      </c>
      <c r="AD220">
        <v>-1</v>
      </c>
      <c r="AE220" t="s">
        <v>352</v>
      </c>
      <c r="AF220">
        <v>-28</v>
      </c>
      <c r="AG220" t="s">
        <v>801</v>
      </c>
      <c r="AH220">
        <v>-28</v>
      </c>
      <c r="AI220" t="s">
        <v>2204</v>
      </c>
      <c r="AJ220">
        <v>-4</v>
      </c>
      <c r="AK220" t="s">
        <v>95</v>
      </c>
      <c r="AL220">
        <v>-83</v>
      </c>
      <c r="AM220" t="s">
        <v>2362</v>
      </c>
      <c r="AN220">
        <v>-1</v>
      </c>
    </row>
    <row r="221" spans="2:40" x14ac:dyDescent="0.25">
      <c r="B221" t="s">
        <v>296</v>
      </c>
      <c r="C221">
        <v>-72</v>
      </c>
      <c r="E221" t="s">
        <v>811</v>
      </c>
      <c r="F221">
        <v>-1</v>
      </c>
      <c r="H221" t="s">
        <v>810</v>
      </c>
      <c r="I221">
        <v>-8</v>
      </c>
      <c r="J221" t="s">
        <v>1015</v>
      </c>
      <c r="K221">
        <v>-3</v>
      </c>
      <c r="L221" t="s">
        <v>1180</v>
      </c>
      <c r="M221">
        <v>-12</v>
      </c>
      <c r="O221" t="s">
        <v>1413</v>
      </c>
      <c r="P221">
        <v>-6</v>
      </c>
      <c r="Q221" t="s">
        <v>399</v>
      </c>
      <c r="R221">
        <v>-37</v>
      </c>
      <c r="S221" t="s">
        <v>1670</v>
      </c>
      <c r="T221">
        <v>-8</v>
      </c>
      <c r="U221" t="s">
        <v>1734</v>
      </c>
      <c r="V221">
        <v>-2</v>
      </c>
      <c r="W221" t="s">
        <v>308</v>
      </c>
      <c r="X221">
        <v>-1</v>
      </c>
      <c r="Y221" t="s">
        <v>393</v>
      </c>
      <c r="Z221">
        <v>-6</v>
      </c>
      <c r="AA221" t="s">
        <v>230</v>
      </c>
      <c r="AB221">
        <v>-3</v>
      </c>
      <c r="AC221" t="s">
        <v>1210</v>
      </c>
      <c r="AD221">
        <v>-1</v>
      </c>
      <c r="AE221" t="s">
        <v>1572</v>
      </c>
      <c r="AF221">
        <v>-28</v>
      </c>
      <c r="AG221" t="s">
        <v>802</v>
      </c>
      <c r="AH221">
        <v>-28</v>
      </c>
      <c r="AI221" t="s">
        <v>167</v>
      </c>
      <c r="AJ221">
        <v>-76</v>
      </c>
      <c r="AK221" t="s">
        <v>96</v>
      </c>
      <c r="AL221">
        <v>-36</v>
      </c>
      <c r="AM221" t="s">
        <v>2363</v>
      </c>
      <c r="AN221">
        <v>-4</v>
      </c>
    </row>
    <row r="222" spans="2:40" x14ac:dyDescent="0.25">
      <c r="B222" t="s">
        <v>297</v>
      </c>
      <c r="C222">
        <v>-64</v>
      </c>
      <c r="E222" t="s">
        <v>52</v>
      </c>
      <c r="F222">
        <v>-12</v>
      </c>
      <c r="H222" t="s">
        <v>217</v>
      </c>
      <c r="I222">
        <v>-18</v>
      </c>
      <c r="J222" t="s">
        <v>329</v>
      </c>
      <c r="K222">
        <v>-11</v>
      </c>
      <c r="L222" t="s">
        <v>248</v>
      </c>
      <c r="M222">
        <v>-100</v>
      </c>
      <c r="O222" t="s">
        <v>171</v>
      </c>
      <c r="P222">
        <v>-6</v>
      </c>
      <c r="Q222" t="s">
        <v>996</v>
      </c>
      <c r="R222">
        <v>-12</v>
      </c>
      <c r="S222" t="s">
        <v>867</v>
      </c>
      <c r="T222">
        <v>-1</v>
      </c>
      <c r="U222" t="s">
        <v>295</v>
      </c>
      <c r="V222">
        <v>-13</v>
      </c>
      <c r="W222" t="s">
        <v>994</v>
      </c>
      <c r="X222">
        <v>-6</v>
      </c>
      <c r="Y222" t="s">
        <v>815</v>
      </c>
      <c r="Z222">
        <v>-1</v>
      </c>
      <c r="AA222" t="s">
        <v>810</v>
      </c>
      <c r="AB222">
        <v>-1</v>
      </c>
      <c r="AC222" t="s">
        <v>226</v>
      </c>
      <c r="AD222">
        <v>-6</v>
      </c>
      <c r="AE222" t="s">
        <v>299</v>
      </c>
      <c r="AF222">
        <v>-28</v>
      </c>
      <c r="AG222" t="s">
        <v>297</v>
      </c>
      <c r="AH222">
        <v>-33</v>
      </c>
      <c r="AI222" t="s">
        <v>562</v>
      </c>
      <c r="AJ222">
        <v>-7</v>
      </c>
      <c r="AK222" t="s">
        <v>1202</v>
      </c>
      <c r="AL222">
        <v>-5</v>
      </c>
      <c r="AM222" t="s">
        <v>2364</v>
      </c>
      <c r="AN222">
        <v>-16</v>
      </c>
    </row>
    <row r="223" spans="2:40" x14ac:dyDescent="0.25">
      <c r="B223" t="s">
        <v>352</v>
      </c>
      <c r="C223">
        <v>-64</v>
      </c>
      <c r="E223" t="s">
        <v>329</v>
      </c>
      <c r="F223">
        <v>-11</v>
      </c>
      <c r="H223" t="s">
        <v>17</v>
      </c>
      <c r="I223">
        <v>-6</v>
      </c>
      <c r="J223" t="s">
        <v>229</v>
      </c>
      <c r="K223">
        <v>-33</v>
      </c>
      <c r="L223" t="s">
        <v>1181</v>
      </c>
      <c r="M223">
        <v>-12</v>
      </c>
      <c r="O223" t="s">
        <v>241</v>
      </c>
      <c r="P223">
        <v>-1</v>
      </c>
      <c r="Q223" t="s">
        <v>312</v>
      </c>
      <c r="R223">
        <v>-5</v>
      </c>
      <c r="S223" t="s">
        <v>120</v>
      </c>
      <c r="T223">
        <v>-4</v>
      </c>
      <c r="U223" t="s">
        <v>296</v>
      </c>
      <c r="V223">
        <v>-13</v>
      </c>
      <c r="W223" t="s">
        <v>309</v>
      </c>
      <c r="X223">
        <v>-1</v>
      </c>
      <c r="Y223" t="s">
        <v>450</v>
      </c>
      <c r="Z223">
        <v>-177</v>
      </c>
      <c r="AA223" t="s">
        <v>217</v>
      </c>
      <c r="AB223">
        <v>-2</v>
      </c>
      <c r="AC223" t="s">
        <v>656</v>
      </c>
      <c r="AD223">
        <v>-1</v>
      </c>
      <c r="AE223" t="s">
        <v>1573</v>
      </c>
      <c r="AF223">
        <v>-25</v>
      </c>
      <c r="AG223" t="s">
        <v>352</v>
      </c>
      <c r="AH223">
        <v>-20</v>
      </c>
      <c r="AI223" t="s">
        <v>560</v>
      </c>
      <c r="AJ223">
        <v>-25</v>
      </c>
      <c r="AK223" t="s">
        <v>2275</v>
      </c>
      <c r="AL223">
        <v>-1</v>
      </c>
      <c r="AM223" t="s">
        <v>171</v>
      </c>
      <c r="AN223">
        <v>-4</v>
      </c>
    </row>
    <row r="224" spans="2:40" x14ac:dyDescent="0.25">
      <c r="B224" t="s">
        <v>300</v>
      </c>
      <c r="C224">
        <v>-64</v>
      </c>
      <c r="E224" t="s">
        <v>812</v>
      </c>
      <c r="F224">
        <v>-2</v>
      </c>
      <c r="H224" t="s">
        <v>329</v>
      </c>
      <c r="I224">
        <v>-5</v>
      </c>
      <c r="J224" t="s">
        <v>244</v>
      </c>
      <c r="K224">
        <v>-270</v>
      </c>
      <c r="L224" t="s">
        <v>257</v>
      </c>
      <c r="M224">
        <v>-12</v>
      </c>
      <c r="O224" t="s">
        <v>1414</v>
      </c>
      <c r="P224">
        <v>-7</v>
      </c>
      <c r="Q224" t="s">
        <v>313</v>
      </c>
      <c r="R224">
        <v>-5</v>
      </c>
      <c r="S224" t="s">
        <v>1671</v>
      </c>
      <c r="T224">
        <v>-1</v>
      </c>
      <c r="U224" t="s">
        <v>800</v>
      </c>
      <c r="V224">
        <v>-13</v>
      </c>
      <c r="W224" t="s">
        <v>310</v>
      </c>
      <c r="X224">
        <v>-1</v>
      </c>
      <c r="Y224" t="s">
        <v>306</v>
      </c>
      <c r="Z224">
        <v>-4</v>
      </c>
      <c r="AA224" t="s">
        <v>17</v>
      </c>
      <c r="AB224">
        <v>-6</v>
      </c>
      <c r="AC224" t="s">
        <v>869</v>
      </c>
      <c r="AD224">
        <v>-2</v>
      </c>
      <c r="AE224" t="s">
        <v>448</v>
      </c>
      <c r="AF224">
        <v>-94</v>
      </c>
      <c r="AG224" t="s">
        <v>1572</v>
      </c>
      <c r="AH224">
        <v>-28</v>
      </c>
      <c r="AI224" t="s">
        <v>758</v>
      </c>
      <c r="AJ224">
        <v>-6</v>
      </c>
      <c r="AK224" t="s">
        <v>303</v>
      </c>
      <c r="AL224">
        <v>-6</v>
      </c>
      <c r="AM224" t="s">
        <v>91</v>
      </c>
      <c r="AN224">
        <v>-30</v>
      </c>
    </row>
    <row r="225" spans="2:40" x14ac:dyDescent="0.25">
      <c r="B225" t="s">
        <v>353</v>
      </c>
      <c r="C225">
        <v>-64</v>
      </c>
      <c r="E225" t="s">
        <v>813</v>
      </c>
      <c r="F225">
        <v>-8</v>
      </c>
      <c r="H225" t="s">
        <v>581</v>
      </c>
      <c r="I225">
        <v>-14</v>
      </c>
      <c r="J225" t="s">
        <v>243</v>
      </c>
      <c r="K225">
        <v>-60</v>
      </c>
      <c r="L225" t="s">
        <v>153</v>
      </c>
      <c r="M225">
        <v>-4</v>
      </c>
      <c r="O225" t="s">
        <v>1187</v>
      </c>
      <c r="P225">
        <v>-3</v>
      </c>
      <c r="Q225" t="s">
        <v>314</v>
      </c>
      <c r="R225">
        <v>-5</v>
      </c>
      <c r="S225" t="s">
        <v>308</v>
      </c>
      <c r="T225">
        <v>-4</v>
      </c>
      <c r="U225" t="s">
        <v>801</v>
      </c>
      <c r="V225">
        <v>-13</v>
      </c>
      <c r="W225" t="s">
        <v>399</v>
      </c>
      <c r="X225">
        <v>-11</v>
      </c>
      <c r="Y225" t="s">
        <v>317</v>
      </c>
      <c r="Z225">
        <v>-4</v>
      </c>
      <c r="AA225" t="s">
        <v>52</v>
      </c>
      <c r="AB225">
        <v>-2</v>
      </c>
      <c r="AC225" t="s">
        <v>1421</v>
      </c>
      <c r="AD225">
        <v>-27</v>
      </c>
      <c r="AE225" t="s">
        <v>2063</v>
      </c>
      <c r="AF225">
        <v>-3</v>
      </c>
      <c r="AG225" t="s">
        <v>300</v>
      </c>
      <c r="AH225">
        <v>-5</v>
      </c>
      <c r="AI225" t="s">
        <v>759</v>
      </c>
      <c r="AJ225">
        <v>-23</v>
      </c>
      <c r="AK225" t="s">
        <v>304</v>
      </c>
      <c r="AL225">
        <v>-12</v>
      </c>
      <c r="AM225" t="s">
        <v>2365</v>
      </c>
      <c r="AN225">
        <v>-1</v>
      </c>
    </row>
    <row r="226" spans="2:40" x14ac:dyDescent="0.25">
      <c r="B226" t="s">
        <v>298</v>
      </c>
      <c r="C226">
        <v>-64</v>
      </c>
      <c r="E226" t="s">
        <v>229</v>
      </c>
      <c r="F226">
        <v>-244</v>
      </c>
      <c r="H226" t="s">
        <v>229</v>
      </c>
      <c r="I226">
        <v>-133</v>
      </c>
      <c r="J226" t="s">
        <v>18</v>
      </c>
      <c r="K226">
        <v>-1</v>
      </c>
      <c r="L226" t="s">
        <v>199</v>
      </c>
      <c r="M226">
        <v>-4</v>
      </c>
      <c r="O226" t="s">
        <v>1415</v>
      </c>
      <c r="P226">
        <v>-50</v>
      </c>
      <c r="Q226" t="s">
        <v>118</v>
      </c>
      <c r="R226">
        <v>-10</v>
      </c>
      <c r="S226" t="s">
        <v>309</v>
      </c>
      <c r="T226">
        <v>-3</v>
      </c>
      <c r="U226" t="s">
        <v>802</v>
      </c>
      <c r="V226">
        <v>-13</v>
      </c>
      <c r="W226" t="s">
        <v>311</v>
      </c>
      <c r="X226">
        <v>-2</v>
      </c>
      <c r="Y226" t="s">
        <v>1908</v>
      </c>
      <c r="Z226">
        <v>-1</v>
      </c>
      <c r="AA226" t="s">
        <v>812</v>
      </c>
      <c r="AB226">
        <v>-1</v>
      </c>
      <c r="AC226" t="s">
        <v>631</v>
      </c>
      <c r="AD226">
        <v>-11.4</v>
      </c>
      <c r="AE226" t="s">
        <v>120</v>
      </c>
      <c r="AF226">
        <v>-7</v>
      </c>
      <c r="AG226" t="s">
        <v>353</v>
      </c>
      <c r="AH226">
        <v>-5</v>
      </c>
      <c r="AI226" t="s">
        <v>191</v>
      </c>
      <c r="AJ226">
        <v>-30</v>
      </c>
      <c r="AK226" t="s">
        <v>305</v>
      </c>
      <c r="AL226">
        <v>-29</v>
      </c>
      <c r="AM226" t="s">
        <v>2366</v>
      </c>
      <c r="AN226">
        <v>-1</v>
      </c>
    </row>
    <row r="227" spans="2:40" x14ac:dyDescent="0.25">
      <c r="B227" t="s">
        <v>299</v>
      </c>
      <c r="C227">
        <v>-64</v>
      </c>
      <c r="E227" t="s">
        <v>278</v>
      </c>
      <c r="F227">
        <v>-640</v>
      </c>
      <c r="H227" t="s">
        <v>278</v>
      </c>
      <c r="I227">
        <v>-372</v>
      </c>
      <c r="J227" t="s">
        <v>107</v>
      </c>
      <c r="K227">
        <v>-1</v>
      </c>
      <c r="L227" t="s">
        <v>795</v>
      </c>
      <c r="M227">
        <v>-4</v>
      </c>
      <c r="O227" t="s">
        <v>1188</v>
      </c>
      <c r="P227">
        <v>-20</v>
      </c>
      <c r="Q227" t="s">
        <v>315</v>
      </c>
      <c r="R227">
        <v>-5</v>
      </c>
      <c r="S227" t="s">
        <v>310</v>
      </c>
      <c r="T227">
        <v>-3</v>
      </c>
      <c r="U227" t="s">
        <v>297</v>
      </c>
      <c r="V227">
        <v>-13</v>
      </c>
      <c r="W227" t="s">
        <v>312</v>
      </c>
      <c r="X227">
        <v>-1</v>
      </c>
      <c r="Y227" t="s">
        <v>345</v>
      </c>
      <c r="Z227">
        <v>-11</v>
      </c>
      <c r="AA227" t="s">
        <v>581</v>
      </c>
      <c r="AB227">
        <v>-2</v>
      </c>
      <c r="AC227" t="s">
        <v>1422</v>
      </c>
      <c r="AD227">
        <v>-1.5</v>
      </c>
      <c r="AE227" t="s">
        <v>308</v>
      </c>
      <c r="AF227">
        <v>-7</v>
      </c>
      <c r="AG227" t="s">
        <v>298</v>
      </c>
      <c r="AH227">
        <v>-5</v>
      </c>
      <c r="AI227" t="s">
        <v>192</v>
      </c>
      <c r="AJ227">
        <v>-14</v>
      </c>
      <c r="AK227" t="s">
        <v>116</v>
      </c>
      <c r="AL227">
        <v>-29</v>
      </c>
      <c r="AM227" t="s">
        <v>241</v>
      </c>
      <c r="AN227">
        <v>-1</v>
      </c>
    </row>
    <row r="228" spans="2:40" x14ac:dyDescent="0.25">
      <c r="B228" t="s">
        <v>448</v>
      </c>
      <c r="C228">
        <v>-60</v>
      </c>
      <c r="E228" t="s">
        <v>244</v>
      </c>
      <c r="F228">
        <v>-1100</v>
      </c>
      <c r="H228" t="s">
        <v>760</v>
      </c>
      <c r="I228">
        <v>-1</v>
      </c>
      <c r="J228" t="s">
        <v>465</v>
      </c>
      <c r="K228">
        <v>-18</v>
      </c>
      <c r="L228" t="s">
        <v>1182</v>
      </c>
      <c r="M228">
        <v>-4</v>
      </c>
      <c r="O228" t="s">
        <v>349</v>
      </c>
      <c r="P228">
        <v>-5.4</v>
      </c>
      <c r="Q228" t="s">
        <v>998</v>
      </c>
      <c r="R228">
        <v>-6</v>
      </c>
      <c r="S228" t="s">
        <v>399</v>
      </c>
      <c r="T228">
        <v>-14</v>
      </c>
      <c r="U228" t="s">
        <v>352</v>
      </c>
      <c r="V228">
        <v>-13</v>
      </c>
      <c r="W228" t="s">
        <v>313</v>
      </c>
      <c r="X228">
        <v>-1</v>
      </c>
      <c r="Y228" t="s">
        <v>603</v>
      </c>
      <c r="Z228">
        <v>-0.36</v>
      </c>
      <c r="AA228" t="s">
        <v>229</v>
      </c>
      <c r="AB228">
        <v>-25</v>
      </c>
      <c r="AC228" t="s">
        <v>669</v>
      </c>
      <c r="AD228">
        <v>-4</v>
      </c>
      <c r="AE228" t="s">
        <v>994</v>
      </c>
      <c r="AF228">
        <v>-2</v>
      </c>
      <c r="AG228" t="s">
        <v>299</v>
      </c>
      <c r="AH228">
        <v>-33</v>
      </c>
      <c r="AI228" t="s">
        <v>90</v>
      </c>
      <c r="AJ228">
        <v>-32</v>
      </c>
      <c r="AK228" t="s">
        <v>119</v>
      </c>
      <c r="AL228">
        <v>-12</v>
      </c>
      <c r="AM228" t="s">
        <v>2271</v>
      </c>
      <c r="AN228">
        <v>-2</v>
      </c>
    </row>
    <row r="229" spans="2:40" x14ac:dyDescent="0.25">
      <c r="B229" t="s">
        <v>120</v>
      </c>
      <c r="C229">
        <v>-8</v>
      </c>
      <c r="E229" t="s">
        <v>243</v>
      </c>
      <c r="F229">
        <v>-400</v>
      </c>
      <c r="H229" t="s">
        <v>244</v>
      </c>
      <c r="I229">
        <v>-930</v>
      </c>
      <c r="J229" t="s">
        <v>302</v>
      </c>
      <c r="K229">
        <v>-21</v>
      </c>
      <c r="L229" t="s">
        <v>1183</v>
      </c>
      <c r="M229">
        <v>-30</v>
      </c>
      <c r="O229" t="s">
        <v>41</v>
      </c>
      <c r="P229">
        <v>-43</v>
      </c>
      <c r="Q229" t="s">
        <v>999</v>
      </c>
      <c r="R229">
        <v>-12</v>
      </c>
      <c r="S229" t="s">
        <v>311</v>
      </c>
      <c r="T229">
        <v>-6</v>
      </c>
      <c r="U229" t="s">
        <v>1572</v>
      </c>
      <c r="V229">
        <v>-13</v>
      </c>
      <c r="W229" t="s">
        <v>314</v>
      </c>
      <c r="X229">
        <v>-1</v>
      </c>
      <c r="Y229" t="s">
        <v>1452</v>
      </c>
      <c r="Z229">
        <v>-0.94</v>
      </c>
      <c r="AA229" t="s">
        <v>278</v>
      </c>
      <c r="AB229">
        <v>-40</v>
      </c>
      <c r="AC229" t="s">
        <v>670</v>
      </c>
      <c r="AD229">
        <v>-1</v>
      </c>
      <c r="AE229" t="s">
        <v>309</v>
      </c>
      <c r="AF229">
        <v>-7</v>
      </c>
      <c r="AG229" t="s">
        <v>1573</v>
      </c>
      <c r="AH229">
        <v>-28</v>
      </c>
      <c r="AI229" t="s">
        <v>1899</v>
      </c>
      <c r="AJ229">
        <v>-6</v>
      </c>
      <c r="AK229" t="s">
        <v>117</v>
      </c>
      <c r="AL229">
        <v>-18</v>
      </c>
      <c r="AM229" t="s">
        <v>2367</v>
      </c>
      <c r="AN229">
        <v>-1</v>
      </c>
    </row>
    <row r="230" spans="2:40" x14ac:dyDescent="0.25">
      <c r="B230" t="s">
        <v>308</v>
      </c>
      <c r="C230">
        <v>-8</v>
      </c>
      <c r="E230" t="s">
        <v>202</v>
      </c>
      <c r="F230">
        <v>-16</v>
      </c>
      <c r="H230" t="s">
        <v>243</v>
      </c>
      <c r="I230">
        <v>-380</v>
      </c>
      <c r="J230" t="s">
        <v>138</v>
      </c>
      <c r="K230">
        <v>-3</v>
      </c>
      <c r="L230" t="s">
        <v>1184</v>
      </c>
      <c r="M230">
        <v>-18</v>
      </c>
      <c r="O230" t="s">
        <v>1189</v>
      </c>
      <c r="P230">
        <v>-5</v>
      </c>
      <c r="Q230" t="s">
        <v>1000</v>
      </c>
      <c r="R230">
        <v>-12</v>
      </c>
      <c r="S230" t="s">
        <v>312</v>
      </c>
      <c r="T230">
        <v>-3</v>
      </c>
      <c r="U230" t="s">
        <v>299</v>
      </c>
      <c r="V230">
        <v>-13</v>
      </c>
      <c r="W230" t="s">
        <v>118</v>
      </c>
      <c r="X230">
        <v>-2</v>
      </c>
      <c r="Y230" t="s">
        <v>754</v>
      </c>
      <c r="Z230">
        <v>-12</v>
      </c>
      <c r="AA230" t="s">
        <v>244</v>
      </c>
      <c r="AB230">
        <v>-70</v>
      </c>
      <c r="AC230" t="s">
        <v>444</v>
      </c>
      <c r="AD230">
        <v>-6</v>
      </c>
      <c r="AE230" t="s">
        <v>310</v>
      </c>
      <c r="AF230">
        <v>-8</v>
      </c>
      <c r="AG230" t="s">
        <v>1662</v>
      </c>
      <c r="AH230">
        <v>-8</v>
      </c>
      <c r="AI230" t="s">
        <v>182</v>
      </c>
      <c r="AJ230">
        <v>-14</v>
      </c>
      <c r="AK230" t="s">
        <v>337</v>
      </c>
      <c r="AL230">
        <v>-1</v>
      </c>
      <c r="AM230" t="s">
        <v>2368</v>
      </c>
      <c r="AN230">
        <v>-1</v>
      </c>
    </row>
    <row r="231" spans="2:40" x14ac:dyDescent="0.25">
      <c r="B231" t="s">
        <v>309</v>
      </c>
      <c r="C231">
        <v>-8</v>
      </c>
      <c r="E231" t="s">
        <v>107</v>
      </c>
      <c r="F231">
        <v>-66</v>
      </c>
      <c r="H231" t="s">
        <v>202</v>
      </c>
      <c r="I231">
        <v>-13</v>
      </c>
      <c r="J231" t="s">
        <v>134</v>
      </c>
      <c r="K231">
        <v>-8</v>
      </c>
      <c r="L231" t="s">
        <v>1185</v>
      </c>
      <c r="M231">
        <v>-8</v>
      </c>
      <c r="O231" t="s">
        <v>980</v>
      </c>
      <c r="P231">
        <v>-7</v>
      </c>
      <c r="Q231" t="s">
        <v>1001</v>
      </c>
      <c r="R231">
        <v>-26</v>
      </c>
      <c r="S231" t="s">
        <v>313</v>
      </c>
      <c r="T231">
        <v>-3</v>
      </c>
      <c r="U231" t="s">
        <v>1573</v>
      </c>
      <c r="V231">
        <v>-13</v>
      </c>
      <c r="W231" t="s">
        <v>315</v>
      </c>
      <c r="X231">
        <v>-1</v>
      </c>
      <c r="Y231" t="s">
        <v>549</v>
      </c>
      <c r="Z231">
        <v>-24</v>
      </c>
      <c r="AA231" t="s">
        <v>243</v>
      </c>
      <c r="AB231">
        <v>-80</v>
      </c>
      <c r="AC231" t="s">
        <v>633</v>
      </c>
      <c r="AD231">
        <v>-5.7</v>
      </c>
      <c r="AE231" t="s">
        <v>399</v>
      </c>
      <c r="AF231">
        <v>-7</v>
      </c>
      <c r="AG231" t="s">
        <v>1663</v>
      </c>
      <c r="AH231">
        <v>-8</v>
      </c>
      <c r="AI231" t="s">
        <v>181</v>
      </c>
      <c r="AJ231">
        <v>-14</v>
      </c>
      <c r="AK231" t="s">
        <v>121</v>
      </c>
      <c r="AL231">
        <v>-9</v>
      </c>
      <c r="AM231" t="s">
        <v>349</v>
      </c>
      <c r="AN231">
        <v>-1.56</v>
      </c>
    </row>
    <row r="232" spans="2:40" x14ac:dyDescent="0.25">
      <c r="B232" t="s">
        <v>310</v>
      </c>
      <c r="C232">
        <v>-8</v>
      </c>
      <c r="E232" t="s">
        <v>746</v>
      </c>
      <c r="F232">
        <v>-1</v>
      </c>
      <c r="H232" t="s">
        <v>18</v>
      </c>
      <c r="I232">
        <v>-1</v>
      </c>
      <c r="J232" t="s">
        <v>173</v>
      </c>
      <c r="K232">
        <v>-2</v>
      </c>
      <c r="L232" t="s">
        <v>510</v>
      </c>
      <c r="M232">
        <v>-18</v>
      </c>
      <c r="O232" t="s">
        <v>1416</v>
      </c>
      <c r="P232">
        <v>-16</v>
      </c>
      <c r="Q232" t="s">
        <v>1002</v>
      </c>
      <c r="R232">
        <v>-21</v>
      </c>
      <c r="S232" t="s">
        <v>314</v>
      </c>
      <c r="T232">
        <v>-3</v>
      </c>
      <c r="U232" t="s">
        <v>448</v>
      </c>
      <c r="V232">
        <v>-57</v>
      </c>
      <c r="W232" t="s">
        <v>316</v>
      </c>
      <c r="X232">
        <v>-1</v>
      </c>
      <c r="Y232" t="s">
        <v>159</v>
      </c>
      <c r="Z232">
        <v>-9</v>
      </c>
      <c r="AA232" t="s">
        <v>18</v>
      </c>
      <c r="AB232">
        <v>-1</v>
      </c>
      <c r="AC232" t="s">
        <v>2002</v>
      </c>
      <c r="AD232">
        <v>-3</v>
      </c>
      <c r="AE232" t="s">
        <v>311</v>
      </c>
      <c r="AF232">
        <v>-14</v>
      </c>
      <c r="AG232" t="s">
        <v>1664</v>
      </c>
      <c r="AH232">
        <v>-8</v>
      </c>
      <c r="AI232" t="s">
        <v>185</v>
      </c>
      <c r="AJ232">
        <v>-7</v>
      </c>
      <c r="AK232" t="s">
        <v>321</v>
      </c>
      <c r="AL232">
        <v>-12</v>
      </c>
      <c r="AM232" t="s">
        <v>41</v>
      </c>
      <c r="AN232">
        <v>-1</v>
      </c>
    </row>
    <row r="233" spans="2:40" x14ac:dyDescent="0.25">
      <c r="B233" t="s">
        <v>399</v>
      </c>
      <c r="C233">
        <v>-17</v>
      </c>
      <c r="E233" t="s">
        <v>275</v>
      </c>
      <c r="F233">
        <v>-180</v>
      </c>
      <c r="H233" t="s">
        <v>107</v>
      </c>
      <c r="I233">
        <v>-58</v>
      </c>
      <c r="J233" t="s">
        <v>1016</v>
      </c>
      <c r="K233">
        <v>-4</v>
      </c>
      <c r="L233" t="s">
        <v>171</v>
      </c>
      <c r="M233">
        <v>-8</v>
      </c>
      <c r="O233" t="s">
        <v>1191</v>
      </c>
      <c r="P233">
        <v>-14</v>
      </c>
      <c r="Q233" t="s">
        <v>1003</v>
      </c>
      <c r="R233">
        <v>-6</v>
      </c>
      <c r="S233" t="s">
        <v>118</v>
      </c>
      <c r="T233">
        <v>-7</v>
      </c>
      <c r="U233" t="s">
        <v>867</v>
      </c>
      <c r="V233">
        <v>-2</v>
      </c>
      <c r="W233" t="s">
        <v>386</v>
      </c>
      <c r="X233">
        <v>-17</v>
      </c>
      <c r="Y233" t="s">
        <v>1256</v>
      </c>
      <c r="Z233">
        <v>-6</v>
      </c>
      <c r="AA233" t="s">
        <v>465</v>
      </c>
      <c r="AB233">
        <v>-6</v>
      </c>
      <c r="AC233" t="s">
        <v>736</v>
      </c>
      <c r="AD233">
        <v>-1</v>
      </c>
      <c r="AE233" t="s">
        <v>312</v>
      </c>
      <c r="AF233">
        <v>-7</v>
      </c>
      <c r="AG233" t="s">
        <v>1665</v>
      </c>
      <c r="AH233">
        <v>-8</v>
      </c>
      <c r="AI233" t="s">
        <v>350</v>
      </c>
      <c r="AJ233">
        <v>-208</v>
      </c>
      <c r="AK233" t="s">
        <v>295</v>
      </c>
      <c r="AL233">
        <v>-3</v>
      </c>
      <c r="AM233" t="s">
        <v>980</v>
      </c>
      <c r="AN233">
        <v>-4</v>
      </c>
    </row>
    <row r="234" spans="2:40" x14ac:dyDescent="0.25">
      <c r="B234" t="s">
        <v>311</v>
      </c>
      <c r="C234">
        <v>-18</v>
      </c>
      <c r="E234" t="s">
        <v>59</v>
      </c>
      <c r="F234">
        <v>-216</v>
      </c>
      <c r="H234" t="s">
        <v>465</v>
      </c>
      <c r="I234">
        <v>-1</v>
      </c>
      <c r="J234" t="s">
        <v>751</v>
      </c>
      <c r="K234">
        <v>-17</v>
      </c>
      <c r="L234" t="s">
        <v>1186</v>
      </c>
      <c r="M234">
        <v>-1</v>
      </c>
      <c r="O234" t="s">
        <v>981</v>
      </c>
      <c r="P234">
        <v>-3</v>
      </c>
      <c r="Q234" t="s">
        <v>1208</v>
      </c>
      <c r="R234">
        <v>-7</v>
      </c>
      <c r="S234" t="s">
        <v>315</v>
      </c>
      <c r="T234">
        <v>-4</v>
      </c>
      <c r="U234" t="s">
        <v>1735</v>
      </c>
      <c r="V234">
        <v>-9</v>
      </c>
      <c r="W234" t="s">
        <v>606</v>
      </c>
      <c r="X234">
        <v>-23.000000000000011</v>
      </c>
      <c r="Y234" t="s">
        <v>141</v>
      </c>
      <c r="Z234">
        <v>-3</v>
      </c>
      <c r="AA234" t="s">
        <v>1952</v>
      </c>
      <c r="AB234">
        <v>-1</v>
      </c>
      <c r="AC234" t="s">
        <v>364</v>
      </c>
      <c r="AD234">
        <v>-1</v>
      </c>
      <c r="AE234" t="s">
        <v>313</v>
      </c>
      <c r="AF234">
        <v>-7</v>
      </c>
      <c r="AG234" t="s">
        <v>1666</v>
      </c>
      <c r="AH234">
        <v>-8</v>
      </c>
      <c r="AI234" t="s">
        <v>799</v>
      </c>
      <c r="AJ234">
        <v>-94</v>
      </c>
      <c r="AK234" t="s">
        <v>296</v>
      </c>
      <c r="AL234">
        <v>-33</v>
      </c>
      <c r="AM234" t="s">
        <v>1191</v>
      </c>
      <c r="AN234">
        <v>-4</v>
      </c>
    </row>
    <row r="235" spans="2:40" x14ac:dyDescent="0.25">
      <c r="B235" t="s">
        <v>312</v>
      </c>
      <c r="C235">
        <v>-8</v>
      </c>
      <c r="E235" t="s">
        <v>422</v>
      </c>
      <c r="F235">
        <v>-15</v>
      </c>
      <c r="H235" t="s">
        <v>275</v>
      </c>
      <c r="I235">
        <v>-136</v>
      </c>
      <c r="J235" t="s">
        <v>1017</v>
      </c>
      <c r="K235">
        <v>-2</v>
      </c>
      <c r="L235" t="s">
        <v>1187</v>
      </c>
      <c r="M235">
        <v>-4</v>
      </c>
      <c r="O235" t="s">
        <v>501</v>
      </c>
      <c r="P235">
        <v>-3</v>
      </c>
      <c r="Q235" t="s">
        <v>606</v>
      </c>
      <c r="R235">
        <v>-22.02</v>
      </c>
      <c r="S235" t="s">
        <v>1672</v>
      </c>
      <c r="T235">
        <v>-3</v>
      </c>
      <c r="U235" t="s">
        <v>120</v>
      </c>
      <c r="V235">
        <v>-4</v>
      </c>
      <c r="W235" t="s">
        <v>803</v>
      </c>
      <c r="X235">
        <v>-1</v>
      </c>
      <c r="Y235" t="s">
        <v>286</v>
      </c>
      <c r="Z235">
        <v>-10</v>
      </c>
      <c r="AA235" t="s">
        <v>275</v>
      </c>
      <c r="AB235">
        <v>-10</v>
      </c>
      <c r="AC235" t="s">
        <v>632</v>
      </c>
      <c r="AD235">
        <v>-1</v>
      </c>
      <c r="AE235" t="s">
        <v>314</v>
      </c>
      <c r="AF235">
        <v>-8</v>
      </c>
      <c r="AG235" t="s">
        <v>1667</v>
      </c>
      <c r="AH235">
        <v>-8</v>
      </c>
      <c r="AI235" t="s">
        <v>454</v>
      </c>
      <c r="AJ235">
        <v>-56</v>
      </c>
      <c r="AK235" t="s">
        <v>800</v>
      </c>
      <c r="AL235">
        <v>-29</v>
      </c>
      <c r="AM235" t="s">
        <v>981</v>
      </c>
      <c r="AN235">
        <v>-53</v>
      </c>
    </row>
    <row r="236" spans="2:40" x14ac:dyDescent="0.25">
      <c r="B236" t="s">
        <v>313</v>
      </c>
      <c r="C236">
        <v>-9</v>
      </c>
      <c r="E236" t="s">
        <v>302</v>
      </c>
      <c r="F236">
        <v>-62</v>
      </c>
      <c r="H236" t="s">
        <v>59</v>
      </c>
      <c r="I236">
        <v>-18</v>
      </c>
      <c r="J236" t="s">
        <v>1018</v>
      </c>
      <c r="K236">
        <v>-3</v>
      </c>
      <c r="L236" t="s">
        <v>1188</v>
      </c>
      <c r="M236">
        <v>-30</v>
      </c>
      <c r="O236" t="s">
        <v>168</v>
      </c>
      <c r="P236">
        <v>-11</v>
      </c>
      <c r="Q236" t="s">
        <v>274</v>
      </c>
      <c r="R236">
        <v>-4</v>
      </c>
      <c r="S236" t="s">
        <v>386</v>
      </c>
      <c r="T236">
        <v>-31</v>
      </c>
      <c r="U236" t="s">
        <v>308</v>
      </c>
      <c r="V236">
        <v>-4</v>
      </c>
      <c r="W236" t="s">
        <v>274</v>
      </c>
      <c r="X236">
        <v>-6</v>
      </c>
      <c r="Y236" t="s">
        <v>665</v>
      </c>
      <c r="Z236">
        <v>-59</v>
      </c>
      <c r="AA236" t="s">
        <v>59</v>
      </c>
      <c r="AB236">
        <v>-18</v>
      </c>
      <c r="AC236" t="s">
        <v>39</v>
      </c>
      <c r="AD236">
        <v>-4</v>
      </c>
      <c r="AE236" t="s">
        <v>118</v>
      </c>
      <c r="AF236">
        <v>-14</v>
      </c>
      <c r="AG236" t="s">
        <v>1668</v>
      </c>
      <c r="AH236">
        <v>-8</v>
      </c>
      <c r="AI236" t="s">
        <v>219</v>
      </c>
      <c r="AJ236">
        <v>-6</v>
      </c>
      <c r="AK236" t="s">
        <v>801</v>
      </c>
      <c r="AL236">
        <v>-29</v>
      </c>
      <c r="AM236" t="s">
        <v>501</v>
      </c>
      <c r="AN236">
        <v>-15.5</v>
      </c>
    </row>
    <row r="237" spans="2:40" x14ac:dyDescent="0.25">
      <c r="B237" t="s">
        <v>314</v>
      </c>
      <c r="C237">
        <v>-7</v>
      </c>
      <c r="E237" t="s">
        <v>327</v>
      </c>
      <c r="F237">
        <v>-14</v>
      </c>
      <c r="H237" t="s">
        <v>422</v>
      </c>
      <c r="I237">
        <v>-13</v>
      </c>
      <c r="J237" t="s">
        <v>1019</v>
      </c>
      <c r="K237">
        <v>-3</v>
      </c>
      <c r="L237" t="s">
        <v>349</v>
      </c>
      <c r="M237">
        <v>-7.0573999999999995</v>
      </c>
      <c r="O237" t="s">
        <v>6</v>
      </c>
      <c r="P237">
        <v>-5</v>
      </c>
      <c r="Q237" t="s">
        <v>1210</v>
      </c>
      <c r="R237">
        <v>-2</v>
      </c>
      <c r="S237" t="s">
        <v>1673</v>
      </c>
      <c r="T237">
        <v>-1</v>
      </c>
      <c r="U237" t="s">
        <v>994</v>
      </c>
      <c r="V237">
        <v>-2</v>
      </c>
      <c r="W237" t="s">
        <v>293</v>
      </c>
      <c r="X237">
        <v>-1</v>
      </c>
      <c r="Y237" t="s">
        <v>332</v>
      </c>
      <c r="Z237">
        <v>-75</v>
      </c>
      <c r="AA237" t="s">
        <v>302</v>
      </c>
      <c r="AB237">
        <v>-8</v>
      </c>
      <c r="AC237" t="s">
        <v>730</v>
      </c>
      <c r="AD237">
        <v>-4</v>
      </c>
      <c r="AE237" t="s">
        <v>315</v>
      </c>
      <c r="AF237">
        <v>-7</v>
      </c>
      <c r="AG237" t="s">
        <v>1669</v>
      </c>
      <c r="AH237">
        <v>-8</v>
      </c>
      <c r="AI237" t="s">
        <v>97</v>
      </c>
      <c r="AJ237">
        <v>-108</v>
      </c>
      <c r="AK237" t="s">
        <v>802</v>
      </c>
      <c r="AL237">
        <v>-29</v>
      </c>
      <c r="AM237" t="s">
        <v>2201</v>
      </c>
      <c r="AN237">
        <v>-12</v>
      </c>
    </row>
    <row r="238" spans="2:40" x14ac:dyDescent="0.25">
      <c r="B238" t="s">
        <v>118</v>
      </c>
      <c r="C238">
        <v>-16</v>
      </c>
      <c r="E238" t="s">
        <v>814</v>
      </c>
      <c r="F238">
        <v>-1</v>
      </c>
      <c r="H238" t="s">
        <v>872</v>
      </c>
      <c r="I238">
        <v>-34</v>
      </c>
      <c r="J238" t="s">
        <v>1020</v>
      </c>
      <c r="K238">
        <v>-6</v>
      </c>
      <c r="L238" t="s">
        <v>41</v>
      </c>
      <c r="M238">
        <v>-49</v>
      </c>
      <c r="O238" t="s">
        <v>982</v>
      </c>
      <c r="P238">
        <v>-5</v>
      </c>
      <c r="Q238" t="s">
        <v>1211</v>
      </c>
      <c r="R238">
        <v>-6</v>
      </c>
      <c r="S238" t="s">
        <v>606</v>
      </c>
      <c r="T238">
        <v>-52.305000000000007</v>
      </c>
      <c r="U238" t="s">
        <v>309</v>
      </c>
      <c r="V238">
        <v>-4</v>
      </c>
      <c r="W238" t="s">
        <v>294</v>
      </c>
      <c r="X238">
        <v>-1</v>
      </c>
      <c r="Y238" t="s">
        <v>269</v>
      </c>
      <c r="Z238">
        <v>-14</v>
      </c>
      <c r="AA238" t="s">
        <v>138</v>
      </c>
      <c r="AB238">
        <v>-3</v>
      </c>
      <c r="AC238" t="s">
        <v>1575</v>
      </c>
      <c r="AD238">
        <v>-3</v>
      </c>
      <c r="AE238" t="s">
        <v>1672</v>
      </c>
      <c r="AF238">
        <v>-7</v>
      </c>
      <c r="AG238" t="s">
        <v>448</v>
      </c>
      <c r="AH238">
        <v>-103</v>
      </c>
      <c r="AI238" t="s">
        <v>95</v>
      </c>
      <c r="AJ238">
        <v>-216</v>
      </c>
      <c r="AK238" t="s">
        <v>297</v>
      </c>
      <c r="AL238">
        <v>-29</v>
      </c>
      <c r="AM238" t="s">
        <v>10</v>
      </c>
      <c r="AN238">
        <v>-6</v>
      </c>
    </row>
    <row r="239" spans="2:40" x14ac:dyDescent="0.25">
      <c r="B239" t="s">
        <v>315</v>
      </c>
      <c r="C239">
        <v>-8</v>
      </c>
      <c r="E239" t="s">
        <v>138</v>
      </c>
      <c r="F239">
        <v>-1</v>
      </c>
      <c r="H239" t="s">
        <v>302</v>
      </c>
      <c r="I239">
        <v>-16</v>
      </c>
      <c r="J239" t="s">
        <v>1021</v>
      </c>
      <c r="K239">
        <v>-3</v>
      </c>
      <c r="L239" t="s">
        <v>1189</v>
      </c>
      <c r="M239">
        <v>-3</v>
      </c>
      <c r="O239" t="s">
        <v>10</v>
      </c>
      <c r="P239">
        <v>-32</v>
      </c>
      <c r="Q239" t="s">
        <v>226</v>
      </c>
      <c r="R239">
        <v>-18</v>
      </c>
      <c r="S239" t="s">
        <v>274</v>
      </c>
      <c r="T239">
        <v>-11</v>
      </c>
      <c r="U239" t="s">
        <v>310</v>
      </c>
      <c r="V239">
        <v>-2</v>
      </c>
      <c r="W239" t="s">
        <v>226</v>
      </c>
      <c r="X239">
        <v>-6</v>
      </c>
      <c r="Y239" t="s">
        <v>820</v>
      </c>
      <c r="Z239">
        <v>-14</v>
      </c>
      <c r="AA239" t="s">
        <v>134</v>
      </c>
      <c r="AB239">
        <v>-6</v>
      </c>
      <c r="AC239" t="s">
        <v>259</v>
      </c>
      <c r="AD239">
        <v>-2</v>
      </c>
      <c r="AE239" t="s">
        <v>386</v>
      </c>
      <c r="AF239">
        <v>-16</v>
      </c>
      <c r="AG239" t="s">
        <v>867</v>
      </c>
      <c r="AH239">
        <v>-1</v>
      </c>
      <c r="AI239" t="s">
        <v>96</v>
      </c>
      <c r="AJ239">
        <v>-116</v>
      </c>
      <c r="AK239" t="s">
        <v>352</v>
      </c>
      <c r="AL239">
        <v>-14</v>
      </c>
      <c r="AM239" t="s">
        <v>479</v>
      </c>
      <c r="AN239">
        <v>-8</v>
      </c>
    </row>
    <row r="240" spans="2:40" x14ac:dyDescent="0.25">
      <c r="B240" t="s">
        <v>316</v>
      </c>
      <c r="C240">
        <v>-8</v>
      </c>
      <c r="E240" t="s">
        <v>473</v>
      </c>
      <c r="F240">
        <v>-4</v>
      </c>
      <c r="H240" t="s">
        <v>327</v>
      </c>
      <c r="I240">
        <v>-14</v>
      </c>
      <c r="J240" t="s">
        <v>1022</v>
      </c>
      <c r="K240">
        <v>-3</v>
      </c>
      <c r="L240" t="s">
        <v>980</v>
      </c>
      <c r="M240">
        <v>-18</v>
      </c>
      <c r="O240" t="s">
        <v>479</v>
      </c>
      <c r="P240">
        <v>-35</v>
      </c>
      <c r="Q240" t="s">
        <v>631</v>
      </c>
      <c r="R240">
        <v>-36</v>
      </c>
      <c r="S240" t="s">
        <v>1210</v>
      </c>
      <c r="T240">
        <v>-4</v>
      </c>
      <c r="U240" t="s">
        <v>399</v>
      </c>
      <c r="V240">
        <v>-15</v>
      </c>
      <c r="W240" t="s">
        <v>631</v>
      </c>
      <c r="X240">
        <v>-4</v>
      </c>
      <c r="Y240" t="s">
        <v>284</v>
      </c>
      <c r="Z240">
        <v>-4</v>
      </c>
      <c r="AA240" t="s">
        <v>1953</v>
      </c>
      <c r="AB240">
        <v>-1</v>
      </c>
      <c r="AC240" t="s">
        <v>613</v>
      </c>
      <c r="AD240">
        <v>-20</v>
      </c>
      <c r="AE240" t="s">
        <v>606</v>
      </c>
      <c r="AF240">
        <v>-1.8</v>
      </c>
      <c r="AG240" t="s">
        <v>120</v>
      </c>
      <c r="AH240">
        <v>-10</v>
      </c>
      <c r="AI240" t="s">
        <v>986</v>
      </c>
      <c r="AJ240">
        <v>-1</v>
      </c>
      <c r="AK240" t="s">
        <v>1572</v>
      </c>
      <c r="AL240">
        <v>-29</v>
      </c>
      <c r="AM240" t="s">
        <v>11</v>
      </c>
      <c r="AN240">
        <v>-22</v>
      </c>
    </row>
    <row r="241" spans="2:40" x14ac:dyDescent="0.25">
      <c r="B241" t="s">
        <v>386</v>
      </c>
      <c r="C241">
        <v>-103</v>
      </c>
      <c r="E241" t="s">
        <v>134</v>
      </c>
      <c r="F241">
        <v>-35</v>
      </c>
      <c r="H241" t="s">
        <v>473</v>
      </c>
      <c r="I241">
        <v>-1</v>
      </c>
      <c r="J241" t="s">
        <v>1023</v>
      </c>
      <c r="K241">
        <v>-3</v>
      </c>
      <c r="L241" t="s">
        <v>1190</v>
      </c>
      <c r="M241">
        <v>-1</v>
      </c>
      <c r="O241" t="s">
        <v>11</v>
      </c>
      <c r="P241">
        <v>-105</v>
      </c>
      <c r="Q241" t="s">
        <v>1212</v>
      </c>
      <c r="R241">
        <v>-24</v>
      </c>
      <c r="S241" t="s">
        <v>294</v>
      </c>
      <c r="T241">
        <v>-1</v>
      </c>
      <c r="U241" t="s">
        <v>311</v>
      </c>
      <c r="V241">
        <v>-4</v>
      </c>
      <c r="W241" t="s">
        <v>444</v>
      </c>
      <c r="X241">
        <v>-6.5990000000000002</v>
      </c>
      <c r="Y241" t="s">
        <v>779</v>
      </c>
      <c r="Z241">
        <v>-10</v>
      </c>
      <c r="AA241" t="s">
        <v>745</v>
      </c>
      <c r="AB241">
        <v>-23</v>
      </c>
      <c r="AC241" t="s">
        <v>142</v>
      </c>
      <c r="AD241">
        <v>-1</v>
      </c>
      <c r="AE241" t="s">
        <v>274</v>
      </c>
      <c r="AF241">
        <v>-8</v>
      </c>
      <c r="AG241" t="s">
        <v>308</v>
      </c>
      <c r="AH241">
        <v>-10</v>
      </c>
      <c r="AI241" t="s">
        <v>1202</v>
      </c>
      <c r="AJ241">
        <v>-5</v>
      </c>
      <c r="AK241" t="s">
        <v>299</v>
      </c>
      <c r="AL241">
        <v>-29</v>
      </c>
      <c r="AM241" t="s">
        <v>43</v>
      </c>
      <c r="AN241">
        <v>-85</v>
      </c>
    </row>
    <row r="242" spans="2:40" x14ac:dyDescent="0.25">
      <c r="B242" t="s">
        <v>606</v>
      </c>
      <c r="C242">
        <v>-244.48399999999987</v>
      </c>
      <c r="E242" t="s">
        <v>328</v>
      </c>
      <c r="F242">
        <v>-15</v>
      </c>
      <c r="H242" t="s">
        <v>134</v>
      </c>
      <c r="I242">
        <v>-24</v>
      </c>
      <c r="J242" t="s">
        <v>393</v>
      </c>
      <c r="K242">
        <v>-40</v>
      </c>
      <c r="L242" t="s">
        <v>1191</v>
      </c>
      <c r="M242">
        <v>-4</v>
      </c>
      <c r="O242" t="s">
        <v>43</v>
      </c>
      <c r="P242">
        <v>-67</v>
      </c>
      <c r="Q242" t="s">
        <v>143</v>
      </c>
      <c r="R242">
        <v>-48</v>
      </c>
      <c r="S242" t="s">
        <v>226</v>
      </c>
      <c r="T242">
        <v>-43</v>
      </c>
      <c r="U242" t="s">
        <v>312</v>
      </c>
      <c r="V242">
        <v>-2</v>
      </c>
      <c r="W242" t="s">
        <v>633</v>
      </c>
      <c r="X242">
        <v>-4</v>
      </c>
      <c r="Y242" t="s">
        <v>285</v>
      </c>
      <c r="Z242">
        <v>-6</v>
      </c>
      <c r="AA242" t="s">
        <v>780</v>
      </c>
      <c r="AB242">
        <v>-2</v>
      </c>
      <c r="AC242" t="s">
        <v>398</v>
      </c>
      <c r="AD242">
        <v>-4</v>
      </c>
      <c r="AE242" t="s">
        <v>1210</v>
      </c>
      <c r="AF242">
        <v>-4</v>
      </c>
      <c r="AG242" t="s">
        <v>309</v>
      </c>
      <c r="AH242">
        <v>-9</v>
      </c>
      <c r="AI242" t="s">
        <v>2205</v>
      </c>
      <c r="AJ242">
        <v>-1</v>
      </c>
      <c r="AK242" t="s">
        <v>1573</v>
      </c>
      <c r="AL242">
        <v>-32</v>
      </c>
      <c r="AM242" t="s">
        <v>768</v>
      </c>
      <c r="AN242">
        <v>-10</v>
      </c>
    </row>
    <row r="243" spans="2:40" x14ac:dyDescent="0.25">
      <c r="B243" t="s">
        <v>274</v>
      </c>
      <c r="C243">
        <v>-16</v>
      </c>
      <c r="E243" t="s">
        <v>745</v>
      </c>
      <c r="F243">
        <v>-23</v>
      </c>
      <c r="H243" t="s">
        <v>328</v>
      </c>
      <c r="I243">
        <v>-13</v>
      </c>
      <c r="J243" t="s">
        <v>815</v>
      </c>
      <c r="K243">
        <v>-6</v>
      </c>
      <c r="L243" t="s">
        <v>981</v>
      </c>
      <c r="M243">
        <v>-29</v>
      </c>
      <c r="O243" t="s">
        <v>768</v>
      </c>
      <c r="P243">
        <v>-7</v>
      </c>
      <c r="Q243" t="s">
        <v>1214</v>
      </c>
      <c r="R243">
        <v>-20</v>
      </c>
      <c r="S243" t="s">
        <v>656</v>
      </c>
      <c r="T243">
        <v>-1</v>
      </c>
      <c r="U243" t="s">
        <v>313</v>
      </c>
      <c r="V243">
        <v>-2</v>
      </c>
      <c r="W243" t="s">
        <v>736</v>
      </c>
      <c r="X243">
        <v>-2</v>
      </c>
      <c r="Y243" t="s">
        <v>1909</v>
      </c>
      <c r="Z243">
        <v>-91</v>
      </c>
      <c r="AA243" t="s">
        <v>393</v>
      </c>
      <c r="AB243">
        <v>-22</v>
      </c>
      <c r="AC243" t="s">
        <v>627</v>
      </c>
      <c r="AD243">
        <v>-100</v>
      </c>
      <c r="AE243" t="s">
        <v>541</v>
      </c>
      <c r="AF243">
        <v>-4</v>
      </c>
      <c r="AG243" t="s">
        <v>310</v>
      </c>
      <c r="AH243">
        <v>-8</v>
      </c>
      <c r="AI243" t="s">
        <v>303</v>
      </c>
      <c r="AJ243">
        <v>-20</v>
      </c>
      <c r="AK243" t="s">
        <v>448</v>
      </c>
      <c r="AL243">
        <v>-83</v>
      </c>
      <c r="AM243" t="s">
        <v>2202</v>
      </c>
      <c r="AN243">
        <v>-5</v>
      </c>
    </row>
    <row r="244" spans="2:40" x14ac:dyDescent="0.25">
      <c r="B244" t="s">
        <v>293</v>
      </c>
      <c r="C244">
        <v>-7</v>
      </c>
      <c r="E244" t="s">
        <v>780</v>
      </c>
      <c r="F244">
        <v>-4</v>
      </c>
      <c r="H244" t="s">
        <v>497</v>
      </c>
      <c r="I244">
        <v>-1</v>
      </c>
      <c r="J244" t="s">
        <v>1024</v>
      </c>
      <c r="K244">
        <v>-9</v>
      </c>
      <c r="L244" t="s">
        <v>501</v>
      </c>
      <c r="M244">
        <v>-3</v>
      </c>
      <c r="O244" t="s">
        <v>1193</v>
      </c>
      <c r="P244">
        <v>-1</v>
      </c>
      <c r="Q244" t="s">
        <v>1574</v>
      </c>
      <c r="R244">
        <v>-1.125</v>
      </c>
      <c r="S244" t="s">
        <v>869</v>
      </c>
      <c r="T244">
        <v>-1</v>
      </c>
      <c r="U244" t="s">
        <v>314</v>
      </c>
      <c r="V244">
        <v>-2</v>
      </c>
      <c r="W244" t="s">
        <v>364</v>
      </c>
      <c r="X244">
        <v>-1</v>
      </c>
      <c r="Y244" t="s">
        <v>208</v>
      </c>
      <c r="Z244">
        <v>-10</v>
      </c>
      <c r="AA244" t="s">
        <v>815</v>
      </c>
      <c r="AB244">
        <v>-1</v>
      </c>
      <c r="AC244" t="s">
        <v>1675</v>
      </c>
      <c r="AD244">
        <v>-1</v>
      </c>
      <c r="AE244" t="s">
        <v>226</v>
      </c>
      <c r="AF244">
        <v>-8</v>
      </c>
      <c r="AG244" t="s">
        <v>399</v>
      </c>
      <c r="AH244">
        <v>-10</v>
      </c>
      <c r="AI244" t="s">
        <v>304</v>
      </c>
      <c r="AJ244">
        <v>-22</v>
      </c>
      <c r="AK244" t="s">
        <v>120</v>
      </c>
      <c r="AL244">
        <v>-6</v>
      </c>
      <c r="AM244" t="s">
        <v>167</v>
      </c>
      <c r="AN244">
        <v>-42.5</v>
      </c>
    </row>
    <row r="245" spans="2:40" x14ac:dyDescent="0.25">
      <c r="B245" t="s">
        <v>294</v>
      </c>
      <c r="C245">
        <v>-7</v>
      </c>
      <c r="E245" t="s">
        <v>393</v>
      </c>
      <c r="F245">
        <v>-221</v>
      </c>
      <c r="H245" t="s">
        <v>393</v>
      </c>
      <c r="I245">
        <v>-56</v>
      </c>
      <c r="J245" t="s">
        <v>100</v>
      </c>
      <c r="K245">
        <v>-9</v>
      </c>
      <c r="L245" t="s">
        <v>168</v>
      </c>
      <c r="M245">
        <v>-4</v>
      </c>
      <c r="O245" t="s">
        <v>167</v>
      </c>
      <c r="P245">
        <v>-35</v>
      </c>
      <c r="Q245" t="s">
        <v>444</v>
      </c>
      <c r="R245">
        <v>-3</v>
      </c>
      <c r="S245" t="s">
        <v>631</v>
      </c>
      <c r="T245">
        <v>-31.9998</v>
      </c>
      <c r="U245" t="s">
        <v>118</v>
      </c>
      <c r="V245">
        <v>-4</v>
      </c>
      <c r="W245" t="s">
        <v>632</v>
      </c>
      <c r="X245">
        <v>-4</v>
      </c>
      <c r="Y245" t="s">
        <v>212</v>
      </c>
      <c r="Z245">
        <v>-4</v>
      </c>
      <c r="AA245" t="s">
        <v>100</v>
      </c>
      <c r="AB245">
        <v>-6</v>
      </c>
      <c r="AC245" t="s">
        <v>360</v>
      </c>
      <c r="AD245">
        <v>-250</v>
      </c>
      <c r="AE245" t="s">
        <v>631</v>
      </c>
      <c r="AF245">
        <v>-3</v>
      </c>
      <c r="AG245" t="s">
        <v>311</v>
      </c>
      <c r="AH245">
        <v>-18</v>
      </c>
      <c r="AI245" t="s">
        <v>305</v>
      </c>
      <c r="AJ245">
        <v>-37</v>
      </c>
      <c r="AK245" t="s">
        <v>308</v>
      </c>
      <c r="AL245">
        <v>-7</v>
      </c>
      <c r="AM245" t="s">
        <v>562</v>
      </c>
      <c r="AN245">
        <v>-12</v>
      </c>
    </row>
    <row r="246" spans="2:40" x14ac:dyDescent="0.25">
      <c r="B246" t="s">
        <v>331</v>
      </c>
      <c r="C246">
        <v>-1</v>
      </c>
      <c r="E246" t="s">
        <v>815</v>
      </c>
      <c r="F246">
        <v>-3</v>
      </c>
      <c r="H246" t="s">
        <v>100</v>
      </c>
      <c r="I246">
        <v>-112</v>
      </c>
      <c r="J246" t="s">
        <v>450</v>
      </c>
      <c r="K246">
        <v>-134</v>
      </c>
      <c r="L246" t="s">
        <v>6</v>
      </c>
      <c r="M246">
        <v>-4</v>
      </c>
      <c r="O246" t="s">
        <v>798</v>
      </c>
      <c r="P246">
        <v>-127</v>
      </c>
      <c r="Q246" t="s">
        <v>633</v>
      </c>
      <c r="R246">
        <v>-6</v>
      </c>
      <c r="S246" t="s">
        <v>444</v>
      </c>
      <c r="T246">
        <v>-7.9999999999999991</v>
      </c>
      <c r="U246" t="s">
        <v>315</v>
      </c>
      <c r="V246">
        <v>-4</v>
      </c>
      <c r="W246" t="s">
        <v>39</v>
      </c>
      <c r="X246">
        <v>-21</v>
      </c>
      <c r="Y246" t="s">
        <v>1910</v>
      </c>
      <c r="Z246">
        <v>-2</v>
      </c>
      <c r="AA246" t="s">
        <v>450</v>
      </c>
      <c r="AB246">
        <v>-162</v>
      </c>
      <c r="AC246" t="s">
        <v>351</v>
      </c>
      <c r="AD246">
        <v>-3</v>
      </c>
      <c r="AE246" t="s">
        <v>143</v>
      </c>
      <c r="AF246">
        <v>-32</v>
      </c>
      <c r="AG246" t="s">
        <v>312</v>
      </c>
      <c r="AH246">
        <v>-9</v>
      </c>
      <c r="AI246" t="s">
        <v>116</v>
      </c>
      <c r="AJ246">
        <v>-37</v>
      </c>
      <c r="AK246" t="s">
        <v>994</v>
      </c>
      <c r="AL246">
        <v>-2</v>
      </c>
      <c r="AM246" t="s">
        <v>1995</v>
      </c>
      <c r="AN246">
        <v>-1</v>
      </c>
    </row>
    <row r="247" spans="2:40" x14ac:dyDescent="0.25">
      <c r="B247" t="s">
        <v>541</v>
      </c>
      <c r="C247">
        <v>-20</v>
      </c>
      <c r="E247" t="s">
        <v>100</v>
      </c>
      <c r="F247">
        <v>-68</v>
      </c>
      <c r="H247" t="s">
        <v>98</v>
      </c>
      <c r="I247">
        <v>-81</v>
      </c>
      <c r="J247" t="s">
        <v>318</v>
      </c>
      <c r="K247">
        <v>-3</v>
      </c>
      <c r="L247" t="s">
        <v>1192</v>
      </c>
      <c r="M247">
        <v>-7</v>
      </c>
      <c r="O247" t="s">
        <v>1194</v>
      </c>
      <c r="P247">
        <v>-2</v>
      </c>
      <c r="Q247" t="s">
        <v>736</v>
      </c>
      <c r="R247">
        <v>-1</v>
      </c>
      <c r="S247" t="s">
        <v>633</v>
      </c>
      <c r="T247">
        <v>-4.9998000000000005</v>
      </c>
      <c r="U247" t="s">
        <v>1736</v>
      </c>
      <c r="V247">
        <v>-1</v>
      </c>
      <c r="W247" t="s">
        <v>1427</v>
      </c>
      <c r="X247">
        <v>-20</v>
      </c>
      <c r="Y247" t="s">
        <v>280</v>
      </c>
      <c r="Z247">
        <v>-40</v>
      </c>
      <c r="AA247" t="s">
        <v>318</v>
      </c>
      <c r="AB247">
        <v>-1</v>
      </c>
      <c r="AC247" t="s">
        <v>230</v>
      </c>
      <c r="AD247">
        <v>-4</v>
      </c>
      <c r="AE247" t="s">
        <v>444</v>
      </c>
      <c r="AF247">
        <v>-5</v>
      </c>
      <c r="AG247" t="s">
        <v>313</v>
      </c>
      <c r="AH247">
        <v>-9</v>
      </c>
      <c r="AI247" t="s">
        <v>2206</v>
      </c>
      <c r="AJ247">
        <v>-14</v>
      </c>
      <c r="AK247" t="s">
        <v>309</v>
      </c>
      <c r="AL247">
        <v>-7</v>
      </c>
      <c r="AM247" t="s">
        <v>560</v>
      </c>
      <c r="AN247">
        <v>-6</v>
      </c>
    </row>
    <row r="248" spans="2:40" x14ac:dyDescent="0.25">
      <c r="B248" t="s">
        <v>226</v>
      </c>
      <c r="C248">
        <v>-16</v>
      </c>
      <c r="E248" t="s">
        <v>98</v>
      </c>
      <c r="F248">
        <v>-100</v>
      </c>
      <c r="H248" t="s">
        <v>450</v>
      </c>
      <c r="I248">
        <v>-323</v>
      </c>
      <c r="J248" t="s">
        <v>319</v>
      </c>
      <c r="K248">
        <v>-3</v>
      </c>
      <c r="L248" t="s">
        <v>10</v>
      </c>
      <c r="M248">
        <v>-36</v>
      </c>
      <c r="O248" t="s">
        <v>564</v>
      </c>
      <c r="P248">
        <v>-2</v>
      </c>
      <c r="Q248" t="s">
        <v>364</v>
      </c>
      <c r="R248">
        <v>-3</v>
      </c>
      <c r="S248" t="s">
        <v>736</v>
      </c>
      <c r="T248">
        <v>-1</v>
      </c>
      <c r="U248" t="s">
        <v>316</v>
      </c>
      <c r="V248">
        <v>-1</v>
      </c>
      <c r="W248" t="s">
        <v>730</v>
      </c>
      <c r="X248">
        <v>-8</v>
      </c>
      <c r="Y248" t="s">
        <v>32</v>
      </c>
      <c r="Z248">
        <v>-9</v>
      </c>
      <c r="AA248" t="s">
        <v>319</v>
      </c>
      <c r="AB248">
        <v>-1</v>
      </c>
      <c r="AC248" t="s">
        <v>217</v>
      </c>
      <c r="AD248">
        <v>-3</v>
      </c>
      <c r="AE248" t="s">
        <v>633</v>
      </c>
      <c r="AF248">
        <v>-4</v>
      </c>
      <c r="AG248" t="s">
        <v>314</v>
      </c>
      <c r="AH248">
        <v>-9</v>
      </c>
      <c r="AI248" t="s">
        <v>117</v>
      </c>
      <c r="AJ248">
        <v>-10</v>
      </c>
      <c r="AK248" t="s">
        <v>310</v>
      </c>
      <c r="AL248">
        <v>-6</v>
      </c>
      <c r="AM248" t="s">
        <v>759</v>
      </c>
      <c r="AN248">
        <v>-18</v>
      </c>
    </row>
    <row r="249" spans="2:40" x14ac:dyDescent="0.25">
      <c r="B249" t="s">
        <v>251</v>
      </c>
      <c r="C249">
        <v>-20</v>
      </c>
      <c r="E249" t="s">
        <v>322</v>
      </c>
      <c r="F249">
        <v>-6.15</v>
      </c>
      <c r="H249" t="s">
        <v>318</v>
      </c>
      <c r="I249">
        <v>-5</v>
      </c>
      <c r="J249" t="s">
        <v>1025</v>
      </c>
      <c r="K249">
        <v>-3</v>
      </c>
      <c r="L249" t="s">
        <v>479</v>
      </c>
      <c r="M249">
        <v>-6</v>
      </c>
      <c r="O249" t="s">
        <v>562</v>
      </c>
      <c r="P249">
        <v>-15</v>
      </c>
      <c r="Q249" t="s">
        <v>453</v>
      </c>
      <c r="R249">
        <v>-165</v>
      </c>
      <c r="S249" t="s">
        <v>364</v>
      </c>
      <c r="T249">
        <v>-5</v>
      </c>
      <c r="U249" t="s">
        <v>606</v>
      </c>
      <c r="V249">
        <v>-19</v>
      </c>
      <c r="W249" t="s">
        <v>259</v>
      </c>
      <c r="X249">
        <v>-13</v>
      </c>
      <c r="Y249" t="s">
        <v>33</v>
      </c>
      <c r="Z249">
        <v>-2</v>
      </c>
      <c r="AA249" t="s">
        <v>333</v>
      </c>
      <c r="AB249">
        <v>-2</v>
      </c>
      <c r="AC249" t="s">
        <v>2003</v>
      </c>
      <c r="AD249">
        <v>-1</v>
      </c>
      <c r="AE249" t="s">
        <v>736</v>
      </c>
      <c r="AF249">
        <v>-2</v>
      </c>
      <c r="AG249" t="s">
        <v>118</v>
      </c>
      <c r="AH249">
        <v>-19</v>
      </c>
      <c r="AI249" t="s">
        <v>121</v>
      </c>
      <c r="AJ249">
        <v>-12</v>
      </c>
      <c r="AK249" t="s">
        <v>399</v>
      </c>
      <c r="AL249">
        <v>-8</v>
      </c>
      <c r="AM249" t="s">
        <v>2369</v>
      </c>
      <c r="AN249">
        <v>-12</v>
      </c>
    </row>
    <row r="250" spans="2:40" x14ac:dyDescent="0.25">
      <c r="B250" t="s">
        <v>252</v>
      </c>
      <c r="C250">
        <v>-20</v>
      </c>
      <c r="E250" t="s">
        <v>450</v>
      </c>
      <c r="F250">
        <v>-808.99999999999989</v>
      </c>
      <c r="H250" t="s">
        <v>319</v>
      </c>
      <c r="I250">
        <v>-5</v>
      </c>
      <c r="J250" t="s">
        <v>1026</v>
      </c>
      <c r="K250">
        <v>-6</v>
      </c>
      <c r="L250" t="s">
        <v>11</v>
      </c>
      <c r="M250">
        <v>-90</v>
      </c>
      <c r="O250" t="s">
        <v>864</v>
      </c>
      <c r="P250">
        <v>-55</v>
      </c>
      <c r="Q250" t="s">
        <v>632</v>
      </c>
      <c r="R250">
        <v>-8</v>
      </c>
      <c r="S250" t="s">
        <v>453</v>
      </c>
      <c r="T250">
        <v>-165</v>
      </c>
      <c r="U250" t="s">
        <v>274</v>
      </c>
      <c r="V250">
        <v>-12</v>
      </c>
      <c r="W250" t="s">
        <v>613</v>
      </c>
      <c r="X250">
        <v>-12</v>
      </c>
      <c r="Y250" t="s">
        <v>34</v>
      </c>
      <c r="Z250">
        <v>-9</v>
      </c>
      <c r="AA250" t="s">
        <v>306</v>
      </c>
      <c r="AB250">
        <v>-96</v>
      </c>
      <c r="AC250" t="s">
        <v>52</v>
      </c>
      <c r="AD250">
        <v>-2</v>
      </c>
      <c r="AE250" t="s">
        <v>364</v>
      </c>
      <c r="AF250">
        <v>-1</v>
      </c>
      <c r="AG250" t="s">
        <v>315</v>
      </c>
      <c r="AH250">
        <v>-10</v>
      </c>
      <c r="AI250" t="s">
        <v>321</v>
      </c>
      <c r="AJ250">
        <v>-16</v>
      </c>
      <c r="AK250" t="s">
        <v>311</v>
      </c>
      <c r="AL250">
        <v>-12</v>
      </c>
      <c r="AM250" t="s">
        <v>2370</v>
      </c>
      <c r="AN250">
        <v>-12</v>
      </c>
    </row>
    <row r="251" spans="2:40" x14ac:dyDescent="0.25">
      <c r="B251" t="s">
        <v>511</v>
      </c>
      <c r="C251">
        <v>-2</v>
      </c>
      <c r="E251" t="s">
        <v>318</v>
      </c>
      <c r="F251">
        <v>-15</v>
      </c>
      <c r="H251" t="s">
        <v>333</v>
      </c>
      <c r="I251">
        <v>-13</v>
      </c>
      <c r="J251" t="s">
        <v>306</v>
      </c>
      <c r="K251">
        <v>-19</v>
      </c>
      <c r="L251" t="s">
        <v>43</v>
      </c>
      <c r="M251">
        <v>-86</v>
      </c>
      <c r="O251" t="s">
        <v>757</v>
      </c>
      <c r="P251">
        <v>-6</v>
      </c>
      <c r="Q251" t="s">
        <v>1218</v>
      </c>
      <c r="R251">
        <v>-32</v>
      </c>
      <c r="S251" t="s">
        <v>632</v>
      </c>
      <c r="T251">
        <v>-1.9999999999999998</v>
      </c>
      <c r="U251" t="s">
        <v>293</v>
      </c>
      <c r="V251">
        <v>-1</v>
      </c>
      <c r="W251" t="s">
        <v>398</v>
      </c>
      <c r="X251">
        <v>-6</v>
      </c>
      <c r="Y251" t="s">
        <v>666</v>
      </c>
      <c r="Z251">
        <v>-1</v>
      </c>
      <c r="AA251" t="s">
        <v>317</v>
      </c>
      <c r="AB251">
        <v>-7</v>
      </c>
      <c r="AC251" t="s">
        <v>1235</v>
      </c>
      <c r="AD251">
        <v>-1</v>
      </c>
      <c r="AE251" t="s">
        <v>453</v>
      </c>
      <c r="AF251">
        <v>-117</v>
      </c>
      <c r="AG251" t="s">
        <v>1672</v>
      </c>
      <c r="AH251">
        <v>-9</v>
      </c>
      <c r="AI251" t="s">
        <v>296</v>
      </c>
      <c r="AJ251">
        <v>-37</v>
      </c>
      <c r="AK251" t="s">
        <v>312</v>
      </c>
      <c r="AL251">
        <v>-6</v>
      </c>
      <c r="AM251" t="s">
        <v>1823</v>
      </c>
      <c r="AN251">
        <v>-4</v>
      </c>
    </row>
    <row r="252" spans="2:40" x14ac:dyDescent="0.25">
      <c r="B252" t="s">
        <v>706</v>
      </c>
      <c r="C252">
        <v>-20</v>
      </c>
      <c r="E252" t="s">
        <v>319</v>
      </c>
      <c r="F252">
        <v>-16</v>
      </c>
      <c r="H252" t="s">
        <v>306</v>
      </c>
      <c r="I252">
        <v>-83</v>
      </c>
      <c r="J252" t="s">
        <v>320</v>
      </c>
      <c r="K252">
        <v>-10</v>
      </c>
      <c r="L252" t="s">
        <v>1193</v>
      </c>
      <c r="M252">
        <v>-5</v>
      </c>
      <c r="O252" t="s">
        <v>560</v>
      </c>
      <c r="P252">
        <v>-12</v>
      </c>
      <c r="Q252" t="s">
        <v>1219</v>
      </c>
      <c r="R252">
        <v>-44</v>
      </c>
      <c r="S252" t="s">
        <v>1218</v>
      </c>
      <c r="T252">
        <v>-32.667100000000005</v>
      </c>
      <c r="U252" t="s">
        <v>1210</v>
      </c>
      <c r="V252">
        <v>-2</v>
      </c>
      <c r="W252" t="s">
        <v>626</v>
      </c>
      <c r="X252">
        <v>-1049</v>
      </c>
      <c r="Y252" t="s">
        <v>225</v>
      </c>
      <c r="Z252">
        <v>-1</v>
      </c>
      <c r="AA252" t="s">
        <v>1247</v>
      </c>
      <c r="AB252">
        <v>-1</v>
      </c>
      <c r="AC252" t="s">
        <v>581</v>
      </c>
      <c r="AD252">
        <v>-5</v>
      </c>
      <c r="AE252" t="s">
        <v>632</v>
      </c>
      <c r="AF252">
        <v>-2</v>
      </c>
      <c r="AG252" t="s">
        <v>386</v>
      </c>
      <c r="AH252">
        <v>-37</v>
      </c>
      <c r="AI252" t="s">
        <v>800</v>
      </c>
      <c r="AJ252">
        <v>-37</v>
      </c>
      <c r="AK252" t="s">
        <v>313</v>
      </c>
      <c r="AL252">
        <v>-6</v>
      </c>
      <c r="AM252" t="s">
        <v>191</v>
      </c>
      <c r="AN252">
        <v>-11</v>
      </c>
    </row>
    <row r="253" spans="2:40" x14ac:dyDescent="0.25">
      <c r="B253" t="s">
        <v>631</v>
      </c>
      <c r="C253">
        <v>-39.259999999999984</v>
      </c>
      <c r="E253" t="s">
        <v>333</v>
      </c>
      <c r="F253">
        <v>-17</v>
      </c>
      <c r="H253" t="s">
        <v>320</v>
      </c>
      <c r="I253">
        <v>-10</v>
      </c>
      <c r="J253" t="s">
        <v>317</v>
      </c>
      <c r="K253">
        <v>-2</v>
      </c>
      <c r="L253" t="s">
        <v>167</v>
      </c>
      <c r="M253">
        <v>-20</v>
      </c>
      <c r="O253" t="s">
        <v>759</v>
      </c>
      <c r="P253">
        <v>-2</v>
      </c>
      <c r="Q253" t="s">
        <v>1220</v>
      </c>
      <c r="R253">
        <v>-87.799999999999983</v>
      </c>
      <c r="S253" t="s">
        <v>1219</v>
      </c>
      <c r="T253">
        <v>-32.667100000000005</v>
      </c>
      <c r="U253" t="s">
        <v>294</v>
      </c>
      <c r="V253">
        <v>-2</v>
      </c>
      <c r="W253" t="s">
        <v>361</v>
      </c>
      <c r="X253">
        <v>-200</v>
      </c>
      <c r="Y253" t="s">
        <v>27</v>
      </c>
      <c r="Z253">
        <v>-2</v>
      </c>
      <c r="AA253" t="s">
        <v>1248</v>
      </c>
      <c r="AB253">
        <v>-1</v>
      </c>
      <c r="AC253" t="s">
        <v>229</v>
      </c>
      <c r="AD253">
        <v>-37.5</v>
      </c>
      <c r="AE253" t="s">
        <v>39</v>
      </c>
      <c r="AF253">
        <v>-6</v>
      </c>
      <c r="AG253" t="s">
        <v>606</v>
      </c>
      <c r="AH253">
        <v>-10.4</v>
      </c>
      <c r="AI253" t="s">
        <v>801</v>
      </c>
      <c r="AJ253">
        <v>-37</v>
      </c>
      <c r="AK253" t="s">
        <v>314</v>
      </c>
      <c r="AL253">
        <v>-6</v>
      </c>
      <c r="AM253" t="s">
        <v>192</v>
      </c>
      <c r="AN253">
        <v>-1</v>
      </c>
    </row>
    <row r="254" spans="2:40" x14ac:dyDescent="0.25">
      <c r="B254" t="s">
        <v>775</v>
      </c>
      <c r="C254">
        <v>-2</v>
      </c>
      <c r="E254" t="s">
        <v>306</v>
      </c>
      <c r="F254">
        <v>-143</v>
      </c>
      <c r="H254" t="s">
        <v>317</v>
      </c>
      <c r="I254">
        <v>-12</v>
      </c>
      <c r="J254" t="s">
        <v>307</v>
      </c>
      <c r="K254">
        <v>-4</v>
      </c>
      <c r="L254" t="s">
        <v>1194</v>
      </c>
      <c r="M254">
        <v>-3</v>
      </c>
      <c r="O254" t="s">
        <v>771</v>
      </c>
      <c r="P254">
        <v>-9</v>
      </c>
      <c r="Q254" t="s">
        <v>1426</v>
      </c>
      <c r="R254">
        <v>-11.5</v>
      </c>
      <c r="S254" t="s">
        <v>1220</v>
      </c>
      <c r="T254">
        <v>-49.33420000000001</v>
      </c>
      <c r="U254" t="s">
        <v>226</v>
      </c>
      <c r="V254">
        <v>-6</v>
      </c>
      <c r="W254" t="s">
        <v>1675</v>
      </c>
      <c r="X254">
        <v>-4</v>
      </c>
      <c r="Y254" t="s">
        <v>30</v>
      </c>
      <c r="Z254">
        <v>-3</v>
      </c>
      <c r="AA254" t="s">
        <v>307</v>
      </c>
      <c r="AB254">
        <v>-26</v>
      </c>
      <c r="AC254" t="s">
        <v>278</v>
      </c>
      <c r="AD254">
        <v>-26</v>
      </c>
      <c r="AE254" t="s">
        <v>730</v>
      </c>
      <c r="AF254">
        <v>-16</v>
      </c>
      <c r="AG254" t="s">
        <v>803</v>
      </c>
      <c r="AH254">
        <v>-1</v>
      </c>
      <c r="AI254" t="s">
        <v>802</v>
      </c>
      <c r="AJ254">
        <v>-37</v>
      </c>
      <c r="AK254" t="s">
        <v>118</v>
      </c>
      <c r="AL254">
        <v>-13</v>
      </c>
      <c r="AM254" t="s">
        <v>348</v>
      </c>
      <c r="AN254">
        <v>-2</v>
      </c>
    </row>
    <row r="255" spans="2:40" x14ac:dyDescent="0.25">
      <c r="B255" t="s">
        <v>143</v>
      </c>
      <c r="C255">
        <v>-24</v>
      </c>
      <c r="E255" t="s">
        <v>320</v>
      </c>
      <c r="F255">
        <v>-38</v>
      </c>
      <c r="H255" t="s">
        <v>307</v>
      </c>
      <c r="I255">
        <v>-378</v>
      </c>
      <c r="J255" t="s">
        <v>99</v>
      </c>
      <c r="K255">
        <v>-16</v>
      </c>
      <c r="L255" t="s">
        <v>560</v>
      </c>
      <c r="M255">
        <v>-14</v>
      </c>
      <c r="O255" t="s">
        <v>1195</v>
      </c>
      <c r="P255">
        <v>-6</v>
      </c>
      <c r="Q255" t="s">
        <v>1221</v>
      </c>
      <c r="R255">
        <v>-36</v>
      </c>
      <c r="S255" t="s">
        <v>1426</v>
      </c>
      <c r="T255">
        <v>-2.0828999999999991</v>
      </c>
      <c r="U255" t="s">
        <v>869</v>
      </c>
      <c r="V255">
        <v>-3</v>
      </c>
      <c r="W255" t="s">
        <v>360</v>
      </c>
      <c r="X255">
        <v>-84</v>
      </c>
      <c r="Y255" t="s">
        <v>87</v>
      </c>
      <c r="Z255">
        <v>-1</v>
      </c>
      <c r="AA255" t="s">
        <v>99</v>
      </c>
      <c r="AB255">
        <v>-5</v>
      </c>
      <c r="AC255" t="s">
        <v>244</v>
      </c>
      <c r="AD255">
        <v>-137</v>
      </c>
      <c r="AE255" t="s">
        <v>2064</v>
      </c>
      <c r="AF255">
        <v>-15</v>
      </c>
      <c r="AG255" t="s">
        <v>804</v>
      </c>
      <c r="AH255">
        <v>-1</v>
      </c>
      <c r="AI255" t="s">
        <v>297</v>
      </c>
      <c r="AJ255">
        <v>-37</v>
      </c>
      <c r="AK255" t="s">
        <v>315</v>
      </c>
      <c r="AL255">
        <v>-6</v>
      </c>
      <c r="AM255" t="s">
        <v>182</v>
      </c>
      <c r="AN255">
        <v>-16</v>
      </c>
    </row>
    <row r="256" spans="2:40" x14ac:dyDescent="0.25">
      <c r="B256" t="s">
        <v>669</v>
      </c>
      <c r="C256">
        <v>-10</v>
      </c>
      <c r="E256" t="s">
        <v>317</v>
      </c>
      <c r="F256">
        <v>-36</v>
      </c>
      <c r="H256" t="s">
        <v>115</v>
      </c>
      <c r="I256">
        <v>-323</v>
      </c>
      <c r="J256" t="s">
        <v>1027</v>
      </c>
      <c r="K256">
        <v>-9</v>
      </c>
      <c r="L256" t="s">
        <v>771</v>
      </c>
      <c r="M256">
        <v>-14</v>
      </c>
      <c r="O256" t="s">
        <v>191</v>
      </c>
      <c r="P256">
        <v>-18</v>
      </c>
      <c r="Q256" t="s">
        <v>1222</v>
      </c>
      <c r="R256">
        <v>-19</v>
      </c>
      <c r="S256" t="s">
        <v>1221</v>
      </c>
      <c r="T256">
        <v>-32.667100000000005</v>
      </c>
      <c r="U256" t="s">
        <v>631</v>
      </c>
      <c r="V256">
        <v>-2.0000000000000001E-4</v>
      </c>
      <c r="W256" t="s">
        <v>351</v>
      </c>
      <c r="X256">
        <v>-15</v>
      </c>
      <c r="Y256" t="s">
        <v>879</v>
      </c>
      <c r="Z256">
        <v>-14</v>
      </c>
      <c r="AA256" t="s">
        <v>400</v>
      </c>
      <c r="AB256">
        <v>-8</v>
      </c>
      <c r="AC256" t="s">
        <v>243</v>
      </c>
      <c r="AD256">
        <v>-60</v>
      </c>
      <c r="AE256" t="s">
        <v>2065</v>
      </c>
      <c r="AF256">
        <v>-4</v>
      </c>
      <c r="AG256" t="s">
        <v>805</v>
      </c>
      <c r="AH256">
        <v>-2</v>
      </c>
      <c r="AI256" t="s">
        <v>1572</v>
      </c>
      <c r="AJ256">
        <v>-37</v>
      </c>
      <c r="AK256" t="s">
        <v>2276</v>
      </c>
      <c r="AL256">
        <v>-3</v>
      </c>
      <c r="AM256" t="s">
        <v>181</v>
      </c>
      <c r="AN256">
        <v>-16</v>
      </c>
    </row>
    <row r="257" spans="2:40" x14ac:dyDescent="0.25">
      <c r="B257" t="s">
        <v>670</v>
      </c>
      <c r="C257">
        <v>-2</v>
      </c>
      <c r="E257" t="s">
        <v>307</v>
      </c>
      <c r="F257">
        <v>-285</v>
      </c>
      <c r="H257" t="s">
        <v>99</v>
      </c>
      <c r="I257">
        <v>-26</v>
      </c>
      <c r="J257" t="s">
        <v>184</v>
      </c>
      <c r="K257">
        <v>-12</v>
      </c>
      <c r="L257" t="s">
        <v>1195</v>
      </c>
      <c r="M257">
        <v>-10</v>
      </c>
      <c r="O257" t="s">
        <v>90</v>
      </c>
      <c r="P257">
        <v>-30</v>
      </c>
      <c r="Q257" t="s">
        <v>1223</v>
      </c>
      <c r="R257">
        <v>-2.5</v>
      </c>
      <c r="S257" t="s">
        <v>1222</v>
      </c>
      <c r="T257">
        <v>-15</v>
      </c>
      <c r="U257" t="s">
        <v>669</v>
      </c>
      <c r="V257">
        <v>-4</v>
      </c>
      <c r="W257" t="s">
        <v>230</v>
      </c>
      <c r="X257">
        <v>-7</v>
      </c>
      <c r="Y257" t="s">
        <v>249</v>
      </c>
      <c r="Z257">
        <v>-25</v>
      </c>
      <c r="AA257" t="s">
        <v>1954</v>
      </c>
      <c r="AB257">
        <v>-2</v>
      </c>
      <c r="AC257" t="s">
        <v>602</v>
      </c>
      <c r="AD257">
        <v>-7</v>
      </c>
      <c r="AE257" t="s">
        <v>2066</v>
      </c>
      <c r="AF257">
        <v>-1</v>
      </c>
      <c r="AG257" t="s">
        <v>274</v>
      </c>
      <c r="AH257">
        <v>-21</v>
      </c>
      <c r="AI257" t="s">
        <v>299</v>
      </c>
      <c r="AJ257">
        <v>-37</v>
      </c>
      <c r="AK257" t="s">
        <v>1672</v>
      </c>
      <c r="AL257">
        <v>-1</v>
      </c>
      <c r="AM257" t="s">
        <v>185</v>
      </c>
      <c r="AN257">
        <v>-8</v>
      </c>
    </row>
    <row r="258" spans="2:40" x14ac:dyDescent="0.25">
      <c r="B258" t="s">
        <v>668</v>
      </c>
      <c r="C258">
        <v>-8</v>
      </c>
      <c r="E258" t="s">
        <v>115</v>
      </c>
      <c r="F258">
        <v>-320</v>
      </c>
      <c r="H258" t="s">
        <v>400</v>
      </c>
      <c r="I258">
        <v>-54</v>
      </c>
      <c r="J258" t="s">
        <v>324</v>
      </c>
      <c r="K258">
        <v>-18</v>
      </c>
      <c r="L258" t="s">
        <v>191</v>
      </c>
      <c r="M258">
        <v>-10</v>
      </c>
      <c r="O258" t="s">
        <v>1196</v>
      </c>
      <c r="P258">
        <v>-96</v>
      </c>
      <c r="Q258" t="s">
        <v>39</v>
      </c>
      <c r="R258">
        <v>-40</v>
      </c>
      <c r="S258" t="s">
        <v>1223</v>
      </c>
      <c r="T258">
        <v>-2.0828999999999991</v>
      </c>
      <c r="U258" t="s">
        <v>670</v>
      </c>
      <c r="V258">
        <v>-1</v>
      </c>
      <c r="W258" t="s">
        <v>217</v>
      </c>
      <c r="X258">
        <v>-7</v>
      </c>
      <c r="Y258" t="s">
        <v>250</v>
      </c>
      <c r="Z258">
        <v>-3</v>
      </c>
      <c r="AA258" t="s">
        <v>1955</v>
      </c>
      <c r="AB258">
        <v>-2</v>
      </c>
      <c r="AC258" t="s">
        <v>746</v>
      </c>
      <c r="AD258">
        <v>-4</v>
      </c>
      <c r="AE258" t="s">
        <v>2067</v>
      </c>
      <c r="AF258">
        <v>-2</v>
      </c>
      <c r="AG258" t="s">
        <v>1210</v>
      </c>
      <c r="AH258">
        <v>-9</v>
      </c>
      <c r="AI258" t="s">
        <v>1573</v>
      </c>
      <c r="AJ258">
        <v>-37</v>
      </c>
      <c r="AK258" t="s">
        <v>316</v>
      </c>
      <c r="AL258">
        <v>-2</v>
      </c>
      <c r="AM258" t="s">
        <v>799</v>
      </c>
      <c r="AN258">
        <v>-105</v>
      </c>
    </row>
    <row r="259" spans="2:40" x14ac:dyDescent="0.25">
      <c r="B259" t="s">
        <v>444</v>
      </c>
      <c r="C259">
        <v>-20</v>
      </c>
      <c r="E259" t="s">
        <v>99</v>
      </c>
      <c r="F259">
        <v>-33</v>
      </c>
      <c r="H259" t="s">
        <v>324</v>
      </c>
      <c r="I259">
        <v>-30</v>
      </c>
      <c r="J259" t="s">
        <v>301</v>
      </c>
      <c r="K259">
        <v>-6</v>
      </c>
      <c r="L259" t="s">
        <v>192</v>
      </c>
      <c r="M259">
        <v>-2</v>
      </c>
      <c r="O259" t="s">
        <v>348</v>
      </c>
      <c r="P259">
        <v>-1</v>
      </c>
      <c r="Q259" t="s">
        <v>1224</v>
      </c>
      <c r="R259">
        <v>-162</v>
      </c>
      <c r="S259" t="s">
        <v>39</v>
      </c>
      <c r="T259">
        <v>-18</v>
      </c>
      <c r="U259" t="s">
        <v>633</v>
      </c>
      <c r="V259">
        <v>-2.0000000000000001E-4</v>
      </c>
      <c r="W259" t="s">
        <v>52</v>
      </c>
      <c r="X259">
        <v>-1</v>
      </c>
      <c r="Y259" t="s">
        <v>743</v>
      </c>
      <c r="Z259">
        <v>-7</v>
      </c>
      <c r="AA259" t="s">
        <v>1250</v>
      </c>
      <c r="AB259">
        <v>-2</v>
      </c>
      <c r="AC259" t="s">
        <v>465</v>
      </c>
      <c r="AD259">
        <v>-6</v>
      </c>
      <c r="AE259" t="s">
        <v>2068</v>
      </c>
      <c r="AF259">
        <v>-1</v>
      </c>
      <c r="AG259" t="s">
        <v>294</v>
      </c>
      <c r="AH259">
        <v>-1</v>
      </c>
      <c r="AI259" t="s">
        <v>448</v>
      </c>
      <c r="AJ259">
        <v>-46</v>
      </c>
      <c r="AK259" t="s">
        <v>2001</v>
      </c>
      <c r="AL259">
        <v>-1</v>
      </c>
      <c r="AM259" t="s">
        <v>454</v>
      </c>
      <c r="AN259">
        <v>-66</v>
      </c>
    </row>
    <row r="260" spans="2:40" x14ac:dyDescent="0.25">
      <c r="B260" t="s">
        <v>634</v>
      </c>
      <c r="C260">
        <v>-4</v>
      </c>
      <c r="E260" t="s">
        <v>512</v>
      </c>
      <c r="F260">
        <v>-5</v>
      </c>
      <c r="H260" t="s">
        <v>301</v>
      </c>
      <c r="I260">
        <v>-25</v>
      </c>
      <c r="J260" t="s">
        <v>345</v>
      </c>
      <c r="K260">
        <v>-15.25</v>
      </c>
      <c r="L260" t="s">
        <v>984</v>
      </c>
      <c r="M260">
        <v>-6</v>
      </c>
      <c r="O260" t="s">
        <v>182</v>
      </c>
      <c r="P260">
        <v>-30</v>
      </c>
      <c r="Q260" t="s">
        <v>1427</v>
      </c>
      <c r="R260">
        <v>-44</v>
      </c>
      <c r="S260" t="s">
        <v>730</v>
      </c>
      <c r="T260">
        <v>-16</v>
      </c>
      <c r="U260" t="s">
        <v>453</v>
      </c>
      <c r="V260">
        <v>-19</v>
      </c>
      <c r="W260" t="s">
        <v>1738</v>
      </c>
      <c r="X260">
        <v>-4</v>
      </c>
      <c r="Y260" t="s">
        <v>592</v>
      </c>
      <c r="Z260">
        <v>-2785.28</v>
      </c>
      <c r="AA260" t="s">
        <v>1741</v>
      </c>
      <c r="AB260">
        <v>-2</v>
      </c>
      <c r="AC260" t="s">
        <v>275</v>
      </c>
      <c r="AD260">
        <v>-11</v>
      </c>
      <c r="AE260" t="s">
        <v>2069</v>
      </c>
      <c r="AF260">
        <v>-2</v>
      </c>
      <c r="AG260" t="s">
        <v>226</v>
      </c>
      <c r="AH260">
        <v>-14</v>
      </c>
      <c r="AI260" t="s">
        <v>867</v>
      </c>
      <c r="AJ260">
        <v>-1</v>
      </c>
      <c r="AK260" t="s">
        <v>386</v>
      </c>
      <c r="AL260">
        <v>-27</v>
      </c>
      <c r="AM260" t="s">
        <v>219</v>
      </c>
      <c r="AN260">
        <v>-6</v>
      </c>
    </row>
    <row r="261" spans="2:40" x14ac:dyDescent="0.25">
      <c r="B261" t="s">
        <v>736</v>
      </c>
      <c r="C261">
        <v>-4</v>
      </c>
      <c r="E261" t="s">
        <v>816</v>
      </c>
      <c r="F261">
        <v>-1</v>
      </c>
      <c r="H261" t="s">
        <v>345</v>
      </c>
      <c r="I261">
        <v>-45.5</v>
      </c>
      <c r="J261" t="s">
        <v>603</v>
      </c>
      <c r="K261">
        <v>-1.08</v>
      </c>
      <c r="L261" t="s">
        <v>985</v>
      </c>
      <c r="M261">
        <v>-2</v>
      </c>
      <c r="O261" t="s">
        <v>181</v>
      </c>
      <c r="P261">
        <v>-30</v>
      </c>
      <c r="Q261" t="s">
        <v>1225</v>
      </c>
      <c r="R261">
        <v>-4</v>
      </c>
      <c r="S261" t="s">
        <v>259</v>
      </c>
      <c r="T261">
        <v>-10</v>
      </c>
      <c r="U261" t="s">
        <v>1218</v>
      </c>
      <c r="V261">
        <v>-14.3329</v>
      </c>
      <c r="W261" t="s">
        <v>1235</v>
      </c>
      <c r="X261">
        <v>-2</v>
      </c>
      <c r="Y261" t="s">
        <v>1750</v>
      </c>
      <c r="Z261">
        <v>-6</v>
      </c>
      <c r="AA261" t="s">
        <v>324</v>
      </c>
      <c r="AB261">
        <v>-12</v>
      </c>
      <c r="AC261" t="s">
        <v>59</v>
      </c>
      <c r="AD261">
        <v>-30</v>
      </c>
      <c r="AE261" t="s">
        <v>259</v>
      </c>
      <c r="AF261">
        <v>-8</v>
      </c>
      <c r="AG261" t="s">
        <v>656</v>
      </c>
      <c r="AH261">
        <v>-1</v>
      </c>
      <c r="AI261" t="s">
        <v>120</v>
      </c>
      <c r="AJ261">
        <v>-9</v>
      </c>
      <c r="AK261" t="s">
        <v>606</v>
      </c>
      <c r="AL261">
        <v>-24</v>
      </c>
      <c r="AM261" t="s">
        <v>97</v>
      </c>
      <c r="AN261">
        <v>-58</v>
      </c>
    </row>
    <row r="262" spans="2:40" x14ac:dyDescent="0.25">
      <c r="B262" t="s">
        <v>364</v>
      </c>
      <c r="C262">
        <v>-9</v>
      </c>
      <c r="E262" t="s">
        <v>324</v>
      </c>
      <c r="F262">
        <v>-110</v>
      </c>
      <c r="H262" t="s">
        <v>425</v>
      </c>
      <c r="I262">
        <v>-44</v>
      </c>
      <c r="J262" t="s">
        <v>425</v>
      </c>
      <c r="K262">
        <v>-56</v>
      </c>
      <c r="L262" t="s">
        <v>90</v>
      </c>
      <c r="M262">
        <v>-34</v>
      </c>
      <c r="O262" t="s">
        <v>185</v>
      </c>
      <c r="P262">
        <v>-16</v>
      </c>
      <c r="Q262" t="s">
        <v>730</v>
      </c>
      <c r="R262">
        <v>-8</v>
      </c>
      <c r="S262" t="s">
        <v>613</v>
      </c>
      <c r="T262">
        <v>-46</v>
      </c>
      <c r="U262" t="s">
        <v>1219</v>
      </c>
      <c r="V262">
        <v>-129.32999999999998</v>
      </c>
      <c r="W262" t="s">
        <v>581</v>
      </c>
      <c r="X262">
        <v>-6</v>
      </c>
      <c r="Y262" t="s">
        <v>129</v>
      </c>
      <c r="Z262">
        <v>-18</v>
      </c>
      <c r="AA262" t="s">
        <v>301</v>
      </c>
      <c r="AB262">
        <v>-4</v>
      </c>
      <c r="AC262" t="s">
        <v>302</v>
      </c>
      <c r="AD262">
        <v>-4</v>
      </c>
      <c r="AE262" t="s">
        <v>613</v>
      </c>
      <c r="AF262">
        <v>-16</v>
      </c>
      <c r="AG262" t="s">
        <v>869</v>
      </c>
      <c r="AH262">
        <v>-1</v>
      </c>
      <c r="AI262" t="s">
        <v>308</v>
      </c>
      <c r="AJ262">
        <v>-9</v>
      </c>
      <c r="AK262" t="s">
        <v>274</v>
      </c>
      <c r="AL262">
        <v>-12</v>
      </c>
      <c r="AM262" t="s">
        <v>95</v>
      </c>
      <c r="AN262">
        <v>-115</v>
      </c>
    </row>
    <row r="263" spans="2:40" x14ac:dyDescent="0.25">
      <c r="B263" t="s">
        <v>453</v>
      </c>
      <c r="C263">
        <v>-156</v>
      </c>
      <c r="E263" t="s">
        <v>301</v>
      </c>
      <c r="F263">
        <v>-33</v>
      </c>
      <c r="H263" t="s">
        <v>754</v>
      </c>
      <c r="I263">
        <v>-6</v>
      </c>
      <c r="J263" t="s">
        <v>426</v>
      </c>
      <c r="K263">
        <v>-9.06</v>
      </c>
      <c r="L263" t="s">
        <v>1196</v>
      </c>
      <c r="M263">
        <v>-48</v>
      </c>
      <c r="O263" t="s">
        <v>350</v>
      </c>
      <c r="P263">
        <v>-69</v>
      </c>
      <c r="Q263" t="s">
        <v>1575</v>
      </c>
      <c r="R263">
        <v>-5</v>
      </c>
      <c r="S263" t="s">
        <v>142</v>
      </c>
      <c r="T263">
        <v>-4</v>
      </c>
      <c r="U263" t="s">
        <v>1220</v>
      </c>
      <c r="V263">
        <v>-153.66579999999999</v>
      </c>
      <c r="W263" t="s">
        <v>229</v>
      </c>
      <c r="X263">
        <v>-58</v>
      </c>
      <c r="Y263" t="s">
        <v>390</v>
      </c>
      <c r="Z263">
        <v>-2</v>
      </c>
      <c r="AA263" t="s">
        <v>424</v>
      </c>
      <c r="AB263">
        <v>-2</v>
      </c>
      <c r="AC263" t="s">
        <v>327</v>
      </c>
      <c r="AD263">
        <v>-10</v>
      </c>
      <c r="AE263" t="s">
        <v>142</v>
      </c>
      <c r="AF263">
        <v>-4</v>
      </c>
      <c r="AG263" t="s">
        <v>631</v>
      </c>
      <c r="AH263">
        <v>-41</v>
      </c>
      <c r="AI263" t="s">
        <v>309</v>
      </c>
      <c r="AJ263">
        <v>-8</v>
      </c>
      <c r="AK263" t="s">
        <v>293</v>
      </c>
      <c r="AL263">
        <v>-3</v>
      </c>
      <c r="AM263" t="s">
        <v>96</v>
      </c>
      <c r="AN263">
        <v>-57</v>
      </c>
    </row>
    <row r="264" spans="2:40" x14ac:dyDescent="0.25">
      <c r="B264" t="s">
        <v>632</v>
      </c>
      <c r="C264">
        <v>-7.0000000000000018</v>
      </c>
      <c r="E264" t="s">
        <v>345</v>
      </c>
      <c r="F264">
        <v>-89.13</v>
      </c>
      <c r="H264" t="s">
        <v>426</v>
      </c>
      <c r="I264">
        <v>-108.58</v>
      </c>
      <c r="J264" t="s">
        <v>549</v>
      </c>
      <c r="K264">
        <v>-25.5</v>
      </c>
      <c r="L264" t="s">
        <v>348</v>
      </c>
      <c r="M264">
        <v>-15.140000000000004</v>
      </c>
      <c r="O264" t="s">
        <v>1417</v>
      </c>
      <c r="P264">
        <v>-33</v>
      </c>
      <c r="Q264" t="s">
        <v>259</v>
      </c>
      <c r="R264">
        <v>-7</v>
      </c>
      <c r="S264" t="s">
        <v>398</v>
      </c>
      <c r="T264">
        <v>-8</v>
      </c>
      <c r="U264" t="s">
        <v>1426</v>
      </c>
      <c r="V264">
        <v>-0.91710000000000003</v>
      </c>
      <c r="W264" t="s">
        <v>278</v>
      </c>
      <c r="X264">
        <v>-95</v>
      </c>
      <c r="Y264" t="s">
        <v>175</v>
      </c>
      <c r="Z264">
        <v>-2</v>
      </c>
      <c r="AA264" t="s">
        <v>159</v>
      </c>
      <c r="AB264">
        <v>-9</v>
      </c>
      <c r="AC264" t="s">
        <v>2004</v>
      </c>
      <c r="AD264">
        <v>-2</v>
      </c>
      <c r="AE264" t="s">
        <v>398</v>
      </c>
      <c r="AF264">
        <v>-8</v>
      </c>
      <c r="AG264" t="s">
        <v>1007</v>
      </c>
      <c r="AH264">
        <v>-1</v>
      </c>
      <c r="AI264" t="s">
        <v>310</v>
      </c>
      <c r="AJ264">
        <v>-9</v>
      </c>
      <c r="AK264" t="s">
        <v>1210</v>
      </c>
      <c r="AL264">
        <v>-3</v>
      </c>
      <c r="AM264" t="s">
        <v>2371</v>
      </c>
      <c r="AN264">
        <v>-1</v>
      </c>
    </row>
    <row r="265" spans="2:40" x14ac:dyDescent="0.25">
      <c r="B265" t="s">
        <v>165</v>
      </c>
      <c r="C265">
        <v>-4</v>
      </c>
      <c r="E265" t="s">
        <v>637</v>
      </c>
      <c r="F265">
        <v>-6</v>
      </c>
      <c r="H265" t="s">
        <v>549</v>
      </c>
      <c r="I265">
        <v>-88.5</v>
      </c>
      <c r="J265" t="s">
        <v>159</v>
      </c>
      <c r="K265">
        <v>-21</v>
      </c>
      <c r="L265" t="s">
        <v>182</v>
      </c>
      <c r="M265">
        <v>-18</v>
      </c>
      <c r="O265" t="s">
        <v>799</v>
      </c>
      <c r="P265">
        <v>-86</v>
      </c>
      <c r="Q265" t="s">
        <v>613</v>
      </c>
      <c r="R265">
        <v>-18</v>
      </c>
      <c r="S265" t="s">
        <v>626</v>
      </c>
      <c r="T265">
        <v>-450.0003999999999</v>
      </c>
      <c r="U265" t="s">
        <v>1221</v>
      </c>
      <c r="V265">
        <v>-67.332899999999995</v>
      </c>
      <c r="W265" t="s">
        <v>244</v>
      </c>
      <c r="X265">
        <v>-285</v>
      </c>
      <c r="Y265" t="s">
        <v>579</v>
      </c>
      <c r="Z265">
        <v>-2</v>
      </c>
      <c r="AA265" t="s">
        <v>1257</v>
      </c>
      <c r="AB265">
        <v>-1</v>
      </c>
      <c r="AC265" t="s">
        <v>138</v>
      </c>
      <c r="AD265">
        <v>-3</v>
      </c>
      <c r="AE265" t="s">
        <v>626</v>
      </c>
      <c r="AF265">
        <v>-25</v>
      </c>
      <c r="AG265" t="s">
        <v>669</v>
      </c>
      <c r="AH265">
        <v>-16</v>
      </c>
      <c r="AI265" t="s">
        <v>399</v>
      </c>
      <c r="AJ265">
        <v>-9</v>
      </c>
      <c r="AK265" t="s">
        <v>294</v>
      </c>
      <c r="AL265">
        <v>-1</v>
      </c>
      <c r="AM265" t="s">
        <v>2372</v>
      </c>
      <c r="AN265">
        <v>-2</v>
      </c>
    </row>
    <row r="266" spans="2:40" x14ac:dyDescent="0.25">
      <c r="B266" t="s">
        <v>39</v>
      </c>
      <c r="C266">
        <v>-14</v>
      </c>
      <c r="E266" t="s">
        <v>603</v>
      </c>
      <c r="F266">
        <v>-0.72</v>
      </c>
      <c r="H266" t="s">
        <v>817</v>
      </c>
      <c r="I266">
        <v>-10</v>
      </c>
      <c r="J266" t="s">
        <v>141</v>
      </c>
      <c r="K266">
        <v>-3</v>
      </c>
      <c r="L266" t="s">
        <v>181</v>
      </c>
      <c r="M266">
        <v>-18</v>
      </c>
      <c r="O266" t="s">
        <v>454</v>
      </c>
      <c r="P266">
        <v>-24</v>
      </c>
      <c r="Q266" t="s">
        <v>142</v>
      </c>
      <c r="R266">
        <v>-2</v>
      </c>
      <c r="S266" t="s">
        <v>361</v>
      </c>
      <c r="T266">
        <v>-260.00039999999996</v>
      </c>
      <c r="U266" t="s">
        <v>1222</v>
      </c>
      <c r="V266">
        <v>-17.000000000000004</v>
      </c>
      <c r="W266" t="s">
        <v>243</v>
      </c>
      <c r="X266">
        <v>-4310</v>
      </c>
      <c r="Y266" t="s">
        <v>177</v>
      </c>
      <c r="Z266">
        <v>-2</v>
      </c>
      <c r="AA266" t="s">
        <v>141</v>
      </c>
      <c r="AB266">
        <v>-1</v>
      </c>
      <c r="AC266" t="s">
        <v>473</v>
      </c>
      <c r="AD266">
        <v>-10</v>
      </c>
      <c r="AE266" t="s">
        <v>2070</v>
      </c>
      <c r="AF266">
        <v>-1</v>
      </c>
      <c r="AG266" t="s">
        <v>670</v>
      </c>
      <c r="AH266">
        <v>-4</v>
      </c>
      <c r="AI266" t="s">
        <v>311</v>
      </c>
      <c r="AJ266">
        <v>-16</v>
      </c>
      <c r="AK266" t="s">
        <v>226</v>
      </c>
      <c r="AL266">
        <v>-12</v>
      </c>
      <c r="AM266" t="s">
        <v>1202</v>
      </c>
      <c r="AN266">
        <v>-6</v>
      </c>
    </row>
    <row r="267" spans="2:40" x14ac:dyDescent="0.25">
      <c r="B267" t="s">
        <v>460</v>
      </c>
      <c r="C267">
        <v>-20</v>
      </c>
      <c r="E267" t="s">
        <v>425</v>
      </c>
      <c r="F267">
        <v>-81</v>
      </c>
      <c r="H267" t="s">
        <v>159</v>
      </c>
      <c r="I267">
        <v>-1</v>
      </c>
      <c r="J267" t="s">
        <v>1028</v>
      </c>
      <c r="K267">
        <v>-4</v>
      </c>
      <c r="L267" t="s">
        <v>185</v>
      </c>
      <c r="M267">
        <v>-9</v>
      </c>
      <c r="O267" t="s">
        <v>1418</v>
      </c>
      <c r="P267">
        <v>-1</v>
      </c>
      <c r="Q267" t="s">
        <v>398</v>
      </c>
      <c r="R267">
        <v>-4</v>
      </c>
      <c r="S267" t="s">
        <v>1674</v>
      </c>
      <c r="T267">
        <v>-20</v>
      </c>
      <c r="U267" t="s">
        <v>1223</v>
      </c>
      <c r="V267">
        <v>-8.9171000000000014</v>
      </c>
      <c r="W267" t="s">
        <v>602</v>
      </c>
      <c r="X267">
        <v>-8</v>
      </c>
      <c r="Y267" t="s">
        <v>882</v>
      </c>
      <c r="Z267">
        <v>-4</v>
      </c>
      <c r="AA267" t="s">
        <v>1028</v>
      </c>
      <c r="AB267">
        <v>-4</v>
      </c>
      <c r="AC267" t="s">
        <v>134</v>
      </c>
      <c r="AD267">
        <v>-6</v>
      </c>
      <c r="AE267" t="s">
        <v>360</v>
      </c>
      <c r="AF267">
        <v>-168</v>
      </c>
      <c r="AG267" t="s">
        <v>444</v>
      </c>
      <c r="AH267">
        <v>-7</v>
      </c>
      <c r="AI267" t="s">
        <v>312</v>
      </c>
      <c r="AJ267">
        <v>-8</v>
      </c>
      <c r="AK267" t="s">
        <v>252</v>
      </c>
      <c r="AL267">
        <v>-20</v>
      </c>
      <c r="AM267" t="s">
        <v>2373</v>
      </c>
      <c r="AN267">
        <v>-1</v>
      </c>
    </row>
    <row r="268" spans="2:40" x14ac:dyDescent="0.25">
      <c r="B268" t="s">
        <v>461</v>
      </c>
      <c r="C268">
        <v>-10</v>
      </c>
      <c r="E268" t="s">
        <v>754</v>
      </c>
      <c r="F268">
        <v>-11</v>
      </c>
      <c r="H268" t="s">
        <v>141</v>
      </c>
      <c r="I268">
        <v>-13</v>
      </c>
      <c r="J268" t="s">
        <v>1029</v>
      </c>
      <c r="K268">
        <v>-15</v>
      </c>
      <c r="L268" t="s">
        <v>350</v>
      </c>
      <c r="M268">
        <v>-30</v>
      </c>
      <c r="O268" t="s">
        <v>97</v>
      </c>
      <c r="P268">
        <v>-61</v>
      </c>
      <c r="Q268" t="s">
        <v>1576</v>
      </c>
      <c r="R268">
        <v>-1</v>
      </c>
      <c r="S268" t="s">
        <v>1230</v>
      </c>
      <c r="T268">
        <v>-8</v>
      </c>
      <c r="U268" t="s">
        <v>39</v>
      </c>
      <c r="V268">
        <v>-2</v>
      </c>
      <c r="W268" t="s">
        <v>465</v>
      </c>
      <c r="X268">
        <v>-4</v>
      </c>
      <c r="Y268" t="s">
        <v>1911</v>
      </c>
      <c r="Z268">
        <v>-7</v>
      </c>
      <c r="AA268" t="s">
        <v>286</v>
      </c>
      <c r="AB268">
        <v>-18</v>
      </c>
      <c r="AC268" t="s">
        <v>173</v>
      </c>
      <c r="AD268">
        <v>-6</v>
      </c>
      <c r="AE268" t="s">
        <v>351</v>
      </c>
      <c r="AF268">
        <v>-12</v>
      </c>
      <c r="AG268" t="s">
        <v>633</v>
      </c>
      <c r="AH268">
        <v>-3</v>
      </c>
      <c r="AI268" t="s">
        <v>313</v>
      </c>
      <c r="AJ268">
        <v>-8</v>
      </c>
      <c r="AK268" t="s">
        <v>869</v>
      </c>
      <c r="AL268">
        <v>-17</v>
      </c>
      <c r="AM268" t="s">
        <v>2374</v>
      </c>
      <c r="AN268">
        <v>-8</v>
      </c>
    </row>
    <row r="269" spans="2:40" x14ac:dyDescent="0.25">
      <c r="B269" t="s">
        <v>259</v>
      </c>
      <c r="C269">
        <v>-8</v>
      </c>
      <c r="E269" t="s">
        <v>752</v>
      </c>
      <c r="F269">
        <v>-25</v>
      </c>
      <c r="H269" t="s">
        <v>873</v>
      </c>
      <c r="I269">
        <v>-1</v>
      </c>
      <c r="J269" t="s">
        <v>286</v>
      </c>
      <c r="K269">
        <v>-51</v>
      </c>
      <c r="L269" t="s">
        <v>1197</v>
      </c>
      <c r="M269">
        <v>-76</v>
      </c>
      <c r="O269" t="s">
        <v>95</v>
      </c>
      <c r="P269">
        <v>-122</v>
      </c>
      <c r="Q269" t="s">
        <v>626</v>
      </c>
      <c r="R269">
        <v>-365</v>
      </c>
      <c r="S269" t="s">
        <v>1675</v>
      </c>
      <c r="T269">
        <v>-1</v>
      </c>
      <c r="U269" t="s">
        <v>730</v>
      </c>
      <c r="V269">
        <v>-8</v>
      </c>
      <c r="W269" t="s">
        <v>275</v>
      </c>
      <c r="X269">
        <v>-22</v>
      </c>
      <c r="Y269" t="s">
        <v>1912</v>
      </c>
      <c r="Z269">
        <v>-88</v>
      </c>
      <c r="AA269" t="s">
        <v>665</v>
      </c>
      <c r="AB269">
        <v>-15</v>
      </c>
      <c r="AC269" t="s">
        <v>1445</v>
      </c>
      <c r="AD269">
        <v>-2</v>
      </c>
      <c r="AE269" t="s">
        <v>230</v>
      </c>
      <c r="AF269">
        <v>-17</v>
      </c>
      <c r="AG269" t="s">
        <v>2152</v>
      </c>
      <c r="AH269">
        <v>-10</v>
      </c>
      <c r="AI269" t="s">
        <v>314</v>
      </c>
      <c r="AJ269">
        <v>-8</v>
      </c>
      <c r="AK269" t="s">
        <v>631</v>
      </c>
      <c r="AL269">
        <v>-75.000100000000003</v>
      </c>
      <c r="AM269" t="s">
        <v>2375</v>
      </c>
      <c r="AN269">
        <v>-4</v>
      </c>
    </row>
    <row r="270" spans="2:40" x14ac:dyDescent="0.25">
      <c r="B270" t="s">
        <v>613</v>
      </c>
      <c r="C270">
        <v>-132</v>
      </c>
      <c r="E270" t="s">
        <v>438</v>
      </c>
      <c r="F270">
        <v>-5.2</v>
      </c>
      <c r="H270" t="s">
        <v>819</v>
      </c>
      <c r="I270">
        <v>-1</v>
      </c>
      <c r="J270" t="s">
        <v>665</v>
      </c>
      <c r="K270">
        <v>-21</v>
      </c>
      <c r="L270" t="s">
        <v>454</v>
      </c>
      <c r="M270">
        <v>-32</v>
      </c>
      <c r="O270" t="s">
        <v>96</v>
      </c>
      <c r="P270">
        <v>-70</v>
      </c>
      <c r="Q270" t="s">
        <v>361</v>
      </c>
      <c r="R270">
        <v>-560</v>
      </c>
      <c r="S270" t="s">
        <v>360</v>
      </c>
      <c r="T270">
        <v>-116</v>
      </c>
      <c r="U270" t="s">
        <v>259</v>
      </c>
      <c r="V270">
        <v>-13</v>
      </c>
      <c r="W270" t="s">
        <v>59</v>
      </c>
      <c r="X270">
        <v>-72</v>
      </c>
      <c r="Y270" t="s">
        <v>654</v>
      </c>
      <c r="Z270">
        <v>-1</v>
      </c>
      <c r="AA270" t="s">
        <v>332</v>
      </c>
      <c r="AB270">
        <v>-21</v>
      </c>
      <c r="AC270" t="s">
        <v>745</v>
      </c>
      <c r="AD270">
        <v>-47</v>
      </c>
      <c r="AE270" t="s">
        <v>217</v>
      </c>
      <c r="AF270">
        <v>-12</v>
      </c>
      <c r="AG270" t="s">
        <v>2153</v>
      </c>
      <c r="AH270">
        <v>-10</v>
      </c>
      <c r="AI270" t="s">
        <v>118</v>
      </c>
      <c r="AJ270">
        <v>-16</v>
      </c>
      <c r="AK270" t="s">
        <v>2277</v>
      </c>
      <c r="AL270">
        <v>-28</v>
      </c>
      <c r="AM270" t="s">
        <v>2376</v>
      </c>
      <c r="AN270">
        <v>-4</v>
      </c>
    </row>
    <row r="271" spans="2:40" x14ac:dyDescent="0.25">
      <c r="B271" t="s">
        <v>663</v>
      </c>
      <c r="C271">
        <v>-1</v>
      </c>
      <c r="E271" t="s">
        <v>426</v>
      </c>
      <c r="F271">
        <v>-217.17</v>
      </c>
      <c r="H271" t="s">
        <v>874</v>
      </c>
      <c r="I271">
        <v>-8</v>
      </c>
      <c r="J271" t="s">
        <v>332</v>
      </c>
      <c r="K271">
        <v>-53</v>
      </c>
      <c r="L271" t="s">
        <v>219</v>
      </c>
      <c r="M271">
        <v>-3</v>
      </c>
      <c r="O271" t="s">
        <v>986</v>
      </c>
      <c r="P271">
        <v>-3</v>
      </c>
      <c r="Q271" t="s">
        <v>1230</v>
      </c>
      <c r="R271">
        <v>-16</v>
      </c>
      <c r="S271" t="s">
        <v>655</v>
      </c>
      <c r="T271">
        <v>-24</v>
      </c>
      <c r="U271" t="s">
        <v>613</v>
      </c>
      <c r="V271">
        <v>-24</v>
      </c>
      <c r="W271" t="s">
        <v>1584</v>
      </c>
      <c r="X271">
        <v>-22</v>
      </c>
      <c r="Y271" t="s">
        <v>136</v>
      </c>
      <c r="Z271">
        <v>-11</v>
      </c>
      <c r="AA271" t="s">
        <v>269</v>
      </c>
      <c r="AB271">
        <v>-16</v>
      </c>
      <c r="AC271" t="s">
        <v>780</v>
      </c>
      <c r="AD271">
        <v>-7</v>
      </c>
      <c r="AE271" t="s">
        <v>17</v>
      </c>
      <c r="AF271">
        <v>-21</v>
      </c>
      <c r="AG271" t="s">
        <v>736</v>
      </c>
      <c r="AH271">
        <v>-1</v>
      </c>
      <c r="AI271" t="s">
        <v>315</v>
      </c>
      <c r="AJ271">
        <v>-9</v>
      </c>
      <c r="AK271" t="s">
        <v>143</v>
      </c>
      <c r="AL271">
        <v>-2</v>
      </c>
      <c r="AM271" t="s">
        <v>2377</v>
      </c>
      <c r="AN271">
        <v>-4</v>
      </c>
    </row>
    <row r="272" spans="2:40" x14ac:dyDescent="0.25">
      <c r="B272" t="s">
        <v>774</v>
      </c>
      <c r="C272">
        <v>-7</v>
      </c>
      <c r="E272" t="s">
        <v>549</v>
      </c>
      <c r="F272">
        <v>-79.5</v>
      </c>
      <c r="H272" t="s">
        <v>286</v>
      </c>
      <c r="I272">
        <v>-28</v>
      </c>
      <c r="J272" t="s">
        <v>269</v>
      </c>
      <c r="K272">
        <v>-10</v>
      </c>
      <c r="L272" t="s">
        <v>1198</v>
      </c>
      <c r="M272">
        <v>-170</v>
      </c>
      <c r="O272" t="s">
        <v>1202</v>
      </c>
      <c r="P272">
        <v>-2</v>
      </c>
      <c r="Q272" t="s">
        <v>360</v>
      </c>
      <c r="R272">
        <v>-28</v>
      </c>
      <c r="S272" t="s">
        <v>351</v>
      </c>
      <c r="T272">
        <v>-14</v>
      </c>
      <c r="U272" t="s">
        <v>142</v>
      </c>
      <c r="V272">
        <v>-4</v>
      </c>
      <c r="W272" t="s">
        <v>327</v>
      </c>
      <c r="X272">
        <v>-2</v>
      </c>
      <c r="Y272" t="s">
        <v>15</v>
      </c>
      <c r="Z272">
        <v>-24</v>
      </c>
      <c r="AA272" t="s">
        <v>820</v>
      </c>
      <c r="AB272">
        <v>-11</v>
      </c>
      <c r="AC272" t="s">
        <v>497</v>
      </c>
      <c r="AD272">
        <v>-1</v>
      </c>
      <c r="AE272" t="s">
        <v>1738</v>
      </c>
      <c r="AF272">
        <v>-6</v>
      </c>
      <c r="AG272" t="s">
        <v>364</v>
      </c>
      <c r="AH272">
        <v>-10</v>
      </c>
      <c r="AI272" t="s">
        <v>1672</v>
      </c>
      <c r="AJ272">
        <v>-8</v>
      </c>
      <c r="AK272" t="s">
        <v>633</v>
      </c>
      <c r="AL272">
        <v>-6</v>
      </c>
      <c r="AM272" t="s">
        <v>303</v>
      </c>
      <c r="AN272">
        <v>-6</v>
      </c>
    </row>
    <row r="273" spans="2:40" x14ac:dyDescent="0.25">
      <c r="B273" t="s">
        <v>142</v>
      </c>
      <c r="C273">
        <v>-9</v>
      </c>
      <c r="E273" t="s">
        <v>424</v>
      </c>
      <c r="F273">
        <v>-18</v>
      </c>
      <c r="H273" t="s">
        <v>665</v>
      </c>
      <c r="I273">
        <v>-120</v>
      </c>
      <c r="J273" t="s">
        <v>820</v>
      </c>
      <c r="K273">
        <v>-12</v>
      </c>
      <c r="L273" t="s">
        <v>1199</v>
      </c>
      <c r="M273">
        <v>-380</v>
      </c>
      <c r="O273" t="s">
        <v>303</v>
      </c>
      <c r="P273">
        <v>-1</v>
      </c>
      <c r="Q273" t="s">
        <v>655</v>
      </c>
      <c r="R273">
        <v>-12</v>
      </c>
      <c r="S273" t="s">
        <v>230</v>
      </c>
      <c r="T273">
        <v>-10</v>
      </c>
      <c r="U273" t="s">
        <v>398</v>
      </c>
      <c r="V273">
        <v>-10</v>
      </c>
      <c r="W273" t="s">
        <v>138</v>
      </c>
      <c r="X273">
        <v>-13</v>
      </c>
      <c r="Y273" t="s">
        <v>394</v>
      </c>
      <c r="Z273">
        <v>-48</v>
      </c>
      <c r="AA273" t="s">
        <v>284</v>
      </c>
      <c r="AB273">
        <v>-2</v>
      </c>
      <c r="AC273" t="s">
        <v>393</v>
      </c>
      <c r="AD273">
        <v>-140</v>
      </c>
      <c r="AE273" t="s">
        <v>812</v>
      </c>
      <c r="AF273">
        <v>-1</v>
      </c>
      <c r="AG273" t="s">
        <v>453</v>
      </c>
      <c r="AH273">
        <v>-65</v>
      </c>
      <c r="AI273" t="s">
        <v>2001</v>
      </c>
      <c r="AJ273">
        <v>-2</v>
      </c>
      <c r="AK273" t="s">
        <v>736</v>
      </c>
      <c r="AL273">
        <v>-1</v>
      </c>
      <c r="AM273" t="s">
        <v>304</v>
      </c>
      <c r="AN273">
        <v>-10</v>
      </c>
    </row>
    <row r="274" spans="2:40" x14ac:dyDescent="0.25">
      <c r="B274" t="s">
        <v>397</v>
      </c>
      <c r="C274">
        <v>-32</v>
      </c>
      <c r="E274" t="s">
        <v>817</v>
      </c>
      <c r="F274">
        <v>-7</v>
      </c>
      <c r="H274" t="s">
        <v>332</v>
      </c>
      <c r="I274">
        <v>-64</v>
      </c>
      <c r="J274" t="s">
        <v>284</v>
      </c>
      <c r="K274">
        <v>-75</v>
      </c>
      <c r="L274" t="s">
        <v>1200</v>
      </c>
      <c r="M274">
        <v>-190</v>
      </c>
      <c r="O274" t="s">
        <v>304</v>
      </c>
      <c r="P274">
        <v>-1</v>
      </c>
      <c r="Q274" t="s">
        <v>809</v>
      </c>
      <c r="R274">
        <v>-1</v>
      </c>
      <c r="S274" t="s">
        <v>810</v>
      </c>
      <c r="T274">
        <v>-1</v>
      </c>
      <c r="U274" t="s">
        <v>626</v>
      </c>
      <c r="V274">
        <v>-500.99960000000021</v>
      </c>
      <c r="W274" t="s">
        <v>473</v>
      </c>
      <c r="X274">
        <v>-2</v>
      </c>
      <c r="Y274" t="s">
        <v>1913</v>
      </c>
      <c r="Z274">
        <v>-3</v>
      </c>
      <c r="AA274" t="s">
        <v>285</v>
      </c>
      <c r="AB274">
        <v>-3</v>
      </c>
      <c r="AC274" t="s">
        <v>815</v>
      </c>
      <c r="AD274">
        <v>-2</v>
      </c>
      <c r="AE274" t="s">
        <v>581</v>
      </c>
      <c r="AF274">
        <v>-1</v>
      </c>
      <c r="AG274" t="s">
        <v>632</v>
      </c>
      <c r="AH274">
        <v>-6</v>
      </c>
      <c r="AI274" t="s">
        <v>386</v>
      </c>
      <c r="AJ274">
        <v>-26</v>
      </c>
      <c r="AK274" t="s">
        <v>364</v>
      </c>
      <c r="AL274">
        <v>-9</v>
      </c>
      <c r="AM274" t="s">
        <v>305</v>
      </c>
      <c r="AN274">
        <v>-15</v>
      </c>
    </row>
    <row r="275" spans="2:40" x14ac:dyDescent="0.25">
      <c r="B275" t="s">
        <v>543</v>
      </c>
      <c r="C275">
        <v>-425</v>
      </c>
      <c r="E275" t="s">
        <v>159</v>
      </c>
      <c r="F275">
        <v>-9</v>
      </c>
      <c r="H275" t="s">
        <v>269</v>
      </c>
      <c r="I275">
        <v>-92</v>
      </c>
      <c r="J275" t="s">
        <v>285</v>
      </c>
      <c r="K275">
        <v>-9</v>
      </c>
      <c r="L275" t="s">
        <v>1201</v>
      </c>
      <c r="M275">
        <v>-7</v>
      </c>
      <c r="O275" t="s">
        <v>337</v>
      </c>
      <c r="P275">
        <v>-3</v>
      </c>
      <c r="Q275" t="s">
        <v>1431</v>
      </c>
      <c r="R275">
        <v>-12</v>
      </c>
      <c r="S275" t="s">
        <v>217</v>
      </c>
      <c r="T275">
        <v>-8</v>
      </c>
      <c r="U275" t="s">
        <v>361</v>
      </c>
      <c r="V275">
        <v>-770.99959999999965</v>
      </c>
      <c r="W275" t="s">
        <v>134</v>
      </c>
      <c r="X275">
        <v>-29</v>
      </c>
      <c r="Y275" t="s">
        <v>748</v>
      </c>
      <c r="Z275">
        <v>-2</v>
      </c>
      <c r="AA275" t="s">
        <v>280</v>
      </c>
      <c r="AB275">
        <v>-28</v>
      </c>
      <c r="AC275" t="s">
        <v>98</v>
      </c>
      <c r="AD275">
        <v>-23</v>
      </c>
      <c r="AE275" t="s">
        <v>229</v>
      </c>
      <c r="AF275">
        <v>-65</v>
      </c>
      <c r="AG275" t="s">
        <v>39</v>
      </c>
      <c r="AH275">
        <v>-20</v>
      </c>
      <c r="AI275" t="s">
        <v>2207</v>
      </c>
      <c r="AJ275">
        <v>-91</v>
      </c>
      <c r="AK275" t="s">
        <v>453</v>
      </c>
      <c r="AL275">
        <v>-174</v>
      </c>
      <c r="AM275" t="s">
        <v>2378</v>
      </c>
      <c r="AN275">
        <v>-15</v>
      </c>
    </row>
    <row r="276" spans="2:40" x14ac:dyDescent="0.25">
      <c r="B276" t="s">
        <v>361</v>
      </c>
      <c r="C276">
        <v>-640</v>
      </c>
      <c r="E276" t="s">
        <v>141</v>
      </c>
      <c r="F276">
        <v>-17</v>
      </c>
      <c r="H276" t="s">
        <v>820</v>
      </c>
      <c r="I276">
        <v>-32</v>
      </c>
      <c r="J276" t="s">
        <v>212</v>
      </c>
      <c r="K276">
        <v>-2</v>
      </c>
      <c r="L276" t="s">
        <v>1202</v>
      </c>
      <c r="M276">
        <v>-3</v>
      </c>
      <c r="O276" t="s">
        <v>121</v>
      </c>
      <c r="P276">
        <v>-6</v>
      </c>
      <c r="Q276" t="s">
        <v>351</v>
      </c>
      <c r="R276">
        <v>-9</v>
      </c>
      <c r="S276" t="s">
        <v>1235</v>
      </c>
      <c r="T276">
        <v>-9</v>
      </c>
      <c r="U276" t="s">
        <v>1675</v>
      </c>
      <c r="V276">
        <v>-1</v>
      </c>
      <c r="W276" t="s">
        <v>745</v>
      </c>
      <c r="X276">
        <v>-42</v>
      </c>
      <c r="Y276" t="s">
        <v>653</v>
      </c>
      <c r="Z276">
        <v>-2</v>
      </c>
      <c r="AA276" t="s">
        <v>32</v>
      </c>
      <c r="AB276">
        <v>-17</v>
      </c>
      <c r="AC276" t="s">
        <v>450</v>
      </c>
      <c r="AD276">
        <v>-270</v>
      </c>
      <c r="AE276" t="s">
        <v>278</v>
      </c>
      <c r="AF276">
        <v>-165</v>
      </c>
      <c r="AG276" t="s">
        <v>730</v>
      </c>
      <c r="AH276">
        <v>-36</v>
      </c>
      <c r="AI276" t="s">
        <v>606</v>
      </c>
      <c r="AJ276">
        <v>-18.799999999999997</v>
      </c>
      <c r="AK276" t="s">
        <v>632</v>
      </c>
      <c r="AL276">
        <v>-10</v>
      </c>
      <c r="AM276" t="s">
        <v>117</v>
      </c>
      <c r="AN276">
        <v>-11</v>
      </c>
    </row>
    <row r="277" spans="2:40" x14ac:dyDescent="0.25">
      <c r="B277" t="s">
        <v>627</v>
      </c>
      <c r="C277">
        <v>-400</v>
      </c>
      <c r="E277" t="s">
        <v>818</v>
      </c>
      <c r="F277">
        <v>-3</v>
      </c>
      <c r="H277" t="s">
        <v>284</v>
      </c>
      <c r="I277">
        <v>-24</v>
      </c>
      <c r="J277" t="s">
        <v>876</v>
      </c>
      <c r="K277">
        <v>-6</v>
      </c>
      <c r="L277" t="s">
        <v>337</v>
      </c>
      <c r="M277">
        <v>-8</v>
      </c>
      <c r="O277" t="s">
        <v>990</v>
      </c>
      <c r="P277">
        <v>-28</v>
      </c>
      <c r="Q277" t="s">
        <v>230</v>
      </c>
      <c r="R277">
        <v>-4</v>
      </c>
      <c r="S277" t="s">
        <v>229</v>
      </c>
      <c r="T277">
        <v>-54</v>
      </c>
      <c r="U277" t="s">
        <v>360</v>
      </c>
      <c r="V277">
        <v>-272</v>
      </c>
      <c r="W277" t="s">
        <v>780</v>
      </c>
      <c r="X277">
        <v>-11</v>
      </c>
      <c r="Y277" t="s">
        <v>823</v>
      </c>
      <c r="Z277">
        <v>-1</v>
      </c>
      <c r="AA277" t="s">
        <v>51</v>
      </c>
      <c r="AB277">
        <v>-8</v>
      </c>
      <c r="AC277" t="s">
        <v>1245</v>
      </c>
      <c r="AD277">
        <v>-4</v>
      </c>
      <c r="AE277" t="s">
        <v>2071</v>
      </c>
      <c r="AF277">
        <v>-1</v>
      </c>
      <c r="AG277" t="s">
        <v>2154</v>
      </c>
      <c r="AH277">
        <v>-2</v>
      </c>
      <c r="AI277" t="s">
        <v>803</v>
      </c>
      <c r="AJ277">
        <v>-1</v>
      </c>
      <c r="AK277" t="s">
        <v>39</v>
      </c>
      <c r="AL277">
        <v>-12</v>
      </c>
      <c r="AM277" t="s">
        <v>337</v>
      </c>
      <c r="AN277">
        <v>-1</v>
      </c>
    </row>
    <row r="278" spans="2:40" x14ac:dyDescent="0.25">
      <c r="B278" t="s">
        <v>360</v>
      </c>
      <c r="C278">
        <v>-336</v>
      </c>
      <c r="E278" t="s">
        <v>819</v>
      </c>
      <c r="F278">
        <v>-3</v>
      </c>
      <c r="H278" t="s">
        <v>285</v>
      </c>
      <c r="I278">
        <v>-28</v>
      </c>
      <c r="J278" t="s">
        <v>280</v>
      </c>
      <c r="K278">
        <v>-42</v>
      </c>
      <c r="L278" t="s">
        <v>121</v>
      </c>
      <c r="M278">
        <v>-4</v>
      </c>
      <c r="O278" t="s">
        <v>992</v>
      </c>
      <c r="P278">
        <v>-5</v>
      </c>
      <c r="Q278" t="s">
        <v>1234</v>
      </c>
      <c r="R278">
        <v>-14</v>
      </c>
      <c r="S278" t="s">
        <v>278</v>
      </c>
      <c r="T278">
        <v>-145</v>
      </c>
      <c r="U278" t="s">
        <v>655</v>
      </c>
      <c r="V278">
        <v>-16</v>
      </c>
      <c r="W278" t="s">
        <v>497</v>
      </c>
      <c r="X278">
        <v>-3</v>
      </c>
      <c r="Y278" t="s">
        <v>242</v>
      </c>
      <c r="Z278">
        <v>-4</v>
      </c>
      <c r="AA278" t="s">
        <v>33</v>
      </c>
      <c r="AB278">
        <v>-16</v>
      </c>
      <c r="AC278" t="s">
        <v>318</v>
      </c>
      <c r="AD278">
        <v>-37</v>
      </c>
      <c r="AE278" t="s">
        <v>244</v>
      </c>
      <c r="AF278">
        <v>-455</v>
      </c>
      <c r="AG278" t="s">
        <v>259</v>
      </c>
      <c r="AH278">
        <v>-10</v>
      </c>
      <c r="AI278" t="s">
        <v>804</v>
      </c>
      <c r="AJ278">
        <v>-1</v>
      </c>
      <c r="AK278" t="s">
        <v>2278</v>
      </c>
      <c r="AL278">
        <v>-2</v>
      </c>
      <c r="AM278" t="s">
        <v>121</v>
      </c>
      <c r="AN278">
        <v>-7</v>
      </c>
    </row>
    <row r="279" spans="2:40" x14ac:dyDescent="0.25">
      <c r="B279" t="s">
        <v>544</v>
      </c>
      <c r="C279">
        <v>-24</v>
      </c>
      <c r="E279" t="s">
        <v>286</v>
      </c>
      <c r="F279">
        <v>-19</v>
      </c>
      <c r="H279" t="s">
        <v>208</v>
      </c>
      <c r="I279">
        <v>-16</v>
      </c>
      <c r="J279" t="s">
        <v>878</v>
      </c>
      <c r="K279">
        <v>-12</v>
      </c>
      <c r="L279" t="s">
        <v>1203</v>
      </c>
      <c r="M279">
        <v>-12</v>
      </c>
      <c r="O279" t="s">
        <v>448</v>
      </c>
      <c r="P279">
        <v>-94</v>
      </c>
      <c r="Q279" t="s">
        <v>870</v>
      </c>
      <c r="R279">
        <v>-1</v>
      </c>
      <c r="S279" t="s">
        <v>244</v>
      </c>
      <c r="T279">
        <v>-465</v>
      </c>
      <c r="U279" t="s">
        <v>1737</v>
      </c>
      <c r="V279">
        <v>-36</v>
      </c>
      <c r="W279" t="s">
        <v>1019</v>
      </c>
      <c r="X279">
        <v>-10</v>
      </c>
      <c r="Y279" t="s">
        <v>1685</v>
      </c>
      <c r="Z279">
        <v>-8</v>
      </c>
      <c r="AA279" t="s">
        <v>34</v>
      </c>
      <c r="AB279">
        <v>-12</v>
      </c>
      <c r="AC279" t="s">
        <v>319</v>
      </c>
      <c r="AD279">
        <v>-31</v>
      </c>
      <c r="AE279" t="s">
        <v>243</v>
      </c>
      <c r="AF279">
        <v>-385</v>
      </c>
      <c r="AG279" t="s">
        <v>613</v>
      </c>
      <c r="AH279">
        <v>-48</v>
      </c>
      <c r="AI279" t="s">
        <v>805</v>
      </c>
      <c r="AJ279">
        <v>-2</v>
      </c>
      <c r="AK279" t="s">
        <v>730</v>
      </c>
      <c r="AL279">
        <v>-18</v>
      </c>
      <c r="AM279" t="s">
        <v>1997</v>
      </c>
      <c r="AN279">
        <v>-2</v>
      </c>
    </row>
    <row r="280" spans="2:40" x14ac:dyDescent="0.25">
      <c r="B280" t="s">
        <v>351</v>
      </c>
      <c r="C280">
        <v>-10</v>
      </c>
      <c r="E280" t="s">
        <v>332</v>
      </c>
      <c r="F280">
        <v>-6</v>
      </c>
      <c r="H280" t="s">
        <v>209</v>
      </c>
      <c r="I280">
        <v>-44</v>
      </c>
      <c r="J280" t="s">
        <v>32</v>
      </c>
      <c r="K280">
        <v>-12</v>
      </c>
      <c r="L280" t="s">
        <v>990</v>
      </c>
      <c r="M280">
        <v>-24</v>
      </c>
      <c r="O280" t="s">
        <v>1204</v>
      </c>
      <c r="P280">
        <v>-8</v>
      </c>
      <c r="Q280" t="s">
        <v>810</v>
      </c>
      <c r="R280">
        <v>-2</v>
      </c>
      <c r="S280" t="s">
        <v>243</v>
      </c>
      <c r="T280">
        <v>-200</v>
      </c>
      <c r="U280" t="s">
        <v>351</v>
      </c>
      <c r="V280">
        <v>-16</v>
      </c>
      <c r="W280" t="s">
        <v>1020</v>
      </c>
      <c r="X280">
        <v>-20</v>
      </c>
      <c r="Y280" t="s">
        <v>645</v>
      </c>
      <c r="Z280">
        <v>-1</v>
      </c>
      <c r="AA280" t="s">
        <v>35</v>
      </c>
      <c r="AB280">
        <v>-5</v>
      </c>
      <c r="AC280" t="s">
        <v>548</v>
      </c>
      <c r="AD280">
        <v>-6</v>
      </c>
      <c r="AE280" t="s">
        <v>2072</v>
      </c>
      <c r="AF280">
        <v>-1</v>
      </c>
      <c r="AG280" t="s">
        <v>142</v>
      </c>
      <c r="AH280">
        <v>-13</v>
      </c>
      <c r="AI280" t="s">
        <v>274</v>
      </c>
      <c r="AJ280">
        <v>-10</v>
      </c>
      <c r="AK280" t="s">
        <v>2279</v>
      </c>
      <c r="AL280">
        <v>-2</v>
      </c>
      <c r="AM280" t="s">
        <v>1998</v>
      </c>
      <c r="AN280">
        <v>-2</v>
      </c>
    </row>
    <row r="281" spans="2:40" x14ac:dyDescent="0.25">
      <c r="B281" t="s">
        <v>230</v>
      </c>
      <c r="C281">
        <v>-17</v>
      </c>
      <c r="E281" t="s">
        <v>269</v>
      </c>
      <c r="F281">
        <v>-22</v>
      </c>
      <c r="H281" t="s">
        <v>210</v>
      </c>
      <c r="I281">
        <v>-104</v>
      </c>
      <c r="J281" t="s">
        <v>33</v>
      </c>
      <c r="K281">
        <v>-12</v>
      </c>
      <c r="L281" t="s">
        <v>991</v>
      </c>
      <c r="M281">
        <v>-12</v>
      </c>
      <c r="O281" t="s">
        <v>993</v>
      </c>
      <c r="P281">
        <v>-8</v>
      </c>
      <c r="Q281" t="s">
        <v>217</v>
      </c>
      <c r="R281">
        <v>-2</v>
      </c>
      <c r="S281" t="s">
        <v>602</v>
      </c>
      <c r="T281">
        <v>-16</v>
      </c>
      <c r="U281" t="s">
        <v>230</v>
      </c>
      <c r="V281">
        <v>-14</v>
      </c>
      <c r="W281" t="s">
        <v>1021</v>
      </c>
      <c r="X281">
        <v>-10</v>
      </c>
      <c r="Y281" t="s">
        <v>75</v>
      </c>
      <c r="Z281">
        <v>-6</v>
      </c>
      <c r="AA281" t="s">
        <v>36</v>
      </c>
      <c r="AB281">
        <v>-6</v>
      </c>
      <c r="AC281" t="s">
        <v>333</v>
      </c>
      <c r="AD281">
        <v>-6</v>
      </c>
      <c r="AE281" t="s">
        <v>202</v>
      </c>
      <c r="AF281">
        <v>-1</v>
      </c>
      <c r="AG281" t="s">
        <v>398</v>
      </c>
      <c r="AH281">
        <v>-26</v>
      </c>
      <c r="AI281" t="s">
        <v>1210</v>
      </c>
      <c r="AJ281">
        <v>-5</v>
      </c>
      <c r="AK281" t="s">
        <v>259</v>
      </c>
      <c r="AL281">
        <v>-6</v>
      </c>
      <c r="AM281" t="s">
        <v>1999</v>
      </c>
      <c r="AN281">
        <v>-3</v>
      </c>
    </row>
    <row r="282" spans="2:40" x14ac:dyDescent="0.25">
      <c r="B282" t="s">
        <v>217</v>
      </c>
      <c r="C282">
        <v>-16</v>
      </c>
      <c r="E282" t="s">
        <v>820</v>
      </c>
      <c r="F282">
        <v>-12</v>
      </c>
      <c r="H282" t="s">
        <v>211</v>
      </c>
      <c r="I282">
        <v>-24</v>
      </c>
      <c r="J282" t="s">
        <v>35</v>
      </c>
      <c r="K282">
        <v>-9</v>
      </c>
      <c r="L282" t="s">
        <v>992</v>
      </c>
      <c r="M282">
        <v>-20</v>
      </c>
      <c r="O282" t="s">
        <v>994</v>
      </c>
      <c r="P282">
        <v>-8</v>
      </c>
      <c r="Q282" t="s">
        <v>1432</v>
      </c>
      <c r="R282">
        <v>-10</v>
      </c>
      <c r="S282" t="s">
        <v>1676</v>
      </c>
      <c r="T282">
        <v>-72</v>
      </c>
      <c r="U282" t="s">
        <v>810</v>
      </c>
      <c r="V282">
        <v>-2</v>
      </c>
      <c r="W282" t="s">
        <v>1022</v>
      </c>
      <c r="X282">
        <v>-10</v>
      </c>
      <c r="Y282" t="s">
        <v>216</v>
      </c>
      <c r="Z282">
        <v>-4</v>
      </c>
      <c r="AA282" t="s">
        <v>66</v>
      </c>
      <c r="AB282">
        <v>-4</v>
      </c>
      <c r="AC282" t="s">
        <v>306</v>
      </c>
      <c r="AD282">
        <v>-46</v>
      </c>
      <c r="AE282" t="s">
        <v>18</v>
      </c>
      <c r="AF282">
        <v>-4</v>
      </c>
      <c r="AG282" t="s">
        <v>626</v>
      </c>
      <c r="AH282">
        <v>-30</v>
      </c>
      <c r="AI282" t="s">
        <v>226</v>
      </c>
      <c r="AJ282">
        <v>-16</v>
      </c>
      <c r="AK282" t="s">
        <v>613</v>
      </c>
      <c r="AL282">
        <v>-36</v>
      </c>
      <c r="AM282" t="s">
        <v>2000</v>
      </c>
      <c r="AN282">
        <v>-2</v>
      </c>
    </row>
    <row r="283" spans="2:40" x14ac:dyDescent="0.25">
      <c r="B283" t="s">
        <v>17</v>
      </c>
      <c r="C283">
        <v>-6</v>
      </c>
      <c r="E283" t="s">
        <v>284</v>
      </c>
      <c r="F283">
        <v>-32</v>
      </c>
      <c r="H283" t="s">
        <v>212</v>
      </c>
      <c r="I283">
        <v>-32</v>
      </c>
      <c r="J283" t="s">
        <v>65</v>
      </c>
      <c r="K283">
        <v>-1</v>
      </c>
      <c r="L283" t="s">
        <v>448</v>
      </c>
      <c r="M283">
        <v>-53</v>
      </c>
      <c r="O283" t="s">
        <v>995</v>
      </c>
      <c r="P283">
        <v>-6</v>
      </c>
      <c r="Q283" t="s">
        <v>1577</v>
      </c>
      <c r="R283">
        <v>-7</v>
      </c>
      <c r="S283" t="s">
        <v>465</v>
      </c>
      <c r="T283">
        <v>-48</v>
      </c>
      <c r="U283" t="s">
        <v>217</v>
      </c>
      <c r="V283">
        <v>-9</v>
      </c>
      <c r="W283" t="s">
        <v>1023</v>
      </c>
      <c r="X283">
        <v>-10</v>
      </c>
      <c r="Y283" t="s">
        <v>673</v>
      </c>
      <c r="Z283">
        <v>-3</v>
      </c>
      <c r="AA283" t="s">
        <v>65</v>
      </c>
      <c r="AB283">
        <v>-10</v>
      </c>
      <c r="AC283" t="s">
        <v>320</v>
      </c>
      <c r="AD283">
        <v>-12</v>
      </c>
      <c r="AE283" t="s">
        <v>602</v>
      </c>
      <c r="AF283">
        <v>-16</v>
      </c>
      <c r="AG283" t="s">
        <v>361</v>
      </c>
      <c r="AH283">
        <v>-230</v>
      </c>
      <c r="AI283" t="s">
        <v>2208</v>
      </c>
      <c r="AJ283">
        <v>-10</v>
      </c>
      <c r="AK283" t="s">
        <v>598</v>
      </c>
      <c r="AL283">
        <v>-2</v>
      </c>
      <c r="AM283" t="s">
        <v>2379</v>
      </c>
      <c r="AN283">
        <v>-10</v>
      </c>
    </row>
    <row r="284" spans="2:40" x14ac:dyDescent="0.25">
      <c r="B284" t="s">
        <v>52</v>
      </c>
      <c r="C284">
        <v>-15</v>
      </c>
      <c r="E284" t="s">
        <v>285</v>
      </c>
      <c r="F284">
        <v>-51</v>
      </c>
      <c r="H284" t="s">
        <v>213</v>
      </c>
      <c r="I284">
        <v>-20</v>
      </c>
      <c r="J284" t="s">
        <v>674</v>
      </c>
      <c r="K284">
        <v>-24</v>
      </c>
      <c r="L284" t="s">
        <v>1204</v>
      </c>
      <c r="M284">
        <v>-7</v>
      </c>
      <c r="O284" t="s">
        <v>399</v>
      </c>
      <c r="P284">
        <v>-21</v>
      </c>
      <c r="Q284" t="s">
        <v>1236</v>
      </c>
      <c r="R284">
        <v>-7</v>
      </c>
      <c r="S284" t="s">
        <v>1677</v>
      </c>
      <c r="T284">
        <v>-6</v>
      </c>
      <c r="U284" t="s">
        <v>1432</v>
      </c>
      <c r="V284">
        <v>-10</v>
      </c>
      <c r="W284" t="s">
        <v>393</v>
      </c>
      <c r="X284">
        <v>-87</v>
      </c>
      <c r="Y284" t="s">
        <v>201</v>
      </c>
      <c r="Z284">
        <v>-1</v>
      </c>
      <c r="AA284" t="s">
        <v>26</v>
      </c>
      <c r="AB284">
        <v>-4</v>
      </c>
      <c r="AC284" t="s">
        <v>317</v>
      </c>
      <c r="AD284">
        <v>-12</v>
      </c>
      <c r="AE284" t="s">
        <v>107</v>
      </c>
      <c r="AF284">
        <v>-10</v>
      </c>
      <c r="AG284" t="s">
        <v>1675</v>
      </c>
      <c r="AH284">
        <v>-2</v>
      </c>
      <c r="AI284" t="s">
        <v>2209</v>
      </c>
      <c r="AJ284">
        <v>-10</v>
      </c>
      <c r="AK284" t="s">
        <v>142</v>
      </c>
      <c r="AL284">
        <v>-6</v>
      </c>
      <c r="AM284" t="s">
        <v>295</v>
      </c>
      <c r="AN284">
        <v>-3</v>
      </c>
    </row>
    <row r="285" spans="2:40" x14ac:dyDescent="0.25">
      <c r="B285" t="s">
        <v>329</v>
      </c>
      <c r="C285">
        <v>-8</v>
      </c>
      <c r="E285" t="s">
        <v>208</v>
      </c>
      <c r="F285">
        <v>-64</v>
      </c>
      <c r="H285" t="s">
        <v>214</v>
      </c>
      <c r="I285">
        <v>-8</v>
      </c>
      <c r="J285" t="s">
        <v>1030</v>
      </c>
      <c r="K285">
        <v>-3</v>
      </c>
      <c r="L285" t="s">
        <v>993</v>
      </c>
      <c r="M285">
        <v>-7</v>
      </c>
      <c r="O285" t="s">
        <v>996</v>
      </c>
      <c r="P285">
        <v>-12</v>
      </c>
      <c r="Q285" t="s">
        <v>812</v>
      </c>
      <c r="R285">
        <v>-1</v>
      </c>
      <c r="S285" t="s">
        <v>275</v>
      </c>
      <c r="T285">
        <v>-36</v>
      </c>
      <c r="U285" t="s">
        <v>17</v>
      </c>
      <c r="V285">
        <v>-14</v>
      </c>
      <c r="W285" t="s">
        <v>100</v>
      </c>
      <c r="X285">
        <v>-6</v>
      </c>
      <c r="Y285" t="s">
        <v>148</v>
      </c>
      <c r="Z285">
        <v>-91</v>
      </c>
      <c r="AA285" t="s">
        <v>225</v>
      </c>
      <c r="AB285">
        <v>-1</v>
      </c>
      <c r="AC285" t="s">
        <v>307</v>
      </c>
      <c r="AD285">
        <v>-5</v>
      </c>
      <c r="AE285" t="s">
        <v>465</v>
      </c>
      <c r="AF285">
        <v>-6</v>
      </c>
      <c r="AG285" t="s">
        <v>2155</v>
      </c>
      <c r="AH285">
        <v>-1</v>
      </c>
      <c r="AI285" t="s">
        <v>2210</v>
      </c>
      <c r="AJ285">
        <v>-10</v>
      </c>
      <c r="AK285" t="s">
        <v>398</v>
      </c>
      <c r="AL285">
        <v>-12</v>
      </c>
      <c r="AM285" t="s">
        <v>296</v>
      </c>
      <c r="AN285">
        <v>-15</v>
      </c>
    </row>
    <row r="286" spans="2:40" x14ac:dyDescent="0.25">
      <c r="B286" t="s">
        <v>581</v>
      </c>
      <c r="C286">
        <v>-13</v>
      </c>
      <c r="E286" t="s">
        <v>209</v>
      </c>
      <c r="F286">
        <v>-176</v>
      </c>
      <c r="H286" t="s">
        <v>875</v>
      </c>
      <c r="I286">
        <v>-8</v>
      </c>
      <c r="J286" t="s">
        <v>1031</v>
      </c>
      <c r="K286">
        <v>-6</v>
      </c>
      <c r="L286" t="s">
        <v>994</v>
      </c>
      <c r="M286">
        <v>-7</v>
      </c>
      <c r="O286" t="s">
        <v>1205</v>
      </c>
      <c r="P286">
        <v>-2</v>
      </c>
      <c r="Q286" t="s">
        <v>1578</v>
      </c>
      <c r="R286">
        <v>-10</v>
      </c>
      <c r="S286" t="s">
        <v>1678</v>
      </c>
      <c r="T286">
        <v>-2</v>
      </c>
      <c r="U286" t="s">
        <v>52</v>
      </c>
      <c r="V286">
        <v>-1</v>
      </c>
      <c r="W286" t="s">
        <v>98</v>
      </c>
      <c r="X286">
        <v>-17</v>
      </c>
      <c r="Y286" t="s">
        <v>262</v>
      </c>
      <c r="Z286">
        <v>-7</v>
      </c>
      <c r="AA286" t="s">
        <v>27</v>
      </c>
      <c r="AB286">
        <v>-5</v>
      </c>
      <c r="AC286" t="s">
        <v>99</v>
      </c>
      <c r="AD286">
        <v>-10</v>
      </c>
      <c r="AE286" t="s">
        <v>275</v>
      </c>
      <c r="AF286">
        <v>-24</v>
      </c>
      <c r="AG286" t="s">
        <v>2070</v>
      </c>
      <c r="AH286">
        <v>-1</v>
      </c>
      <c r="AI286" t="s">
        <v>252</v>
      </c>
      <c r="AJ286">
        <v>-35</v>
      </c>
      <c r="AK286" t="s">
        <v>626</v>
      </c>
      <c r="AL286">
        <v>-205</v>
      </c>
      <c r="AM286" t="s">
        <v>2380</v>
      </c>
      <c r="AN286">
        <v>-11</v>
      </c>
    </row>
    <row r="287" spans="2:40" x14ac:dyDescent="0.25">
      <c r="B287" t="s">
        <v>229</v>
      </c>
      <c r="C287">
        <v>-94</v>
      </c>
      <c r="E287" t="s">
        <v>210</v>
      </c>
      <c r="F287">
        <v>-416</v>
      </c>
      <c r="H287" t="s">
        <v>876</v>
      </c>
      <c r="I287">
        <v>-16</v>
      </c>
      <c r="J287" t="s">
        <v>87</v>
      </c>
      <c r="K287">
        <v>-24</v>
      </c>
      <c r="L287" t="s">
        <v>995</v>
      </c>
      <c r="M287">
        <v>-3</v>
      </c>
      <c r="O287" t="s">
        <v>1207</v>
      </c>
      <c r="P287">
        <v>-2</v>
      </c>
      <c r="Q287" t="s">
        <v>1237</v>
      </c>
      <c r="R287">
        <v>-58.8</v>
      </c>
      <c r="S287" t="s">
        <v>872</v>
      </c>
      <c r="T287">
        <v>-4</v>
      </c>
      <c r="U287" t="s">
        <v>1738</v>
      </c>
      <c r="V287">
        <v>-1</v>
      </c>
      <c r="W287" t="s">
        <v>322</v>
      </c>
      <c r="X287">
        <v>-3</v>
      </c>
      <c r="Y287" t="s">
        <v>263</v>
      </c>
      <c r="Z287">
        <v>-3</v>
      </c>
      <c r="AA287" t="s">
        <v>28</v>
      </c>
      <c r="AB287">
        <v>-4</v>
      </c>
      <c r="AC287" t="s">
        <v>400</v>
      </c>
      <c r="AD287">
        <v>-7</v>
      </c>
      <c r="AE287" t="s">
        <v>59</v>
      </c>
      <c r="AF287">
        <v>-108</v>
      </c>
      <c r="AG287" t="s">
        <v>360</v>
      </c>
      <c r="AH287">
        <v>-304</v>
      </c>
      <c r="AI287" t="s">
        <v>869</v>
      </c>
      <c r="AJ287">
        <v>-1</v>
      </c>
      <c r="AK287" t="s">
        <v>361</v>
      </c>
      <c r="AL287">
        <v>-300</v>
      </c>
      <c r="AM287" t="s">
        <v>2381</v>
      </c>
      <c r="AN287">
        <v>-15</v>
      </c>
    </row>
    <row r="288" spans="2:40" x14ac:dyDescent="0.25">
      <c r="B288" t="s">
        <v>278</v>
      </c>
      <c r="C288">
        <v>-320</v>
      </c>
      <c r="E288" t="s">
        <v>211</v>
      </c>
      <c r="F288">
        <v>-96</v>
      </c>
      <c r="H288" t="s">
        <v>877</v>
      </c>
      <c r="I288">
        <v>-8</v>
      </c>
      <c r="J288" t="s">
        <v>86</v>
      </c>
      <c r="K288">
        <v>-48</v>
      </c>
      <c r="L288" t="s">
        <v>399</v>
      </c>
      <c r="M288">
        <v>-9</v>
      </c>
      <c r="O288" t="s">
        <v>998</v>
      </c>
      <c r="P288">
        <v>-8</v>
      </c>
      <c r="Q288" t="s">
        <v>1434</v>
      </c>
      <c r="R288">
        <v>-300</v>
      </c>
      <c r="S288" t="s">
        <v>302</v>
      </c>
      <c r="T288">
        <v>-16</v>
      </c>
      <c r="U288" t="s">
        <v>581</v>
      </c>
      <c r="V288">
        <v>-1</v>
      </c>
      <c r="W288" t="s">
        <v>323</v>
      </c>
      <c r="X288">
        <v>-3</v>
      </c>
      <c r="Y288" t="s">
        <v>261</v>
      </c>
      <c r="Z288">
        <v>-3</v>
      </c>
      <c r="AA288" t="s">
        <v>29</v>
      </c>
      <c r="AB288">
        <v>-7</v>
      </c>
      <c r="AC288" t="s">
        <v>1250</v>
      </c>
      <c r="AD288">
        <v>-4</v>
      </c>
      <c r="AE288" t="s">
        <v>302</v>
      </c>
      <c r="AF288">
        <v>-44</v>
      </c>
      <c r="AG288" t="s">
        <v>655</v>
      </c>
      <c r="AH288">
        <v>-52</v>
      </c>
      <c r="AI288" t="s">
        <v>631</v>
      </c>
      <c r="AJ288">
        <v>-3.9998999999999998</v>
      </c>
      <c r="AK288" t="s">
        <v>2280</v>
      </c>
      <c r="AL288">
        <v>-20</v>
      </c>
      <c r="AM288" t="s">
        <v>2382</v>
      </c>
      <c r="AN288">
        <v>-15</v>
      </c>
    </row>
    <row r="289" spans="2:40" x14ac:dyDescent="0.25">
      <c r="B289" t="s">
        <v>760</v>
      </c>
      <c r="C289">
        <v>-1</v>
      </c>
      <c r="E289" t="s">
        <v>212</v>
      </c>
      <c r="F289">
        <v>-64</v>
      </c>
      <c r="H289" t="s">
        <v>280</v>
      </c>
      <c r="I289">
        <v>-168</v>
      </c>
      <c r="J289" t="s">
        <v>1032</v>
      </c>
      <c r="K289">
        <v>-3</v>
      </c>
      <c r="L289" t="s">
        <v>996</v>
      </c>
      <c r="M289">
        <v>-6</v>
      </c>
      <c r="O289" t="s">
        <v>999</v>
      </c>
      <c r="P289">
        <v>-16</v>
      </c>
      <c r="Q289" t="s">
        <v>1579</v>
      </c>
      <c r="R289">
        <v>-2</v>
      </c>
      <c r="S289" t="s">
        <v>1584</v>
      </c>
      <c r="T289">
        <v>-10</v>
      </c>
      <c r="U289" t="s">
        <v>1434</v>
      </c>
      <c r="V289">
        <v>-193.6</v>
      </c>
      <c r="W289" t="s">
        <v>450</v>
      </c>
      <c r="X289">
        <v>-317</v>
      </c>
      <c r="Y289" t="s">
        <v>1044</v>
      </c>
      <c r="Z289">
        <v>-6</v>
      </c>
      <c r="AA289" t="s">
        <v>64</v>
      </c>
      <c r="AB289">
        <v>-1</v>
      </c>
      <c r="AC289" t="s">
        <v>2005</v>
      </c>
      <c r="AD289">
        <v>-5</v>
      </c>
      <c r="AE289" t="s">
        <v>327</v>
      </c>
      <c r="AF289">
        <v>-6</v>
      </c>
      <c r="AG289" t="s">
        <v>809</v>
      </c>
      <c r="AH289">
        <v>-4</v>
      </c>
      <c r="AI289" t="s">
        <v>775</v>
      </c>
      <c r="AJ289">
        <v>-1</v>
      </c>
      <c r="AK289" t="s">
        <v>1675</v>
      </c>
      <c r="AL289">
        <v>-1</v>
      </c>
      <c r="AM289" t="s">
        <v>2383</v>
      </c>
      <c r="AN289">
        <v>-15</v>
      </c>
    </row>
    <row r="290" spans="2:40" x14ac:dyDescent="0.25">
      <c r="B290" t="s">
        <v>244</v>
      </c>
      <c r="C290">
        <v>-665</v>
      </c>
      <c r="E290" t="s">
        <v>213</v>
      </c>
      <c r="F290">
        <v>-80</v>
      </c>
      <c r="H290" t="s">
        <v>878</v>
      </c>
      <c r="I290">
        <v>-1</v>
      </c>
      <c r="J290" t="s">
        <v>1033</v>
      </c>
      <c r="K290">
        <v>-3</v>
      </c>
      <c r="L290" t="s">
        <v>1205</v>
      </c>
      <c r="M290">
        <v>-4</v>
      </c>
      <c r="O290" t="s">
        <v>1000</v>
      </c>
      <c r="P290">
        <v>-16</v>
      </c>
      <c r="Q290" t="s">
        <v>1580</v>
      </c>
      <c r="R290">
        <v>-4</v>
      </c>
      <c r="S290" t="s">
        <v>327</v>
      </c>
      <c r="T290">
        <v>-3</v>
      </c>
      <c r="U290" t="s">
        <v>229</v>
      </c>
      <c r="V290">
        <v>-49.5</v>
      </c>
      <c r="W290" t="s">
        <v>1245</v>
      </c>
      <c r="X290">
        <v>-10</v>
      </c>
      <c r="Y290" t="s">
        <v>151</v>
      </c>
      <c r="Z290">
        <v>-8</v>
      </c>
      <c r="AA290" t="s">
        <v>1956</v>
      </c>
      <c r="AB290">
        <v>-1</v>
      </c>
      <c r="AC290" t="s">
        <v>324</v>
      </c>
      <c r="AD290">
        <v>-30</v>
      </c>
      <c r="AE290" t="s">
        <v>138</v>
      </c>
      <c r="AF290">
        <v>-7</v>
      </c>
      <c r="AG290" t="s">
        <v>351</v>
      </c>
      <c r="AH290">
        <v>-19</v>
      </c>
      <c r="AI290" t="s">
        <v>2211</v>
      </c>
      <c r="AJ290">
        <v>-1</v>
      </c>
      <c r="AK290" t="s">
        <v>2281</v>
      </c>
      <c r="AL290">
        <v>-150</v>
      </c>
      <c r="AM290" t="s">
        <v>2384</v>
      </c>
      <c r="AN290">
        <v>-15</v>
      </c>
    </row>
    <row r="291" spans="2:40" x14ac:dyDescent="0.25">
      <c r="B291" t="s">
        <v>243</v>
      </c>
      <c r="C291">
        <v>-230</v>
      </c>
      <c r="E291" t="s">
        <v>214</v>
      </c>
      <c r="F291">
        <v>-32</v>
      </c>
      <c r="H291" t="s">
        <v>32</v>
      </c>
      <c r="I291">
        <v>-16</v>
      </c>
      <c r="J291" t="s">
        <v>250</v>
      </c>
      <c r="K291">
        <v>-295</v>
      </c>
      <c r="L291" t="s">
        <v>1206</v>
      </c>
      <c r="M291">
        <v>-4</v>
      </c>
      <c r="O291" t="s">
        <v>1001</v>
      </c>
      <c r="P291">
        <v>-39</v>
      </c>
      <c r="Q291" t="s">
        <v>229</v>
      </c>
      <c r="R291">
        <v>-33</v>
      </c>
      <c r="S291" t="s">
        <v>138</v>
      </c>
      <c r="T291">
        <v>-9</v>
      </c>
      <c r="U291" t="s">
        <v>278</v>
      </c>
      <c r="V291">
        <v>-180</v>
      </c>
      <c r="W291" t="s">
        <v>318</v>
      </c>
      <c r="X291">
        <v>-1</v>
      </c>
      <c r="Y291" t="s">
        <v>258</v>
      </c>
      <c r="Z291">
        <v>-2</v>
      </c>
      <c r="AA291" t="s">
        <v>30</v>
      </c>
      <c r="AB291">
        <v>-5</v>
      </c>
      <c r="AC291" t="s">
        <v>301</v>
      </c>
      <c r="AD291">
        <v>-10</v>
      </c>
      <c r="AE291" t="s">
        <v>473</v>
      </c>
      <c r="AF291">
        <v>-16</v>
      </c>
      <c r="AG291" t="s">
        <v>2156</v>
      </c>
      <c r="AH291">
        <v>-2</v>
      </c>
      <c r="AI291" t="s">
        <v>669</v>
      </c>
      <c r="AJ291">
        <v>-11</v>
      </c>
      <c r="AK291" t="s">
        <v>360</v>
      </c>
      <c r="AL291">
        <v>-332</v>
      </c>
      <c r="AM291" t="s">
        <v>2385</v>
      </c>
      <c r="AN291">
        <v>-15</v>
      </c>
    </row>
    <row r="292" spans="2:40" x14ac:dyDescent="0.25">
      <c r="B292" t="s">
        <v>202</v>
      </c>
      <c r="C292">
        <v>-4</v>
      </c>
      <c r="E292" t="s">
        <v>280</v>
      </c>
      <c r="F292">
        <v>-224</v>
      </c>
      <c r="H292" t="s">
        <v>51</v>
      </c>
      <c r="I292">
        <v>-26</v>
      </c>
      <c r="J292" t="s">
        <v>1034</v>
      </c>
      <c r="K292">
        <v>-24</v>
      </c>
      <c r="L292" t="s">
        <v>1207</v>
      </c>
      <c r="M292">
        <v>-2</v>
      </c>
      <c r="O292" t="s">
        <v>1002</v>
      </c>
      <c r="P292">
        <v>-28</v>
      </c>
      <c r="Q292" t="s">
        <v>278</v>
      </c>
      <c r="R292">
        <v>-60</v>
      </c>
      <c r="S292" t="s">
        <v>473</v>
      </c>
      <c r="T292">
        <v>-2</v>
      </c>
      <c r="U292" t="s">
        <v>244</v>
      </c>
      <c r="V292">
        <v>-590</v>
      </c>
      <c r="W292" t="s">
        <v>319</v>
      </c>
      <c r="X292">
        <v>-1</v>
      </c>
      <c r="Y292" t="s">
        <v>139</v>
      </c>
      <c r="Z292">
        <v>-2</v>
      </c>
      <c r="AA292" t="s">
        <v>879</v>
      </c>
      <c r="AB292">
        <v>-2</v>
      </c>
      <c r="AC292" t="s">
        <v>345</v>
      </c>
      <c r="AD292">
        <v>-64.5</v>
      </c>
      <c r="AE292" t="s">
        <v>134</v>
      </c>
      <c r="AF292">
        <v>-4</v>
      </c>
      <c r="AG292" t="s">
        <v>230</v>
      </c>
      <c r="AH292">
        <v>-22</v>
      </c>
      <c r="AI292" t="s">
        <v>670</v>
      </c>
      <c r="AJ292">
        <v>-2</v>
      </c>
      <c r="AK292" t="s">
        <v>655</v>
      </c>
      <c r="AL292">
        <v>-116</v>
      </c>
      <c r="AM292" t="s">
        <v>2386</v>
      </c>
      <c r="AN292">
        <v>-15</v>
      </c>
    </row>
    <row r="293" spans="2:40" x14ac:dyDescent="0.25">
      <c r="B293" t="s">
        <v>18</v>
      </c>
      <c r="C293">
        <v>-4</v>
      </c>
      <c r="E293" t="s">
        <v>32</v>
      </c>
      <c r="F293">
        <v>-16</v>
      </c>
      <c r="H293" t="s">
        <v>33</v>
      </c>
      <c r="I293">
        <v>-17</v>
      </c>
      <c r="J293" t="s">
        <v>592</v>
      </c>
      <c r="K293">
        <v>-4400</v>
      </c>
      <c r="L293" t="s">
        <v>998</v>
      </c>
      <c r="M293">
        <v>-7</v>
      </c>
      <c r="O293" t="s">
        <v>1003</v>
      </c>
      <c r="P293">
        <v>-8</v>
      </c>
      <c r="Q293" t="s">
        <v>1581</v>
      </c>
      <c r="R293">
        <v>-7</v>
      </c>
      <c r="S293" t="s">
        <v>134</v>
      </c>
      <c r="T293">
        <v>-24</v>
      </c>
      <c r="U293" t="s">
        <v>243</v>
      </c>
      <c r="V293">
        <v>-300</v>
      </c>
      <c r="W293" t="s">
        <v>333</v>
      </c>
      <c r="X293">
        <v>-2</v>
      </c>
      <c r="Y293" t="s">
        <v>481</v>
      </c>
      <c r="Z293">
        <v>-2</v>
      </c>
      <c r="AA293" t="s">
        <v>249</v>
      </c>
      <c r="AB293">
        <v>-15</v>
      </c>
      <c r="AC293" t="s">
        <v>603</v>
      </c>
      <c r="AD293">
        <v>-0.36</v>
      </c>
      <c r="AE293" t="s">
        <v>745</v>
      </c>
      <c r="AF293">
        <v>-40</v>
      </c>
      <c r="AG293" t="s">
        <v>870</v>
      </c>
      <c r="AH293">
        <v>-1</v>
      </c>
      <c r="AI293" t="s">
        <v>633</v>
      </c>
      <c r="AJ293">
        <v>-4</v>
      </c>
      <c r="AK293" t="s">
        <v>2282</v>
      </c>
      <c r="AL293">
        <v>-1</v>
      </c>
      <c r="AM293" t="s">
        <v>448</v>
      </c>
      <c r="AN293">
        <v>-61</v>
      </c>
    </row>
    <row r="294" spans="2:40" x14ac:dyDescent="0.25">
      <c r="B294" t="s">
        <v>602</v>
      </c>
      <c r="C294">
        <v>-10</v>
      </c>
      <c r="E294" t="s">
        <v>51</v>
      </c>
      <c r="F294">
        <v>-75</v>
      </c>
      <c r="H294" t="s">
        <v>34</v>
      </c>
      <c r="I294">
        <v>-32</v>
      </c>
      <c r="J294" t="s">
        <v>618</v>
      </c>
      <c r="K294">
        <v>-1</v>
      </c>
      <c r="L294" t="s">
        <v>999</v>
      </c>
      <c r="M294">
        <v>-14</v>
      </c>
      <c r="O294" t="s">
        <v>1419</v>
      </c>
      <c r="P294">
        <v>-3</v>
      </c>
      <c r="Q294" t="s">
        <v>244</v>
      </c>
      <c r="R294">
        <v>-245</v>
      </c>
      <c r="S294" t="s">
        <v>745</v>
      </c>
      <c r="T294">
        <v>-7</v>
      </c>
      <c r="U294" t="s">
        <v>18</v>
      </c>
      <c r="V294">
        <v>-2</v>
      </c>
      <c r="W294" t="s">
        <v>306</v>
      </c>
      <c r="X294">
        <v>-15</v>
      </c>
      <c r="Y294" t="s">
        <v>325</v>
      </c>
      <c r="Z294">
        <v>-16</v>
      </c>
      <c r="AA294" t="s">
        <v>743</v>
      </c>
      <c r="AB294">
        <v>-17</v>
      </c>
      <c r="AC294" t="s">
        <v>1452</v>
      </c>
      <c r="AD294">
        <v>-0.04</v>
      </c>
      <c r="AE294" t="s">
        <v>780</v>
      </c>
      <c r="AF294">
        <v>-5</v>
      </c>
      <c r="AG294" t="s">
        <v>810</v>
      </c>
      <c r="AH294">
        <v>-1</v>
      </c>
      <c r="AI294" t="s">
        <v>736</v>
      </c>
      <c r="AJ294">
        <v>-2</v>
      </c>
      <c r="AK294" t="s">
        <v>1233</v>
      </c>
      <c r="AL294">
        <v>-1</v>
      </c>
      <c r="AM294" t="s">
        <v>2387</v>
      </c>
      <c r="AN294">
        <v>-5</v>
      </c>
    </row>
    <row r="295" spans="2:40" x14ac:dyDescent="0.25">
      <c r="B295" t="s">
        <v>546</v>
      </c>
      <c r="C295">
        <v>-2</v>
      </c>
      <c r="E295" t="s">
        <v>33</v>
      </c>
      <c r="F295">
        <v>-104</v>
      </c>
      <c r="H295" t="s">
        <v>225</v>
      </c>
      <c r="I295">
        <v>-13</v>
      </c>
      <c r="J295" t="s">
        <v>129</v>
      </c>
      <c r="K295">
        <v>-29</v>
      </c>
      <c r="L295" t="s">
        <v>1000</v>
      </c>
      <c r="M295">
        <v>-14</v>
      </c>
      <c r="O295" t="s">
        <v>1208</v>
      </c>
      <c r="P295">
        <v>-6</v>
      </c>
      <c r="Q295" t="s">
        <v>243</v>
      </c>
      <c r="R295">
        <v>-110</v>
      </c>
      <c r="S295" t="s">
        <v>780</v>
      </c>
      <c r="T295">
        <v>-2</v>
      </c>
      <c r="U295" t="s">
        <v>602</v>
      </c>
      <c r="V295">
        <v>-12</v>
      </c>
      <c r="W295" t="s">
        <v>320</v>
      </c>
      <c r="X295">
        <v>-6</v>
      </c>
      <c r="Y295" t="s">
        <v>726</v>
      </c>
      <c r="Z295">
        <v>-3</v>
      </c>
      <c r="AA295" t="s">
        <v>1957</v>
      </c>
      <c r="AB295">
        <v>-2</v>
      </c>
      <c r="AC295" t="s">
        <v>754</v>
      </c>
      <c r="AD295">
        <v>-10</v>
      </c>
      <c r="AE295" t="s">
        <v>393</v>
      </c>
      <c r="AF295">
        <v>-147</v>
      </c>
      <c r="AG295" t="s">
        <v>217</v>
      </c>
      <c r="AH295">
        <v>-15</v>
      </c>
      <c r="AI295" t="s">
        <v>364</v>
      </c>
      <c r="AJ295">
        <v>-6</v>
      </c>
      <c r="AK295" t="s">
        <v>351</v>
      </c>
      <c r="AL295">
        <v>-12</v>
      </c>
      <c r="AM295" t="s">
        <v>2388</v>
      </c>
      <c r="AN295">
        <v>-5</v>
      </c>
    </row>
    <row r="296" spans="2:40" x14ac:dyDescent="0.25">
      <c r="B296" t="s">
        <v>545</v>
      </c>
      <c r="C296">
        <v>-1</v>
      </c>
      <c r="E296" t="s">
        <v>34</v>
      </c>
      <c r="F296">
        <v>-112</v>
      </c>
      <c r="H296" t="s">
        <v>29</v>
      </c>
      <c r="I296">
        <v>-9</v>
      </c>
      <c r="J296" t="s">
        <v>390</v>
      </c>
      <c r="K296">
        <v>-18</v>
      </c>
      <c r="L296" t="s">
        <v>1001</v>
      </c>
      <c r="M296">
        <v>-28</v>
      </c>
      <c r="O296" t="s">
        <v>386</v>
      </c>
      <c r="P296">
        <v>-8</v>
      </c>
      <c r="Q296" t="s">
        <v>1582</v>
      </c>
      <c r="R296">
        <v>-10</v>
      </c>
      <c r="S296" t="s">
        <v>1446</v>
      </c>
      <c r="T296">
        <v>-5</v>
      </c>
      <c r="U296" t="s">
        <v>746</v>
      </c>
      <c r="V296">
        <v>-3</v>
      </c>
      <c r="W296" t="s">
        <v>317</v>
      </c>
      <c r="X296">
        <v>-8</v>
      </c>
      <c r="Y296" t="s">
        <v>194</v>
      </c>
      <c r="Z296">
        <v>-10</v>
      </c>
      <c r="AA296" t="s">
        <v>279</v>
      </c>
      <c r="AB296">
        <v>-1</v>
      </c>
      <c r="AC296" t="s">
        <v>439</v>
      </c>
      <c r="AD296">
        <v>-112.5</v>
      </c>
      <c r="AE296" t="s">
        <v>815</v>
      </c>
      <c r="AF296">
        <v>-6</v>
      </c>
      <c r="AG296" t="s">
        <v>17</v>
      </c>
      <c r="AH296">
        <v>-10</v>
      </c>
      <c r="AI296" t="s">
        <v>453</v>
      </c>
      <c r="AJ296">
        <v>-125</v>
      </c>
      <c r="AK296" t="s">
        <v>230</v>
      </c>
      <c r="AL296">
        <v>-13</v>
      </c>
      <c r="AM296" t="s">
        <v>2389</v>
      </c>
      <c r="AN296">
        <v>-5</v>
      </c>
    </row>
    <row r="297" spans="2:40" x14ac:dyDescent="0.25">
      <c r="B297" t="s">
        <v>462</v>
      </c>
      <c r="C297">
        <v>-60</v>
      </c>
      <c r="E297" t="s">
        <v>35</v>
      </c>
      <c r="F297">
        <v>-19</v>
      </c>
      <c r="H297" t="s">
        <v>64</v>
      </c>
      <c r="I297">
        <v>-11</v>
      </c>
      <c r="J297" t="s">
        <v>175</v>
      </c>
      <c r="K297">
        <v>-5</v>
      </c>
      <c r="L297" t="s">
        <v>1002</v>
      </c>
      <c r="M297">
        <v>-34</v>
      </c>
      <c r="O297" t="s">
        <v>606</v>
      </c>
      <c r="P297">
        <v>-23.619999999999997</v>
      </c>
      <c r="Q297" t="s">
        <v>602</v>
      </c>
      <c r="R297">
        <v>-8</v>
      </c>
      <c r="S297" t="s">
        <v>497</v>
      </c>
      <c r="T297">
        <v>-7</v>
      </c>
      <c r="U297" t="s">
        <v>465</v>
      </c>
      <c r="V297">
        <v>-18</v>
      </c>
      <c r="W297" t="s">
        <v>99</v>
      </c>
      <c r="X297">
        <v>-25</v>
      </c>
      <c r="Y297" t="s">
        <v>1295</v>
      </c>
      <c r="Z297">
        <v>-1</v>
      </c>
      <c r="AA297" t="s">
        <v>592</v>
      </c>
      <c r="AB297">
        <v>-1703.2380000000001</v>
      </c>
      <c r="AC297" t="s">
        <v>752</v>
      </c>
      <c r="AD297">
        <v>-24.55</v>
      </c>
      <c r="AE297" t="s">
        <v>100</v>
      </c>
      <c r="AF297">
        <v>-36</v>
      </c>
      <c r="AG297" t="s">
        <v>2157</v>
      </c>
      <c r="AH297">
        <v>-1</v>
      </c>
      <c r="AI297" t="s">
        <v>632</v>
      </c>
      <c r="AJ297">
        <v>-12</v>
      </c>
      <c r="AK297" t="s">
        <v>217</v>
      </c>
      <c r="AL297">
        <v>-7</v>
      </c>
      <c r="AM297" t="s">
        <v>2390</v>
      </c>
      <c r="AN297">
        <v>-5</v>
      </c>
    </row>
    <row r="298" spans="2:40" x14ac:dyDescent="0.25">
      <c r="B298" t="s">
        <v>275</v>
      </c>
      <c r="C298">
        <v>-86</v>
      </c>
      <c r="E298" t="s">
        <v>36</v>
      </c>
      <c r="F298">
        <v>-60</v>
      </c>
      <c r="H298" t="s">
        <v>205</v>
      </c>
      <c r="I298">
        <v>-10</v>
      </c>
      <c r="J298" t="s">
        <v>579</v>
      </c>
      <c r="K298">
        <v>-4</v>
      </c>
      <c r="L298" t="s">
        <v>1003</v>
      </c>
      <c r="M298">
        <v>-10</v>
      </c>
      <c r="O298" t="s">
        <v>1211</v>
      </c>
      <c r="P298">
        <v>-6</v>
      </c>
      <c r="Q298" t="s">
        <v>1239</v>
      </c>
      <c r="R298">
        <v>-51</v>
      </c>
      <c r="S298" t="s">
        <v>1019</v>
      </c>
      <c r="T298">
        <v>-5</v>
      </c>
      <c r="U298" t="s">
        <v>275</v>
      </c>
      <c r="V298">
        <v>-30</v>
      </c>
      <c r="W298" t="s">
        <v>400</v>
      </c>
      <c r="X298">
        <v>-2</v>
      </c>
      <c r="Y298" t="s">
        <v>220</v>
      </c>
      <c r="Z298">
        <v>-2</v>
      </c>
      <c r="AA298" t="s">
        <v>1839</v>
      </c>
      <c r="AB298">
        <v>-2</v>
      </c>
      <c r="AC298" t="s">
        <v>426</v>
      </c>
      <c r="AD298">
        <v>-48.26</v>
      </c>
      <c r="AE298" t="s">
        <v>98</v>
      </c>
      <c r="AF298">
        <v>-24</v>
      </c>
      <c r="AG298" t="s">
        <v>52</v>
      </c>
      <c r="AH298">
        <v>-1</v>
      </c>
      <c r="AI298" t="s">
        <v>39</v>
      </c>
      <c r="AJ298">
        <v>-8</v>
      </c>
      <c r="AK298" t="s">
        <v>17</v>
      </c>
      <c r="AL298">
        <v>-8</v>
      </c>
      <c r="AM298" t="s">
        <v>2391</v>
      </c>
      <c r="AN298">
        <v>-6</v>
      </c>
    </row>
    <row r="299" spans="2:40" x14ac:dyDescent="0.25">
      <c r="B299" t="s">
        <v>59</v>
      </c>
      <c r="C299">
        <v>-186</v>
      </c>
      <c r="E299" t="s">
        <v>666</v>
      </c>
      <c r="F299">
        <v>-2</v>
      </c>
      <c r="H299" t="s">
        <v>879</v>
      </c>
      <c r="I299">
        <v>-74</v>
      </c>
      <c r="J299" t="s">
        <v>1035</v>
      </c>
      <c r="K299">
        <v>-16</v>
      </c>
      <c r="L299" t="s">
        <v>1208</v>
      </c>
      <c r="M299">
        <v>-6</v>
      </c>
      <c r="O299" t="s">
        <v>1420</v>
      </c>
      <c r="P299">
        <v>-2</v>
      </c>
      <c r="Q299" t="s">
        <v>107</v>
      </c>
      <c r="R299">
        <v>-3</v>
      </c>
      <c r="S299" t="s">
        <v>1020</v>
      </c>
      <c r="T299">
        <v>-10</v>
      </c>
      <c r="U299" t="s">
        <v>59</v>
      </c>
      <c r="V299">
        <v>-54</v>
      </c>
      <c r="W299" t="s">
        <v>1825</v>
      </c>
      <c r="X299">
        <v>-1</v>
      </c>
      <c r="Y299" t="s">
        <v>1914</v>
      </c>
      <c r="Z299">
        <v>-5</v>
      </c>
      <c r="AA299" t="s">
        <v>1750</v>
      </c>
      <c r="AB299">
        <v>-2</v>
      </c>
      <c r="AC299" t="s">
        <v>424</v>
      </c>
      <c r="AD299">
        <v>-2</v>
      </c>
      <c r="AE299" t="s">
        <v>322</v>
      </c>
      <c r="AF299">
        <v>-16</v>
      </c>
      <c r="AG299" t="s">
        <v>1235</v>
      </c>
      <c r="AH299">
        <v>-10</v>
      </c>
      <c r="AI299" t="s">
        <v>730</v>
      </c>
      <c r="AJ299">
        <v>-20</v>
      </c>
      <c r="AK299" t="s">
        <v>2214</v>
      </c>
      <c r="AL299">
        <v>-1</v>
      </c>
      <c r="AM299" t="s">
        <v>2392</v>
      </c>
      <c r="AN299">
        <v>-12</v>
      </c>
    </row>
    <row r="300" spans="2:40" x14ac:dyDescent="0.25">
      <c r="B300" t="s">
        <v>422</v>
      </c>
      <c r="C300">
        <v>-8</v>
      </c>
      <c r="E300" t="s">
        <v>66</v>
      </c>
      <c r="F300">
        <v>-22</v>
      </c>
      <c r="H300" t="s">
        <v>249</v>
      </c>
      <c r="I300">
        <v>-160</v>
      </c>
      <c r="J300" t="s">
        <v>177</v>
      </c>
      <c r="K300">
        <v>-10</v>
      </c>
      <c r="L300" t="s">
        <v>386</v>
      </c>
      <c r="M300">
        <v>-17</v>
      </c>
      <c r="O300" t="s">
        <v>656</v>
      </c>
      <c r="P300">
        <v>-1</v>
      </c>
      <c r="Q300" t="s">
        <v>465</v>
      </c>
      <c r="R300">
        <v>-12</v>
      </c>
      <c r="S300" t="s">
        <v>1021</v>
      </c>
      <c r="T300">
        <v>-5</v>
      </c>
      <c r="U300" t="s">
        <v>872</v>
      </c>
      <c r="V300">
        <v>-4</v>
      </c>
      <c r="W300" t="s">
        <v>1250</v>
      </c>
      <c r="X300">
        <v>-3</v>
      </c>
      <c r="Y300" t="s">
        <v>79</v>
      </c>
      <c r="Z300">
        <v>-200</v>
      </c>
      <c r="AA300" t="s">
        <v>129</v>
      </c>
      <c r="AB300">
        <v>-38</v>
      </c>
      <c r="AC300" t="s">
        <v>159</v>
      </c>
      <c r="AD300">
        <v>-18</v>
      </c>
      <c r="AE300" t="s">
        <v>323</v>
      </c>
      <c r="AF300">
        <v>-16</v>
      </c>
      <c r="AG300" t="s">
        <v>813</v>
      </c>
      <c r="AH300">
        <v>-8</v>
      </c>
      <c r="AI300" t="s">
        <v>2212</v>
      </c>
      <c r="AJ300">
        <v>-5</v>
      </c>
      <c r="AK300" t="s">
        <v>1738</v>
      </c>
      <c r="AL300">
        <v>-1</v>
      </c>
      <c r="AM300" t="s">
        <v>2393</v>
      </c>
      <c r="AN300">
        <v>-5</v>
      </c>
    </row>
    <row r="301" spans="2:40" x14ac:dyDescent="0.25">
      <c r="B301" t="s">
        <v>302</v>
      </c>
      <c r="C301">
        <v>-36</v>
      </c>
      <c r="E301" t="s">
        <v>65</v>
      </c>
      <c r="F301">
        <v>-24</v>
      </c>
      <c r="H301" t="s">
        <v>250</v>
      </c>
      <c r="I301">
        <v>-418</v>
      </c>
      <c r="J301" t="s">
        <v>1036</v>
      </c>
      <c r="K301">
        <v>-1</v>
      </c>
      <c r="L301" t="s">
        <v>1209</v>
      </c>
      <c r="M301">
        <v>-2</v>
      </c>
      <c r="O301" t="s">
        <v>869</v>
      </c>
      <c r="P301">
        <v>-6</v>
      </c>
      <c r="Q301" t="s">
        <v>275</v>
      </c>
      <c r="R301">
        <v>-12</v>
      </c>
      <c r="S301" t="s">
        <v>1022</v>
      </c>
      <c r="T301">
        <v>-5</v>
      </c>
      <c r="U301" t="s">
        <v>302</v>
      </c>
      <c r="V301">
        <v>-8</v>
      </c>
      <c r="W301" t="s">
        <v>1826</v>
      </c>
      <c r="X301">
        <v>-234.00000000000011</v>
      </c>
      <c r="Y301" t="s">
        <v>383</v>
      </c>
      <c r="Z301">
        <v>-48</v>
      </c>
      <c r="AA301" t="s">
        <v>390</v>
      </c>
      <c r="AB301">
        <v>-8</v>
      </c>
      <c r="AC301" t="s">
        <v>1257</v>
      </c>
      <c r="AD301">
        <v>-1</v>
      </c>
      <c r="AE301" t="s">
        <v>450</v>
      </c>
      <c r="AF301">
        <v>-356</v>
      </c>
      <c r="AG301" t="s">
        <v>229</v>
      </c>
      <c r="AH301">
        <v>-63.5</v>
      </c>
      <c r="AI301" t="s">
        <v>259</v>
      </c>
      <c r="AJ301">
        <v>-10</v>
      </c>
      <c r="AK301" t="s">
        <v>1235</v>
      </c>
      <c r="AL301">
        <v>-5</v>
      </c>
      <c r="AM301" t="s">
        <v>2394</v>
      </c>
      <c r="AN301">
        <v>-5</v>
      </c>
    </row>
    <row r="302" spans="2:40" x14ac:dyDescent="0.25">
      <c r="B302" t="s">
        <v>327</v>
      </c>
      <c r="C302">
        <v>-8</v>
      </c>
      <c r="E302" t="s">
        <v>26</v>
      </c>
      <c r="F302">
        <v>-36</v>
      </c>
      <c r="H302" t="s">
        <v>279</v>
      </c>
      <c r="I302">
        <v>-5</v>
      </c>
      <c r="J302" t="s">
        <v>1037</v>
      </c>
      <c r="K302">
        <v>-5</v>
      </c>
      <c r="L302" t="s">
        <v>606</v>
      </c>
      <c r="M302">
        <v>-49</v>
      </c>
      <c r="O302" t="s">
        <v>1421</v>
      </c>
      <c r="P302">
        <v>-1</v>
      </c>
      <c r="Q302" t="s">
        <v>1240</v>
      </c>
      <c r="R302">
        <v>-380</v>
      </c>
      <c r="S302" t="s">
        <v>1023</v>
      </c>
      <c r="T302">
        <v>-5</v>
      </c>
      <c r="U302" t="s">
        <v>1584</v>
      </c>
      <c r="V302">
        <v>-12</v>
      </c>
      <c r="W302" t="s">
        <v>1827</v>
      </c>
      <c r="X302">
        <v>-1</v>
      </c>
      <c r="Y302" t="s">
        <v>416</v>
      </c>
      <c r="Z302">
        <v>-1</v>
      </c>
      <c r="AA302" t="s">
        <v>175</v>
      </c>
      <c r="AB302">
        <v>-4</v>
      </c>
      <c r="AC302" t="s">
        <v>141</v>
      </c>
      <c r="AD302">
        <v>-1</v>
      </c>
      <c r="AE302" t="s">
        <v>1245</v>
      </c>
      <c r="AF302">
        <v>-12</v>
      </c>
      <c r="AG302" t="s">
        <v>278</v>
      </c>
      <c r="AH302">
        <v>-345</v>
      </c>
      <c r="AI302" t="s">
        <v>613</v>
      </c>
      <c r="AJ302">
        <v>-42</v>
      </c>
      <c r="AK302" t="s">
        <v>581</v>
      </c>
      <c r="AL302">
        <v>-5</v>
      </c>
      <c r="AM302" t="s">
        <v>2395</v>
      </c>
      <c r="AN302">
        <v>-5</v>
      </c>
    </row>
    <row r="303" spans="2:40" x14ac:dyDescent="0.25">
      <c r="B303" t="s">
        <v>473</v>
      </c>
      <c r="C303">
        <v>-4</v>
      </c>
      <c r="E303" t="s">
        <v>225</v>
      </c>
      <c r="F303">
        <v>-14</v>
      </c>
      <c r="H303" t="s">
        <v>592</v>
      </c>
      <c r="I303">
        <v>-4950</v>
      </c>
      <c r="J303" t="s">
        <v>15</v>
      </c>
      <c r="K303">
        <v>-40</v>
      </c>
      <c r="L303" t="s">
        <v>274</v>
      </c>
      <c r="M303">
        <v>-6</v>
      </c>
      <c r="O303" t="s">
        <v>631</v>
      </c>
      <c r="P303">
        <v>-60.8</v>
      </c>
      <c r="Q303" t="s">
        <v>302</v>
      </c>
      <c r="R303">
        <v>-20</v>
      </c>
      <c r="S303" t="s">
        <v>393</v>
      </c>
      <c r="T303">
        <v>-56</v>
      </c>
      <c r="U303" t="s">
        <v>138</v>
      </c>
      <c r="V303">
        <v>-11</v>
      </c>
      <c r="W303" t="s">
        <v>1828</v>
      </c>
      <c r="X303">
        <v>-10</v>
      </c>
      <c r="Y303" t="s">
        <v>1915</v>
      </c>
      <c r="Z303">
        <v>-1</v>
      </c>
      <c r="AA303" t="s">
        <v>177</v>
      </c>
      <c r="AB303">
        <v>-2</v>
      </c>
      <c r="AC303" t="s">
        <v>2006</v>
      </c>
      <c r="AD303">
        <v>-1</v>
      </c>
      <c r="AE303" t="s">
        <v>318</v>
      </c>
      <c r="AF303">
        <v>-8</v>
      </c>
      <c r="AG303" t="s">
        <v>760</v>
      </c>
      <c r="AH303">
        <v>-1</v>
      </c>
      <c r="AI303" t="s">
        <v>142</v>
      </c>
      <c r="AJ303">
        <v>-6</v>
      </c>
      <c r="AK303" t="s">
        <v>229</v>
      </c>
      <c r="AL303">
        <v>-85.5</v>
      </c>
      <c r="AM303" t="s">
        <v>2396</v>
      </c>
      <c r="AN303">
        <v>-10</v>
      </c>
    </row>
    <row r="304" spans="2:40" x14ac:dyDescent="0.25">
      <c r="B304" t="s">
        <v>134</v>
      </c>
      <c r="C304">
        <v>-16</v>
      </c>
      <c r="E304" t="s">
        <v>27</v>
      </c>
      <c r="F304">
        <v>-33</v>
      </c>
      <c r="H304" t="s">
        <v>129</v>
      </c>
      <c r="I304">
        <v>-207</v>
      </c>
      <c r="J304" t="s">
        <v>1038</v>
      </c>
      <c r="K304">
        <v>-18</v>
      </c>
      <c r="L304" t="s">
        <v>1210</v>
      </c>
      <c r="M304">
        <v>-6</v>
      </c>
      <c r="O304" t="s">
        <v>1422</v>
      </c>
      <c r="P304">
        <v>-1</v>
      </c>
      <c r="Q304" t="s">
        <v>1583</v>
      </c>
      <c r="R304">
        <v>-5</v>
      </c>
      <c r="S304" t="s">
        <v>1679</v>
      </c>
      <c r="T304">
        <v>-8</v>
      </c>
      <c r="U304" t="s">
        <v>473</v>
      </c>
      <c r="V304">
        <v>-4</v>
      </c>
      <c r="W304" t="s">
        <v>324</v>
      </c>
      <c r="X304">
        <v>-18</v>
      </c>
      <c r="Y304" t="s">
        <v>671</v>
      </c>
      <c r="Z304">
        <v>-2</v>
      </c>
      <c r="AA304" t="s">
        <v>1958</v>
      </c>
      <c r="AB304">
        <v>-8</v>
      </c>
      <c r="AC304" t="s">
        <v>286</v>
      </c>
      <c r="AD304">
        <v>-30</v>
      </c>
      <c r="AE304" t="s">
        <v>319</v>
      </c>
      <c r="AF304">
        <v>-8</v>
      </c>
      <c r="AG304" t="s">
        <v>244</v>
      </c>
      <c r="AH304">
        <v>-685</v>
      </c>
      <c r="AI304" t="s">
        <v>398</v>
      </c>
      <c r="AJ304">
        <v>-12</v>
      </c>
      <c r="AK304" t="s">
        <v>278</v>
      </c>
      <c r="AL304">
        <v>-210</v>
      </c>
      <c r="AM304" t="s">
        <v>2397</v>
      </c>
      <c r="AN304">
        <v>-5</v>
      </c>
    </row>
    <row r="305" spans="2:40" x14ac:dyDescent="0.25">
      <c r="B305" t="s">
        <v>547</v>
      </c>
      <c r="C305">
        <v>-2</v>
      </c>
      <c r="E305" t="s">
        <v>28</v>
      </c>
      <c r="F305">
        <v>-23</v>
      </c>
      <c r="H305" t="s">
        <v>390</v>
      </c>
      <c r="I305">
        <v>-22</v>
      </c>
      <c r="J305" t="s">
        <v>242</v>
      </c>
      <c r="K305">
        <v>-4</v>
      </c>
      <c r="L305" t="s">
        <v>1211</v>
      </c>
      <c r="M305">
        <v>-3</v>
      </c>
      <c r="O305" t="s">
        <v>1212</v>
      </c>
      <c r="P305">
        <v>-20</v>
      </c>
      <c r="Q305" t="s">
        <v>1584</v>
      </c>
      <c r="R305">
        <v>-7</v>
      </c>
      <c r="S305" t="s">
        <v>100</v>
      </c>
      <c r="T305">
        <v>-18</v>
      </c>
      <c r="U305" t="s">
        <v>134</v>
      </c>
      <c r="V305">
        <v>-17</v>
      </c>
      <c r="W305" t="s">
        <v>301</v>
      </c>
      <c r="X305">
        <v>-2</v>
      </c>
      <c r="Y305" t="s">
        <v>672</v>
      </c>
      <c r="Z305">
        <v>-2</v>
      </c>
      <c r="AA305" t="s">
        <v>152</v>
      </c>
      <c r="AB305">
        <v>-1</v>
      </c>
      <c r="AC305" t="s">
        <v>665</v>
      </c>
      <c r="AD305">
        <v>-31</v>
      </c>
      <c r="AE305" t="s">
        <v>333</v>
      </c>
      <c r="AF305">
        <v>-7</v>
      </c>
      <c r="AG305" t="s">
        <v>243</v>
      </c>
      <c r="AH305">
        <v>-460</v>
      </c>
      <c r="AI305" t="s">
        <v>626</v>
      </c>
      <c r="AJ305">
        <v>-240</v>
      </c>
      <c r="AK305" t="s">
        <v>244</v>
      </c>
      <c r="AL305">
        <v>-595</v>
      </c>
      <c r="AM305" t="s">
        <v>2398</v>
      </c>
      <c r="AN305">
        <v>-5</v>
      </c>
    </row>
    <row r="306" spans="2:40" x14ac:dyDescent="0.25">
      <c r="B306" t="s">
        <v>173</v>
      </c>
      <c r="C306">
        <v>-2</v>
      </c>
      <c r="E306" t="s">
        <v>29</v>
      </c>
      <c r="F306">
        <v>-33</v>
      </c>
      <c r="H306" t="s">
        <v>175</v>
      </c>
      <c r="I306">
        <v>-55</v>
      </c>
      <c r="J306" t="s">
        <v>1039</v>
      </c>
      <c r="K306">
        <v>-12</v>
      </c>
      <c r="L306" t="s">
        <v>226</v>
      </c>
      <c r="M306">
        <v>-6</v>
      </c>
      <c r="O306" t="s">
        <v>1423</v>
      </c>
      <c r="P306">
        <v>-4</v>
      </c>
      <c r="Q306" t="s">
        <v>327</v>
      </c>
      <c r="R306">
        <v>-5</v>
      </c>
      <c r="S306" t="s">
        <v>98</v>
      </c>
      <c r="T306">
        <v>-35</v>
      </c>
      <c r="U306" t="s">
        <v>745</v>
      </c>
      <c r="V306">
        <v>-10</v>
      </c>
      <c r="W306" t="s">
        <v>345</v>
      </c>
      <c r="X306">
        <v>-57.5</v>
      </c>
      <c r="Y306" t="s">
        <v>447</v>
      </c>
      <c r="Z306">
        <v>-4</v>
      </c>
      <c r="AA306" t="s">
        <v>15</v>
      </c>
      <c r="AB306">
        <v>-10</v>
      </c>
      <c r="AC306" t="s">
        <v>332</v>
      </c>
      <c r="AD306">
        <v>-43</v>
      </c>
      <c r="AE306" t="s">
        <v>2073</v>
      </c>
      <c r="AF306">
        <v>-64</v>
      </c>
      <c r="AG306" t="s">
        <v>1439</v>
      </c>
      <c r="AH306">
        <v>-1</v>
      </c>
      <c r="AI306" t="s">
        <v>361</v>
      </c>
      <c r="AJ306">
        <v>-170</v>
      </c>
      <c r="AK306" t="s">
        <v>243</v>
      </c>
      <c r="AL306">
        <v>-320</v>
      </c>
      <c r="AM306" t="s">
        <v>606</v>
      </c>
      <c r="AN306">
        <v>-14.08</v>
      </c>
    </row>
    <row r="307" spans="2:40" x14ac:dyDescent="0.25">
      <c r="B307" t="s">
        <v>328</v>
      </c>
      <c r="C307">
        <v>-8</v>
      </c>
      <c r="E307" t="s">
        <v>25</v>
      </c>
      <c r="F307">
        <v>-33</v>
      </c>
      <c r="H307" t="s">
        <v>152</v>
      </c>
      <c r="I307">
        <v>-4</v>
      </c>
      <c r="J307" t="s">
        <v>1040</v>
      </c>
      <c r="K307">
        <v>-8</v>
      </c>
      <c r="L307" t="s">
        <v>631</v>
      </c>
      <c r="M307">
        <v>-31</v>
      </c>
      <c r="O307" t="s">
        <v>143</v>
      </c>
      <c r="P307">
        <v>-40</v>
      </c>
      <c r="Q307" t="s">
        <v>138</v>
      </c>
      <c r="R307">
        <v>-13</v>
      </c>
      <c r="S307" t="s">
        <v>1680</v>
      </c>
      <c r="T307">
        <v>-8</v>
      </c>
      <c r="U307" t="s">
        <v>780</v>
      </c>
      <c r="V307">
        <v>-3</v>
      </c>
      <c r="W307" t="s">
        <v>603</v>
      </c>
      <c r="X307">
        <v>-2.1599999999999997</v>
      </c>
      <c r="Y307" t="s">
        <v>445</v>
      </c>
      <c r="Z307">
        <v>-1</v>
      </c>
      <c r="AA307" t="s">
        <v>1959</v>
      </c>
      <c r="AB307">
        <v>-36</v>
      </c>
      <c r="AC307" t="s">
        <v>269</v>
      </c>
      <c r="AD307">
        <v>-4</v>
      </c>
      <c r="AE307" t="s">
        <v>320</v>
      </c>
      <c r="AF307">
        <v>-30</v>
      </c>
      <c r="AG307" t="s">
        <v>18</v>
      </c>
      <c r="AH307">
        <v>-4</v>
      </c>
      <c r="AI307" t="s">
        <v>1012</v>
      </c>
      <c r="AJ307">
        <v>-200</v>
      </c>
      <c r="AK307" t="s">
        <v>18</v>
      </c>
      <c r="AL307">
        <v>-1</v>
      </c>
      <c r="AM307" t="s">
        <v>1900</v>
      </c>
      <c r="AN307">
        <v>-2</v>
      </c>
    </row>
    <row r="308" spans="2:40" x14ac:dyDescent="0.25">
      <c r="B308" t="s">
        <v>745</v>
      </c>
      <c r="C308">
        <v>-26</v>
      </c>
      <c r="E308" t="s">
        <v>30</v>
      </c>
      <c r="F308">
        <v>-36</v>
      </c>
      <c r="H308" t="s">
        <v>15</v>
      </c>
      <c r="I308">
        <v>-68</v>
      </c>
      <c r="J308" t="s">
        <v>885</v>
      </c>
      <c r="K308">
        <v>-3</v>
      </c>
      <c r="L308" t="s">
        <v>1212</v>
      </c>
      <c r="M308">
        <v>-17</v>
      </c>
      <c r="O308" t="s">
        <v>1214</v>
      </c>
      <c r="P308">
        <v>-50</v>
      </c>
      <c r="Q308" t="s">
        <v>134</v>
      </c>
      <c r="R308">
        <v>-23</v>
      </c>
      <c r="S308" t="s">
        <v>1681</v>
      </c>
      <c r="T308">
        <v>-8</v>
      </c>
      <c r="U308" t="s">
        <v>497</v>
      </c>
      <c r="V308">
        <v>-5</v>
      </c>
      <c r="W308" t="s">
        <v>1452</v>
      </c>
      <c r="X308">
        <v>-0.2</v>
      </c>
      <c r="Y308" t="s">
        <v>639</v>
      </c>
      <c r="Z308">
        <v>-7</v>
      </c>
      <c r="AA308" t="s">
        <v>1474</v>
      </c>
      <c r="AB308">
        <v>-2</v>
      </c>
      <c r="AC308" t="s">
        <v>820</v>
      </c>
      <c r="AD308">
        <v>-31</v>
      </c>
      <c r="AE308" t="s">
        <v>317</v>
      </c>
      <c r="AF308">
        <v>-26</v>
      </c>
      <c r="AG308" t="s">
        <v>602</v>
      </c>
      <c r="AH308">
        <v>-51</v>
      </c>
      <c r="AI308" t="s">
        <v>1951</v>
      </c>
      <c r="AJ308">
        <v>-2</v>
      </c>
      <c r="AK308" t="s">
        <v>602</v>
      </c>
      <c r="AL308">
        <v>-22</v>
      </c>
      <c r="AM308" t="s">
        <v>274</v>
      </c>
      <c r="AN308">
        <v>-9</v>
      </c>
    </row>
    <row r="309" spans="2:40" x14ac:dyDescent="0.25">
      <c r="B309" t="s">
        <v>780</v>
      </c>
      <c r="C309">
        <v>-3</v>
      </c>
      <c r="E309" t="s">
        <v>31</v>
      </c>
      <c r="F309">
        <v>-12</v>
      </c>
      <c r="H309" t="s">
        <v>394</v>
      </c>
      <c r="I309">
        <v>-40</v>
      </c>
      <c r="J309" t="s">
        <v>75</v>
      </c>
      <c r="K309">
        <v>-18</v>
      </c>
      <c r="L309" t="s">
        <v>1213</v>
      </c>
      <c r="M309">
        <v>-78</v>
      </c>
      <c r="O309" t="s">
        <v>1424</v>
      </c>
      <c r="P309">
        <v>-3.5</v>
      </c>
      <c r="Q309" t="s">
        <v>1446</v>
      </c>
      <c r="R309">
        <v>-5</v>
      </c>
      <c r="S309" t="s">
        <v>322</v>
      </c>
      <c r="T309">
        <v>-2</v>
      </c>
      <c r="U309" t="s">
        <v>1019</v>
      </c>
      <c r="V309">
        <v>-6</v>
      </c>
      <c r="W309" t="s">
        <v>754</v>
      </c>
      <c r="X309">
        <v>-20</v>
      </c>
      <c r="Y309" t="s">
        <v>446</v>
      </c>
      <c r="Z309">
        <v>-5</v>
      </c>
      <c r="AA309" t="s">
        <v>242</v>
      </c>
      <c r="AB309">
        <v>-3</v>
      </c>
      <c r="AC309" t="s">
        <v>284</v>
      </c>
      <c r="AD309">
        <v>-4</v>
      </c>
      <c r="AE309" t="s">
        <v>1247</v>
      </c>
      <c r="AF309">
        <v>-1</v>
      </c>
      <c r="AG309" t="s">
        <v>2158</v>
      </c>
      <c r="AH309">
        <v>-1</v>
      </c>
      <c r="AI309" t="s">
        <v>2213</v>
      </c>
      <c r="AJ309">
        <v>-8</v>
      </c>
      <c r="AK309" t="s">
        <v>465</v>
      </c>
      <c r="AL309">
        <v>-19</v>
      </c>
      <c r="AM309" t="s">
        <v>293</v>
      </c>
      <c r="AN309">
        <v>-3</v>
      </c>
    </row>
    <row r="310" spans="2:40" x14ac:dyDescent="0.25">
      <c r="B310" t="s">
        <v>506</v>
      </c>
      <c r="C310">
        <v>-2</v>
      </c>
      <c r="E310" t="s">
        <v>205</v>
      </c>
      <c r="F310">
        <v>-30</v>
      </c>
      <c r="H310" t="s">
        <v>883</v>
      </c>
      <c r="I310">
        <v>-8</v>
      </c>
      <c r="J310" t="s">
        <v>1041</v>
      </c>
      <c r="K310">
        <v>-1.5</v>
      </c>
      <c r="L310" t="s">
        <v>143</v>
      </c>
      <c r="M310">
        <v>-92</v>
      </c>
      <c r="O310" t="s">
        <v>1425</v>
      </c>
      <c r="P310">
        <v>-1</v>
      </c>
      <c r="Q310" t="s">
        <v>1018</v>
      </c>
      <c r="R310">
        <v>-1</v>
      </c>
      <c r="S310" t="s">
        <v>323</v>
      </c>
      <c r="T310">
        <v>-2</v>
      </c>
      <c r="U310" t="s">
        <v>1020</v>
      </c>
      <c r="V310">
        <v>-12</v>
      </c>
      <c r="W310" t="s">
        <v>439</v>
      </c>
      <c r="X310">
        <v>-67.5</v>
      </c>
      <c r="Y310" t="s">
        <v>684</v>
      </c>
      <c r="Z310">
        <v>-5.8985000000000003</v>
      </c>
      <c r="AA310" t="s">
        <v>645</v>
      </c>
      <c r="AB310">
        <v>-2</v>
      </c>
      <c r="AC310" t="s">
        <v>779</v>
      </c>
      <c r="AD310">
        <v>-2</v>
      </c>
      <c r="AE310" t="s">
        <v>1248</v>
      </c>
      <c r="AF310">
        <v>-1</v>
      </c>
      <c r="AG310" t="s">
        <v>107</v>
      </c>
      <c r="AH310">
        <v>-6</v>
      </c>
      <c r="AI310" t="s">
        <v>1675</v>
      </c>
      <c r="AJ310">
        <v>-1</v>
      </c>
      <c r="AK310" t="s">
        <v>275</v>
      </c>
      <c r="AL310">
        <v>-38</v>
      </c>
      <c r="AM310" t="s">
        <v>1210</v>
      </c>
      <c r="AN310">
        <v>-3</v>
      </c>
    </row>
    <row r="311" spans="2:40" x14ac:dyDescent="0.25">
      <c r="B311" t="s">
        <v>366</v>
      </c>
      <c r="C311">
        <v>-2</v>
      </c>
      <c r="E311" t="s">
        <v>249</v>
      </c>
      <c r="F311">
        <v>-288</v>
      </c>
      <c r="H311" t="s">
        <v>884</v>
      </c>
      <c r="I311">
        <v>-7</v>
      </c>
      <c r="J311" t="s">
        <v>58</v>
      </c>
      <c r="K311">
        <v>-78</v>
      </c>
      <c r="L311" t="s">
        <v>1214</v>
      </c>
      <c r="M311">
        <v>-130</v>
      </c>
      <c r="O311" t="s">
        <v>444</v>
      </c>
      <c r="P311">
        <v>-6</v>
      </c>
      <c r="Q311" t="s">
        <v>497</v>
      </c>
      <c r="R311">
        <v>-8</v>
      </c>
      <c r="S311" t="s">
        <v>450</v>
      </c>
      <c r="T311">
        <v>-223</v>
      </c>
      <c r="U311" t="s">
        <v>1021</v>
      </c>
      <c r="V311">
        <v>-6</v>
      </c>
      <c r="W311" t="s">
        <v>607</v>
      </c>
      <c r="X311">
        <v>-4</v>
      </c>
      <c r="Y311" t="s">
        <v>1916</v>
      </c>
      <c r="Z311">
        <v>-4</v>
      </c>
      <c r="AA311" t="s">
        <v>56</v>
      </c>
      <c r="AB311">
        <v>-9</v>
      </c>
      <c r="AC311" t="s">
        <v>285</v>
      </c>
      <c r="AD311">
        <v>-6</v>
      </c>
      <c r="AE311" t="s">
        <v>99</v>
      </c>
      <c r="AF311">
        <v>-25</v>
      </c>
      <c r="AG311" t="s">
        <v>275</v>
      </c>
      <c r="AH311">
        <v>-61</v>
      </c>
      <c r="AI311" t="s">
        <v>2155</v>
      </c>
      <c r="AJ311">
        <v>-1</v>
      </c>
      <c r="AK311" t="s">
        <v>2283</v>
      </c>
      <c r="AL311">
        <v>-1</v>
      </c>
      <c r="AM311" t="s">
        <v>541</v>
      </c>
      <c r="AN311">
        <v>-8</v>
      </c>
    </row>
    <row r="312" spans="2:40" x14ac:dyDescent="0.25">
      <c r="B312" t="s">
        <v>365</v>
      </c>
      <c r="C312">
        <v>-2</v>
      </c>
      <c r="E312" t="s">
        <v>250</v>
      </c>
      <c r="F312">
        <v>-583</v>
      </c>
      <c r="H312" t="s">
        <v>242</v>
      </c>
      <c r="I312">
        <v>-14.5</v>
      </c>
      <c r="J312" t="s">
        <v>1042</v>
      </c>
      <c r="K312">
        <v>-6</v>
      </c>
      <c r="L312" t="s">
        <v>1215</v>
      </c>
      <c r="M312">
        <v>-16</v>
      </c>
      <c r="O312" t="s">
        <v>633</v>
      </c>
      <c r="P312">
        <v>-3</v>
      </c>
      <c r="Q312" t="s">
        <v>1019</v>
      </c>
      <c r="R312">
        <v>-11</v>
      </c>
      <c r="S312" t="s">
        <v>1245</v>
      </c>
      <c r="T312">
        <v>-10</v>
      </c>
      <c r="U312" t="s">
        <v>1022</v>
      </c>
      <c r="V312">
        <v>-6</v>
      </c>
      <c r="W312" t="s">
        <v>549</v>
      </c>
      <c r="X312">
        <v>-47</v>
      </c>
      <c r="Y312" t="s">
        <v>712</v>
      </c>
      <c r="Z312">
        <v>-4.6043000000000003</v>
      </c>
      <c r="AA312" t="s">
        <v>75</v>
      </c>
      <c r="AB312">
        <v>-8</v>
      </c>
      <c r="AC312" t="s">
        <v>208</v>
      </c>
      <c r="AD312">
        <v>-4</v>
      </c>
      <c r="AE312" t="s">
        <v>400</v>
      </c>
      <c r="AF312">
        <v>-10</v>
      </c>
      <c r="AG312" t="s">
        <v>872</v>
      </c>
      <c r="AH312">
        <v>-4</v>
      </c>
      <c r="AI312" t="s">
        <v>360</v>
      </c>
      <c r="AJ312">
        <v>-140</v>
      </c>
      <c r="AK312" t="s">
        <v>59</v>
      </c>
      <c r="AL312">
        <v>-36</v>
      </c>
      <c r="AM312" t="s">
        <v>226</v>
      </c>
      <c r="AN312">
        <v>-14</v>
      </c>
    </row>
    <row r="313" spans="2:40" x14ac:dyDescent="0.25">
      <c r="B313" t="s">
        <v>393</v>
      </c>
      <c r="C313">
        <v>-196</v>
      </c>
      <c r="E313" t="s">
        <v>279</v>
      </c>
      <c r="F313">
        <v>-16</v>
      </c>
      <c r="H313" t="s">
        <v>885</v>
      </c>
      <c r="I313">
        <v>-9</v>
      </c>
      <c r="J313" t="s">
        <v>216</v>
      </c>
      <c r="K313">
        <v>-6</v>
      </c>
      <c r="L313" t="s">
        <v>1216</v>
      </c>
      <c r="M313">
        <v>-16</v>
      </c>
      <c r="O313" t="s">
        <v>453</v>
      </c>
      <c r="P313">
        <v>-36</v>
      </c>
      <c r="Q313" t="s">
        <v>1020</v>
      </c>
      <c r="R313">
        <v>-22</v>
      </c>
      <c r="S313" t="s">
        <v>318</v>
      </c>
      <c r="T313">
        <v>-3</v>
      </c>
      <c r="U313" t="s">
        <v>1023</v>
      </c>
      <c r="V313">
        <v>-6</v>
      </c>
      <c r="W313" t="s">
        <v>159</v>
      </c>
      <c r="X313">
        <v>-25</v>
      </c>
      <c r="Y313" t="s">
        <v>368</v>
      </c>
      <c r="Z313">
        <v>-1</v>
      </c>
      <c r="AA313" t="s">
        <v>57</v>
      </c>
      <c r="AB313">
        <v>-10</v>
      </c>
      <c r="AC313" t="s">
        <v>209</v>
      </c>
      <c r="AD313">
        <v>-11</v>
      </c>
      <c r="AE313" t="s">
        <v>1249</v>
      </c>
      <c r="AF313">
        <v>-9</v>
      </c>
      <c r="AG313" t="s">
        <v>302</v>
      </c>
      <c r="AH313">
        <v>-36</v>
      </c>
      <c r="AI313" t="s">
        <v>809</v>
      </c>
      <c r="AJ313">
        <v>-4</v>
      </c>
      <c r="AK313" t="s">
        <v>2284</v>
      </c>
      <c r="AL313">
        <v>-2</v>
      </c>
      <c r="AM313" t="s">
        <v>252</v>
      </c>
      <c r="AN313">
        <v>-30</v>
      </c>
    </row>
    <row r="314" spans="2:40" x14ac:dyDescent="0.25">
      <c r="B314" t="s">
        <v>100</v>
      </c>
      <c r="C314">
        <v>-59</v>
      </c>
      <c r="E314" t="s">
        <v>592</v>
      </c>
      <c r="F314">
        <v>-6050</v>
      </c>
      <c r="H314" t="s">
        <v>645</v>
      </c>
      <c r="I314">
        <v>-16</v>
      </c>
      <c r="J314" t="s">
        <v>673</v>
      </c>
      <c r="K314">
        <v>-30</v>
      </c>
      <c r="L314" t="s">
        <v>669</v>
      </c>
      <c r="M314">
        <v>-11</v>
      </c>
      <c r="O314" t="s">
        <v>1218</v>
      </c>
      <c r="P314">
        <v>-19</v>
      </c>
      <c r="Q314" t="s">
        <v>1021</v>
      </c>
      <c r="R314">
        <v>-11</v>
      </c>
      <c r="S314" t="s">
        <v>319</v>
      </c>
      <c r="T314">
        <v>-3</v>
      </c>
      <c r="U314" t="s">
        <v>365</v>
      </c>
      <c r="V314">
        <v>-40</v>
      </c>
      <c r="W314" t="s">
        <v>1257</v>
      </c>
      <c r="X314">
        <v>-2</v>
      </c>
      <c r="Y314" t="s">
        <v>1303</v>
      </c>
      <c r="Z314">
        <v>-8</v>
      </c>
      <c r="AA314" t="s">
        <v>58</v>
      </c>
      <c r="AB314">
        <v>-15</v>
      </c>
      <c r="AC314" t="s">
        <v>210</v>
      </c>
      <c r="AD314">
        <v>-26</v>
      </c>
      <c r="AE314" t="s">
        <v>2074</v>
      </c>
      <c r="AF314">
        <v>-3</v>
      </c>
      <c r="AG314" t="s">
        <v>138</v>
      </c>
      <c r="AH314">
        <v>-12</v>
      </c>
      <c r="AI314" t="s">
        <v>351</v>
      </c>
      <c r="AJ314">
        <v>-16</v>
      </c>
      <c r="AK314" t="s">
        <v>2285</v>
      </c>
      <c r="AL314">
        <v>-6</v>
      </c>
      <c r="AM314" t="s">
        <v>631</v>
      </c>
      <c r="AN314">
        <v>-32</v>
      </c>
    </row>
    <row r="315" spans="2:40" x14ac:dyDescent="0.25">
      <c r="B315" t="s">
        <v>98</v>
      </c>
      <c r="C315">
        <v>-100</v>
      </c>
      <c r="E315" t="s">
        <v>129</v>
      </c>
      <c r="F315">
        <v>-294</v>
      </c>
      <c r="H315" t="s">
        <v>56</v>
      </c>
      <c r="I315">
        <v>-9</v>
      </c>
      <c r="J315" t="s">
        <v>1043</v>
      </c>
      <c r="K315">
        <v>-3</v>
      </c>
      <c r="L315" t="s">
        <v>670</v>
      </c>
      <c r="M315">
        <v>-3</v>
      </c>
      <c r="O315" t="s">
        <v>1219</v>
      </c>
      <c r="P315">
        <v>-22</v>
      </c>
      <c r="Q315" t="s">
        <v>1022</v>
      </c>
      <c r="R315">
        <v>-11</v>
      </c>
      <c r="S315" t="s">
        <v>333</v>
      </c>
      <c r="T315">
        <v>-4</v>
      </c>
      <c r="U315" t="s">
        <v>393</v>
      </c>
      <c r="V315">
        <v>-68</v>
      </c>
      <c r="W315" t="s">
        <v>141</v>
      </c>
      <c r="X315">
        <v>-3</v>
      </c>
      <c r="Y315" t="s">
        <v>605</v>
      </c>
      <c r="Z315">
        <v>-1</v>
      </c>
      <c r="AA315" t="s">
        <v>1960</v>
      </c>
      <c r="AB315">
        <v>-20</v>
      </c>
      <c r="AC315" t="s">
        <v>211</v>
      </c>
      <c r="AD315">
        <v>-6</v>
      </c>
      <c r="AE315" t="s">
        <v>2075</v>
      </c>
      <c r="AF315">
        <v>-2</v>
      </c>
      <c r="AG315" t="s">
        <v>473</v>
      </c>
      <c r="AH315">
        <v>-22</v>
      </c>
      <c r="AI315" t="s">
        <v>230</v>
      </c>
      <c r="AJ315">
        <v>-14</v>
      </c>
      <c r="AK315" t="s">
        <v>872</v>
      </c>
      <c r="AL315">
        <v>-4</v>
      </c>
      <c r="AM315" t="s">
        <v>2277</v>
      </c>
      <c r="AN315">
        <v>-16</v>
      </c>
    </row>
    <row r="316" spans="2:40" x14ac:dyDescent="0.25">
      <c r="B316" t="s">
        <v>322</v>
      </c>
      <c r="C316">
        <v>-15</v>
      </c>
      <c r="E316" t="s">
        <v>390</v>
      </c>
      <c r="F316">
        <v>-141</v>
      </c>
      <c r="H316" t="s">
        <v>75</v>
      </c>
      <c r="I316">
        <v>-85</v>
      </c>
      <c r="J316" t="s">
        <v>582</v>
      </c>
      <c r="K316">
        <v>-3</v>
      </c>
      <c r="L316" t="s">
        <v>668</v>
      </c>
      <c r="M316">
        <v>-3</v>
      </c>
      <c r="O316" t="s">
        <v>1220</v>
      </c>
      <c r="P316">
        <v>-29</v>
      </c>
      <c r="Q316" t="s">
        <v>1023</v>
      </c>
      <c r="R316">
        <v>-11</v>
      </c>
      <c r="S316" t="s">
        <v>306</v>
      </c>
      <c r="T316">
        <v>-27</v>
      </c>
      <c r="U316" t="s">
        <v>100</v>
      </c>
      <c r="V316">
        <v>-26</v>
      </c>
      <c r="W316" t="s">
        <v>1829</v>
      </c>
      <c r="X316">
        <v>-2</v>
      </c>
      <c r="Y316" t="s">
        <v>372</v>
      </c>
      <c r="Z316">
        <v>-1</v>
      </c>
      <c r="AA316" t="s">
        <v>1961</v>
      </c>
      <c r="AB316">
        <v>-1</v>
      </c>
      <c r="AC316" t="s">
        <v>212</v>
      </c>
      <c r="AD316">
        <v>-19</v>
      </c>
      <c r="AE316" t="s">
        <v>2076</v>
      </c>
      <c r="AF316">
        <v>-2</v>
      </c>
      <c r="AG316" t="s">
        <v>134</v>
      </c>
      <c r="AH316">
        <v>-4</v>
      </c>
      <c r="AI316" t="s">
        <v>870</v>
      </c>
      <c r="AJ316">
        <v>-1</v>
      </c>
      <c r="AK316" t="s">
        <v>302</v>
      </c>
      <c r="AL316">
        <v>-36</v>
      </c>
      <c r="AM316" t="s">
        <v>1212</v>
      </c>
      <c r="AN316">
        <v>-7</v>
      </c>
    </row>
    <row r="317" spans="2:40" x14ac:dyDescent="0.25">
      <c r="B317" t="s">
        <v>323</v>
      </c>
      <c r="C317">
        <v>-7.15</v>
      </c>
      <c r="E317" t="s">
        <v>175</v>
      </c>
      <c r="F317">
        <v>-58</v>
      </c>
      <c r="H317" t="s">
        <v>57</v>
      </c>
      <c r="I317">
        <v>-30</v>
      </c>
      <c r="J317" t="s">
        <v>148</v>
      </c>
      <c r="K317">
        <v>-1</v>
      </c>
      <c r="L317" t="s">
        <v>444</v>
      </c>
      <c r="M317">
        <v>-6.4</v>
      </c>
      <c r="O317" t="s">
        <v>1426</v>
      </c>
      <c r="P317">
        <v>-9</v>
      </c>
      <c r="Q317" t="s">
        <v>365</v>
      </c>
      <c r="R317">
        <v>-20</v>
      </c>
      <c r="S317" t="s">
        <v>320</v>
      </c>
      <c r="T317">
        <v>-22</v>
      </c>
      <c r="U317" t="s">
        <v>98</v>
      </c>
      <c r="V317">
        <v>-7</v>
      </c>
      <c r="W317" t="s">
        <v>1830</v>
      </c>
      <c r="X317">
        <v>-6</v>
      </c>
      <c r="Y317" t="s">
        <v>150</v>
      </c>
      <c r="Z317">
        <v>-8</v>
      </c>
      <c r="AA317" t="s">
        <v>216</v>
      </c>
      <c r="AB317">
        <v>-2</v>
      </c>
      <c r="AC317" t="s">
        <v>213</v>
      </c>
      <c r="AD317">
        <v>-5</v>
      </c>
      <c r="AE317" t="s">
        <v>2077</v>
      </c>
      <c r="AF317">
        <v>-2</v>
      </c>
      <c r="AG317" t="s">
        <v>1445</v>
      </c>
      <c r="AH317">
        <v>-1</v>
      </c>
      <c r="AI317" t="s">
        <v>810</v>
      </c>
      <c r="AJ317">
        <v>-3</v>
      </c>
      <c r="AK317" t="s">
        <v>327</v>
      </c>
      <c r="AL317">
        <v>-5</v>
      </c>
      <c r="AM317" t="s">
        <v>143</v>
      </c>
      <c r="AN317">
        <v>-8</v>
      </c>
    </row>
    <row r="318" spans="2:40" x14ac:dyDescent="0.25">
      <c r="B318" t="s">
        <v>450</v>
      </c>
      <c r="C318">
        <v>-201</v>
      </c>
      <c r="E318" t="s">
        <v>579</v>
      </c>
      <c r="F318">
        <v>-2</v>
      </c>
      <c r="H318" t="s">
        <v>58</v>
      </c>
      <c r="I318">
        <v>-100</v>
      </c>
      <c r="J318" t="s">
        <v>262</v>
      </c>
      <c r="K318">
        <v>-15</v>
      </c>
      <c r="L318" t="s">
        <v>633</v>
      </c>
      <c r="M318">
        <v>-2</v>
      </c>
      <c r="O318" t="s">
        <v>1221</v>
      </c>
      <c r="P318">
        <v>-20</v>
      </c>
      <c r="Q318" t="s">
        <v>393</v>
      </c>
      <c r="R318">
        <v>-80</v>
      </c>
      <c r="S318" t="s">
        <v>317</v>
      </c>
      <c r="T318">
        <v>-9</v>
      </c>
      <c r="U318" t="s">
        <v>322</v>
      </c>
      <c r="V318">
        <v>-7</v>
      </c>
      <c r="W318" t="s">
        <v>873</v>
      </c>
      <c r="X318">
        <v>-5</v>
      </c>
      <c r="Y318" t="s">
        <v>92</v>
      </c>
      <c r="Z318">
        <v>-13</v>
      </c>
      <c r="AA318" t="s">
        <v>1962</v>
      </c>
      <c r="AB318">
        <v>-1</v>
      </c>
      <c r="AC318" t="s">
        <v>214</v>
      </c>
      <c r="AD318">
        <v>-2</v>
      </c>
      <c r="AE318" t="s">
        <v>2078</v>
      </c>
      <c r="AF318">
        <v>-5</v>
      </c>
      <c r="AG318" t="s">
        <v>745</v>
      </c>
      <c r="AH318">
        <v>-35</v>
      </c>
      <c r="AI318" t="s">
        <v>217</v>
      </c>
      <c r="AJ318">
        <v>-13</v>
      </c>
      <c r="AK318" t="s">
        <v>2286</v>
      </c>
      <c r="AL318">
        <v>-1</v>
      </c>
      <c r="AM318" t="s">
        <v>669</v>
      </c>
      <c r="AN318">
        <v>-6</v>
      </c>
    </row>
    <row r="319" spans="2:40" x14ac:dyDescent="0.25">
      <c r="B319" t="s">
        <v>318</v>
      </c>
      <c r="C319">
        <v>-8</v>
      </c>
      <c r="E319" t="s">
        <v>177</v>
      </c>
      <c r="F319">
        <v>-2</v>
      </c>
      <c r="H319" t="s">
        <v>216</v>
      </c>
      <c r="I319">
        <v>-24</v>
      </c>
      <c r="J319" t="s">
        <v>263</v>
      </c>
      <c r="K319">
        <v>-6</v>
      </c>
      <c r="L319" t="s">
        <v>1008</v>
      </c>
      <c r="M319">
        <v>-4</v>
      </c>
      <c r="O319" t="s">
        <v>1222</v>
      </c>
      <c r="P319">
        <v>-10</v>
      </c>
      <c r="Q319" t="s">
        <v>100</v>
      </c>
      <c r="R319">
        <v>-96</v>
      </c>
      <c r="S319" t="s">
        <v>307</v>
      </c>
      <c r="T319">
        <v>-90</v>
      </c>
      <c r="U319" t="s">
        <v>323</v>
      </c>
      <c r="V319">
        <v>-4</v>
      </c>
      <c r="W319" t="s">
        <v>1831</v>
      </c>
      <c r="X319">
        <v>-13</v>
      </c>
      <c r="Y319" t="s">
        <v>174</v>
      </c>
      <c r="Z319">
        <v>-8</v>
      </c>
      <c r="AA319" t="s">
        <v>673</v>
      </c>
      <c r="AB319">
        <v>-8</v>
      </c>
      <c r="AC319" t="s">
        <v>280</v>
      </c>
      <c r="AD319">
        <v>-28</v>
      </c>
      <c r="AE319" t="s">
        <v>324</v>
      </c>
      <c r="AF319">
        <v>-92</v>
      </c>
      <c r="AG319" t="s">
        <v>780</v>
      </c>
      <c r="AH319">
        <v>-6</v>
      </c>
      <c r="AI319" t="s">
        <v>17</v>
      </c>
      <c r="AJ319">
        <v>-7</v>
      </c>
      <c r="AK319" t="s">
        <v>138</v>
      </c>
      <c r="AL319">
        <v>-7</v>
      </c>
      <c r="AM319" t="s">
        <v>670</v>
      </c>
      <c r="AN319">
        <v>-2</v>
      </c>
    </row>
    <row r="320" spans="2:40" x14ac:dyDescent="0.25">
      <c r="B320" t="s">
        <v>319</v>
      </c>
      <c r="C320">
        <v>-8</v>
      </c>
      <c r="E320" t="s">
        <v>821</v>
      </c>
      <c r="F320">
        <v>-1</v>
      </c>
      <c r="H320" t="s">
        <v>673</v>
      </c>
      <c r="I320">
        <v>-49</v>
      </c>
      <c r="J320" t="s">
        <v>261</v>
      </c>
      <c r="K320">
        <v>-12</v>
      </c>
      <c r="L320" t="s">
        <v>736</v>
      </c>
      <c r="M320">
        <v>-2</v>
      </c>
      <c r="O320" t="s">
        <v>1223</v>
      </c>
      <c r="P320">
        <v>-1</v>
      </c>
      <c r="Q320" t="s">
        <v>322</v>
      </c>
      <c r="R320">
        <v>-10</v>
      </c>
      <c r="S320" t="s">
        <v>115</v>
      </c>
      <c r="T320">
        <v>-87</v>
      </c>
      <c r="U320" t="s">
        <v>450</v>
      </c>
      <c r="V320">
        <v>-235</v>
      </c>
      <c r="W320" t="s">
        <v>874</v>
      </c>
      <c r="X320">
        <v>-10</v>
      </c>
      <c r="Y320" t="s">
        <v>149</v>
      </c>
      <c r="Z320">
        <v>-2</v>
      </c>
      <c r="AA320" t="s">
        <v>68</v>
      </c>
      <c r="AB320">
        <v>-1</v>
      </c>
      <c r="AC320" t="s">
        <v>878</v>
      </c>
      <c r="AD320">
        <v>-4</v>
      </c>
      <c r="AE320" t="s">
        <v>301</v>
      </c>
      <c r="AF320">
        <v>-14</v>
      </c>
      <c r="AG320" t="s">
        <v>497</v>
      </c>
      <c r="AH320">
        <v>-2</v>
      </c>
      <c r="AI320" t="s">
        <v>52</v>
      </c>
      <c r="AJ320">
        <v>-1</v>
      </c>
      <c r="AK320" t="s">
        <v>473</v>
      </c>
      <c r="AL320">
        <v>-12</v>
      </c>
      <c r="AM320" t="s">
        <v>1574</v>
      </c>
      <c r="AN320">
        <v>-1</v>
      </c>
    </row>
    <row r="321" spans="2:40" x14ac:dyDescent="0.25">
      <c r="B321" t="s">
        <v>548</v>
      </c>
      <c r="C321">
        <v>-6</v>
      </c>
      <c r="E321" t="s">
        <v>822</v>
      </c>
      <c r="F321">
        <v>-1</v>
      </c>
      <c r="H321" t="s">
        <v>68</v>
      </c>
      <c r="I321">
        <v>-1</v>
      </c>
      <c r="J321" t="s">
        <v>1044</v>
      </c>
      <c r="K321">
        <v>-24</v>
      </c>
      <c r="L321" t="s">
        <v>364</v>
      </c>
      <c r="M321">
        <v>-4</v>
      </c>
      <c r="O321" t="s">
        <v>39</v>
      </c>
      <c r="P321">
        <v>-1</v>
      </c>
      <c r="Q321" t="s">
        <v>323</v>
      </c>
      <c r="R321">
        <v>-16</v>
      </c>
      <c r="S321" t="s">
        <v>99</v>
      </c>
      <c r="T321">
        <v>-17</v>
      </c>
      <c r="U321" t="s">
        <v>318</v>
      </c>
      <c r="V321">
        <v>-2</v>
      </c>
      <c r="W321" t="s">
        <v>1832</v>
      </c>
      <c r="X321">
        <v>-6</v>
      </c>
      <c r="Y321" t="s">
        <v>1310</v>
      </c>
      <c r="Z321">
        <v>-20</v>
      </c>
      <c r="AA321" t="s">
        <v>201</v>
      </c>
      <c r="AB321">
        <v>-1</v>
      </c>
      <c r="AC321" t="s">
        <v>32</v>
      </c>
      <c r="AD321">
        <v>-17</v>
      </c>
      <c r="AE321" t="s">
        <v>345</v>
      </c>
      <c r="AF321">
        <v>-92.084000000000032</v>
      </c>
      <c r="AG321" t="s">
        <v>393</v>
      </c>
      <c r="AH321">
        <v>-114</v>
      </c>
      <c r="AI321" t="s">
        <v>2214</v>
      </c>
      <c r="AJ321">
        <v>-2</v>
      </c>
      <c r="AK321" t="s">
        <v>2287</v>
      </c>
      <c r="AL321">
        <v>-8</v>
      </c>
      <c r="AM321" t="s">
        <v>633</v>
      </c>
      <c r="AN321">
        <v>-3</v>
      </c>
    </row>
    <row r="322" spans="2:40" x14ac:dyDescent="0.25">
      <c r="B322" t="s">
        <v>333</v>
      </c>
      <c r="C322">
        <v>-10</v>
      </c>
      <c r="E322" t="s">
        <v>654</v>
      </c>
      <c r="F322">
        <v>-1</v>
      </c>
      <c r="H322" t="s">
        <v>201</v>
      </c>
      <c r="I322">
        <v>-13</v>
      </c>
      <c r="J322" t="s">
        <v>151</v>
      </c>
      <c r="K322">
        <v>-25</v>
      </c>
      <c r="L322" t="s">
        <v>453</v>
      </c>
      <c r="M322">
        <v>-92</v>
      </c>
      <c r="O322" t="s">
        <v>1224</v>
      </c>
      <c r="P322">
        <v>-180</v>
      </c>
      <c r="Q322" t="s">
        <v>450</v>
      </c>
      <c r="R322">
        <v>-173</v>
      </c>
      <c r="S322" t="s">
        <v>400</v>
      </c>
      <c r="T322">
        <v>-14</v>
      </c>
      <c r="U322" t="s">
        <v>319</v>
      </c>
      <c r="V322">
        <v>-2</v>
      </c>
      <c r="W322" t="s">
        <v>1833</v>
      </c>
      <c r="X322">
        <v>-61.020000000000032</v>
      </c>
      <c r="Y322" t="s">
        <v>231</v>
      </c>
      <c r="Z322">
        <v>-4</v>
      </c>
      <c r="AA322" t="s">
        <v>148</v>
      </c>
      <c r="AB322">
        <v>-23</v>
      </c>
      <c r="AC322" t="s">
        <v>51</v>
      </c>
      <c r="AD322">
        <v>-13</v>
      </c>
      <c r="AE322" t="s">
        <v>603</v>
      </c>
      <c r="AF322">
        <v>-1.44</v>
      </c>
      <c r="AG322" t="s">
        <v>815</v>
      </c>
      <c r="AH322">
        <v>-2</v>
      </c>
      <c r="AI322" t="s">
        <v>1235</v>
      </c>
      <c r="AJ322">
        <v>-2</v>
      </c>
      <c r="AK322" t="s">
        <v>2288</v>
      </c>
      <c r="AL322">
        <v>-1</v>
      </c>
      <c r="AM322" t="s">
        <v>736</v>
      </c>
      <c r="AN322">
        <v>-2</v>
      </c>
    </row>
    <row r="323" spans="2:40" x14ac:dyDescent="0.25">
      <c r="B323" t="s">
        <v>306</v>
      </c>
      <c r="C323">
        <v>-72</v>
      </c>
      <c r="E323" t="s">
        <v>136</v>
      </c>
      <c r="F323">
        <v>-1</v>
      </c>
      <c r="H323" t="s">
        <v>148</v>
      </c>
      <c r="I323">
        <v>-343</v>
      </c>
      <c r="J323" t="s">
        <v>258</v>
      </c>
      <c r="K323">
        <v>-3</v>
      </c>
      <c r="L323" t="s">
        <v>1217</v>
      </c>
      <c r="M323">
        <v>-39</v>
      </c>
      <c r="O323" t="s">
        <v>1427</v>
      </c>
      <c r="P323">
        <v>-20</v>
      </c>
      <c r="Q323" t="s">
        <v>318</v>
      </c>
      <c r="R323">
        <v>-11</v>
      </c>
      <c r="S323" t="s">
        <v>324</v>
      </c>
      <c r="T323">
        <v>-18</v>
      </c>
      <c r="U323" t="s">
        <v>333</v>
      </c>
      <c r="V323">
        <v>-4</v>
      </c>
      <c r="W323" t="s">
        <v>1586</v>
      </c>
      <c r="X323">
        <v>-3</v>
      </c>
      <c r="Y323" t="s">
        <v>24</v>
      </c>
      <c r="Z323">
        <v>-5</v>
      </c>
      <c r="AA323" t="s">
        <v>262</v>
      </c>
      <c r="AB323">
        <v>-5</v>
      </c>
      <c r="AC323" t="s">
        <v>33</v>
      </c>
      <c r="AD323">
        <v>-19</v>
      </c>
      <c r="AE323" t="s">
        <v>1452</v>
      </c>
      <c r="AF323">
        <v>-0.04</v>
      </c>
      <c r="AG323" t="s">
        <v>100</v>
      </c>
      <c r="AH323">
        <v>-30</v>
      </c>
      <c r="AI323" t="s">
        <v>1236</v>
      </c>
      <c r="AJ323">
        <v>-1</v>
      </c>
      <c r="AK323" t="s">
        <v>745</v>
      </c>
      <c r="AL323">
        <v>-17</v>
      </c>
      <c r="AM323" t="s">
        <v>364</v>
      </c>
      <c r="AN323">
        <v>-2</v>
      </c>
    </row>
    <row r="324" spans="2:40" x14ac:dyDescent="0.25">
      <c r="B324" t="s">
        <v>320</v>
      </c>
      <c r="C324">
        <v>-26</v>
      </c>
      <c r="E324" t="s">
        <v>152</v>
      </c>
      <c r="F324">
        <v>-16</v>
      </c>
      <c r="H324" t="s">
        <v>262</v>
      </c>
      <c r="I324">
        <v>-60</v>
      </c>
      <c r="J324" t="s">
        <v>1045</v>
      </c>
      <c r="K324">
        <v>-3</v>
      </c>
      <c r="L324" t="s">
        <v>1218</v>
      </c>
      <c r="M324">
        <v>-13</v>
      </c>
      <c r="O324" t="s">
        <v>1428</v>
      </c>
      <c r="P324">
        <v>-13</v>
      </c>
      <c r="Q324" t="s">
        <v>319</v>
      </c>
      <c r="R324">
        <v>-11</v>
      </c>
      <c r="S324" t="s">
        <v>301</v>
      </c>
      <c r="T324">
        <v>-9</v>
      </c>
      <c r="U324" t="s">
        <v>306</v>
      </c>
      <c r="V324">
        <v>-31</v>
      </c>
      <c r="W324" t="s">
        <v>1834</v>
      </c>
      <c r="X324">
        <v>-10</v>
      </c>
      <c r="Y324" t="s">
        <v>1917</v>
      </c>
      <c r="Z324">
        <v>-1</v>
      </c>
      <c r="AA324" t="s">
        <v>263</v>
      </c>
      <c r="AB324">
        <v>-3</v>
      </c>
      <c r="AC324" t="s">
        <v>34</v>
      </c>
      <c r="AD324">
        <v>-7</v>
      </c>
      <c r="AE324" t="s">
        <v>754</v>
      </c>
      <c r="AF324">
        <v>-42</v>
      </c>
      <c r="AG324" t="s">
        <v>98</v>
      </c>
      <c r="AH324">
        <v>-45</v>
      </c>
      <c r="AI324" t="s">
        <v>813</v>
      </c>
      <c r="AJ324">
        <v>-8</v>
      </c>
      <c r="AK324" t="s">
        <v>780</v>
      </c>
      <c r="AL324">
        <v>-4</v>
      </c>
      <c r="AM324" t="s">
        <v>453</v>
      </c>
      <c r="AN324">
        <v>-126</v>
      </c>
    </row>
    <row r="325" spans="2:40" x14ac:dyDescent="0.25">
      <c r="B325" t="s">
        <v>317</v>
      </c>
      <c r="C325">
        <v>-22</v>
      </c>
      <c r="E325" t="s">
        <v>15</v>
      </c>
      <c r="F325">
        <v>-592</v>
      </c>
      <c r="H325" t="s">
        <v>263</v>
      </c>
      <c r="I325">
        <v>-26</v>
      </c>
      <c r="J325" t="s">
        <v>1046</v>
      </c>
      <c r="K325">
        <v>-6</v>
      </c>
      <c r="L325" t="s">
        <v>1219</v>
      </c>
      <c r="M325">
        <v>-8</v>
      </c>
      <c r="O325" t="s">
        <v>1429</v>
      </c>
      <c r="P325">
        <v>-20</v>
      </c>
      <c r="Q325" t="s">
        <v>333</v>
      </c>
      <c r="R325">
        <v>-5</v>
      </c>
      <c r="S325" t="s">
        <v>345</v>
      </c>
      <c r="T325">
        <v>-128.70000000000005</v>
      </c>
      <c r="U325" t="s">
        <v>320</v>
      </c>
      <c r="V325">
        <v>-14</v>
      </c>
      <c r="W325" t="s">
        <v>1835</v>
      </c>
      <c r="X325">
        <v>-3</v>
      </c>
      <c r="Y325" t="s">
        <v>1918</v>
      </c>
      <c r="Z325">
        <v>-1</v>
      </c>
      <c r="AA325" t="s">
        <v>261</v>
      </c>
      <c r="AB325">
        <v>-2</v>
      </c>
      <c r="AC325" t="s">
        <v>35</v>
      </c>
      <c r="AD325">
        <v>-6</v>
      </c>
      <c r="AE325" t="s">
        <v>549</v>
      </c>
      <c r="AF325">
        <v>-19</v>
      </c>
      <c r="AG325" t="s">
        <v>322</v>
      </c>
      <c r="AH325">
        <v>-14</v>
      </c>
      <c r="AI325" t="s">
        <v>581</v>
      </c>
      <c r="AJ325">
        <v>-7</v>
      </c>
      <c r="AK325" t="s">
        <v>497</v>
      </c>
      <c r="AL325">
        <v>-2</v>
      </c>
      <c r="AM325" t="s">
        <v>632</v>
      </c>
      <c r="AN325">
        <v>-8</v>
      </c>
    </row>
    <row r="326" spans="2:40" x14ac:dyDescent="0.25">
      <c r="B326" t="s">
        <v>307</v>
      </c>
      <c r="C326">
        <v>-170</v>
      </c>
      <c r="E326" t="s">
        <v>394</v>
      </c>
      <c r="F326">
        <v>-46</v>
      </c>
      <c r="H326" t="s">
        <v>261</v>
      </c>
      <c r="I326">
        <v>-24</v>
      </c>
      <c r="J326" t="s">
        <v>139</v>
      </c>
      <c r="K326">
        <v>-3</v>
      </c>
      <c r="L326" t="s">
        <v>1220</v>
      </c>
      <c r="M326">
        <v>-21</v>
      </c>
      <c r="O326" t="s">
        <v>1430</v>
      </c>
      <c r="P326">
        <v>-3</v>
      </c>
      <c r="Q326" t="s">
        <v>1026</v>
      </c>
      <c r="R326">
        <v>-12</v>
      </c>
      <c r="S326" t="s">
        <v>603</v>
      </c>
      <c r="T326">
        <v>-1.6</v>
      </c>
      <c r="U326" t="s">
        <v>1739</v>
      </c>
      <c r="V326">
        <v>-10</v>
      </c>
      <c r="W326" t="s">
        <v>708</v>
      </c>
      <c r="X326">
        <v>-2</v>
      </c>
      <c r="Y326" t="s">
        <v>1919</v>
      </c>
      <c r="Z326">
        <v>-4</v>
      </c>
      <c r="AA326" t="s">
        <v>1044</v>
      </c>
      <c r="AB326">
        <v>-4</v>
      </c>
      <c r="AC326" t="s">
        <v>36</v>
      </c>
      <c r="AD326">
        <v>-5</v>
      </c>
      <c r="AE326" t="s">
        <v>159</v>
      </c>
      <c r="AF326">
        <v>-36</v>
      </c>
      <c r="AG326" t="s">
        <v>323</v>
      </c>
      <c r="AH326">
        <v>-14</v>
      </c>
      <c r="AI326" t="s">
        <v>229</v>
      </c>
      <c r="AJ326">
        <v>-69.5</v>
      </c>
      <c r="AK326" t="s">
        <v>366</v>
      </c>
      <c r="AL326">
        <v>-8</v>
      </c>
      <c r="AM326" t="s">
        <v>2399</v>
      </c>
      <c r="AN326">
        <v>-4</v>
      </c>
    </row>
    <row r="327" spans="2:40" x14ac:dyDescent="0.25">
      <c r="B327" t="s">
        <v>115</v>
      </c>
      <c r="C327">
        <v>-162</v>
      </c>
      <c r="E327" t="s">
        <v>823</v>
      </c>
      <c r="F327">
        <v>-2</v>
      </c>
      <c r="H327" t="s">
        <v>151</v>
      </c>
      <c r="I327">
        <v>-24</v>
      </c>
      <c r="J327" t="s">
        <v>1047</v>
      </c>
      <c r="K327">
        <v>-17</v>
      </c>
      <c r="L327" t="s">
        <v>1221</v>
      </c>
      <c r="M327">
        <v>-8</v>
      </c>
      <c r="O327" t="s">
        <v>259</v>
      </c>
      <c r="P327">
        <v>-7</v>
      </c>
      <c r="Q327" t="s">
        <v>306</v>
      </c>
      <c r="R327">
        <v>-66</v>
      </c>
      <c r="S327" t="s">
        <v>440</v>
      </c>
      <c r="T327">
        <v>-25</v>
      </c>
      <c r="U327" t="s">
        <v>317</v>
      </c>
      <c r="V327">
        <v>-8</v>
      </c>
      <c r="W327" t="s">
        <v>286</v>
      </c>
      <c r="X327">
        <v>-28</v>
      </c>
      <c r="Y327" t="s">
        <v>542</v>
      </c>
      <c r="Z327">
        <v>-5</v>
      </c>
      <c r="AA327" t="s">
        <v>151</v>
      </c>
      <c r="AB327">
        <v>-2</v>
      </c>
      <c r="AC327" t="s">
        <v>66</v>
      </c>
      <c r="AD327">
        <v>-6</v>
      </c>
      <c r="AE327" t="s">
        <v>1257</v>
      </c>
      <c r="AF327">
        <v>-12</v>
      </c>
      <c r="AG327" t="s">
        <v>450</v>
      </c>
      <c r="AH327">
        <v>-387</v>
      </c>
      <c r="AI327" t="s">
        <v>278</v>
      </c>
      <c r="AJ327">
        <v>-272</v>
      </c>
      <c r="AK327" t="s">
        <v>365</v>
      </c>
      <c r="AL327">
        <v>-2</v>
      </c>
      <c r="AM327" t="s">
        <v>39</v>
      </c>
      <c r="AN327">
        <v>-2</v>
      </c>
    </row>
    <row r="328" spans="2:40" x14ac:dyDescent="0.25">
      <c r="B328" t="s">
        <v>99</v>
      </c>
      <c r="C328">
        <v>-20</v>
      </c>
      <c r="E328" t="s">
        <v>242</v>
      </c>
      <c r="F328">
        <v>-11</v>
      </c>
      <c r="H328" t="s">
        <v>258</v>
      </c>
      <c r="I328">
        <v>-12</v>
      </c>
      <c r="J328" t="s">
        <v>614</v>
      </c>
      <c r="K328">
        <v>-1</v>
      </c>
      <c r="L328" t="s">
        <v>1222</v>
      </c>
      <c r="M328">
        <v>-3</v>
      </c>
      <c r="O328" t="s">
        <v>613</v>
      </c>
      <c r="P328">
        <v>-34</v>
      </c>
      <c r="Q328" t="s">
        <v>320</v>
      </c>
      <c r="R328">
        <v>-14</v>
      </c>
      <c r="S328" t="s">
        <v>439</v>
      </c>
      <c r="T328">
        <v>-62.5</v>
      </c>
      <c r="U328" t="s">
        <v>307</v>
      </c>
      <c r="V328">
        <v>-96</v>
      </c>
      <c r="W328" t="s">
        <v>665</v>
      </c>
      <c r="X328">
        <v>-30</v>
      </c>
      <c r="Y328" t="s">
        <v>1920</v>
      </c>
      <c r="Z328">
        <v>-2</v>
      </c>
      <c r="AA328" t="s">
        <v>258</v>
      </c>
      <c r="AB328">
        <v>-1</v>
      </c>
      <c r="AC328" t="s">
        <v>65</v>
      </c>
      <c r="AD328">
        <v>-10</v>
      </c>
      <c r="AE328" t="s">
        <v>141</v>
      </c>
      <c r="AF328">
        <v>-6</v>
      </c>
      <c r="AG328" t="s">
        <v>1245</v>
      </c>
      <c r="AH328">
        <v>-10</v>
      </c>
      <c r="AI328" t="s">
        <v>760</v>
      </c>
      <c r="AJ328">
        <v>-1</v>
      </c>
      <c r="AK328" t="s">
        <v>393</v>
      </c>
      <c r="AL328">
        <v>-43</v>
      </c>
      <c r="AM328" t="s">
        <v>2278</v>
      </c>
      <c r="AN328">
        <v>-6</v>
      </c>
    </row>
    <row r="329" spans="2:40" x14ac:dyDescent="0.25">
      <c r="B329" t="s">
        <v>400</v>
      </c>
      <c r="C329">
        <v>-22</v>
      </c>
      <c r="E329" t="s">
        <v>645</v>
      </c>
      <c r="F329">
        <v>-33</v>
      </c>
      <c r="H329" t="s">
        <v>246</v>
      </c>
      <c r="I329">
        <v>-144</v>
      </c>
      <c r="J329" t="s">
        <v>1048</v>
      </c>
      <c r="K329">
        <v>-1</v>
      </c>
      <c r="L329" t="s">
        <v>1223</v>
      </c>
      <c r="M329">
        <v>-2</v>
      </c>
      <c r="O329" t="s">
        <v>598</v>
      </c>
      <c r="P329">
        <v>-2</v>
      </c>
      <c r="Q329" t="s">
        <v>317</v>
      </c>
      <c r="R329">
        <v>-12</v>
      </c>
      <c r="S329" t="s">
        <v>752</v>
      </c>
      <c r="T329">
        <v>-25</v>
      </c>
      <c r="U329" t="s">
        <v>115</v>
      </c>
      <c r="V329">
        <v>-94</v>
      </c>
      <c r="W329" t="s">
        <v>332</v>
      </c>
      <c r="X329">
        <v>-143</v>
      </c>
      <c r="Y329" t="s">
        <v>144</v>
      </c>
      <c r="Z329">
        <v>-11</v>
      </c>
      <c r="AA329" t="s">
        <v>139</v>
      </c>
      <c r="AB329">
        <v>-2</v>
      </c>
      <c r="AC329" t="s">
        <v>26</v>
      </c>
      <c r="AD329">
        <v>-4</v>
      </c>
      <c r="AE329" t="s">
        <v>2079</v>
      </c>
      <c r="AF329">
        <v>-213</v>
      </c>
      <c r="AG329" t="s">
        <v>318</v>
      </c>
      <c r="AH329">
        <v>-9</v>
      </c>
      <c r="AI329" t="s">
        <v>244</v>
      </c>
      <c r="AJ329">
        <v>-735</v>
      </c>
      <c r="AK329" t="s">
        <v>815</v>
      </c>
      <c r="AL329">
        <v>-1</v>
      </c>
      <c r="AM329" t="s">
        <v>730</v>
      </c>
      <c r="AN329">
        <v>-21</v>
      </c>
    </row>
    <row r="330" spans="2:40" x14ac:dyDescent="0.25">
      <c r="B330" t="s">
        <v>184</v>
      </c>
      <c r="C330">
        <v>-12</v>
      </c>
      <c r="E330" t="s">
        <v>56</v>
      </c>
      <c r="F330">
        <v>-150</v>
      </c>
      <c r="H330" t="s">
        <v>139</v>
      </c>
      <c r="I330">
        <v>-1</v>
      </c>
      <c r="J330" t="s">
        <v>94</v>
      </c>
      <c r="K330">
        <v>-3</v>
      </c>
      <c r="L330" t="s">
        <v>39</v>
      </c>
      <c r="M330">
        <v>-6</v>
      </c>
      <c r="O330" t="s">
        <v>142</v>
      </c>
      <c r="P330">
        <v>-3</v>
      </c>
      <c r="Q330" t="s">
        <v>307</v>
      </c>
      <c r="R330">
        <v>-6</v>
      </c>
      <c r="S330" t="s">
        <v>426</v>
      </c>
      <c r="T330">
        <v>-25</v>
      </c>
      <c r="U330" t="s">
        <v>99</v>
      </c>
      <c r="V330">
        <v>-24</v>
      </c>
      <c r="W330" t="s">
        <v>269</v>
      </c>
      <c r="X330">
        <v>-28</v>
      </c>
      <c r="Y330" t="s">
        <v>1921</v>
      </c>
      <c r="Z330">
        <v>-2</v>
      </c>
      <c r="AA330" t="s">
        <v>614</v>
      </c>
      <c r="AB330">
        <v>-1</v>
      </c>
      <c r="AC330" t="s">
        <v>225</v>
      </c>
      <c r="AD330">
        <v>-1</v>
      </c>
      <c r="AE330" t="s">
        <v>2080</v>
      </c>
      <c r="AF330">
        <v>-22</v>
      </c>
      <c r="AG330" t="s">
        <v>319</v>
      </c>
      <c r="AH330">
        <v>-9</v>
      </c>
      <c r="AI330" t="s">
        <v>243</v>
      </c>
      <c r="AJ330">
        <v>-382</v>
      </c>
      <c r="AK330" t="s">
        <v>100</v>
      </c>
      <c r="AL330">
        <v>-18</v>
      </c>
      <c r="AM330" t="s">
        <v>2064</v>
      </c>
      <c r="AN330">
        <v>-2</v>
      </c>
    </row>
    <row r="331" spans="2:40" x14ac:dyDescent="0.25">
      <c r="B331" t="s">
        <v>324</v>
      </c>
      <c r="C331">
        <v>-54</v>
      </c>
      <c r="E331" t="s">
        <v>75</v>
      </c>
      <c r="F331">
        <v>-78</v>
      </c>
      <c r="H331" t="s">
        <v>94</v>
      </c>
      <c r="I331">
        <v>-8</v>
      </c>
      <c r="J331" t="s">
        <v>325</v>
      </c>
      <c r="K331">
        <v>-12</v>
      </c>
      <c r="L331" t="s">
        <v>1224</v>
      </c>
      <c r="M331">
        <v>-84</v>
      </c>
      <c r="O331" t="s">
        <v>626</v>
      </c>
      <c r="P331">
        <v>-200</v>
      </c>
      <c r="Q331" t="s">
        <v>99</v>
      </c>
      <c r="R331">
        <v>-34</v>
      </c>
      <c r="S331" t="s">
        <v>549</v>
      </c>
      <c r="T331">
        <v>-19</v>
      </c>
      <c r="U331" t="s">
        <v>400</v>
      </c>
      <c r="V331">
        <v>-11</v>
      </c>
      <c r="W331" t="s">
        <v>820</v>
      </c>
      <c r="X331">
        <v>-80</v>
      </c>
      <c r="Y331" t="s">
        <v>227</v>
      </c>
      <c r="Z331">
        <v>-16</v>
      </c>
      <c r="AA331" t="s">
        <v>1963</v>
      </c>
      <c r="AB331">
        <v>-1</v>
      </c>
      <c r="AC331" t="s">
        <v>1837</v>
      </c>
      <c r="AD331">
        <v>-1</v>
      </c>
      <c r="AE331" t="s">
        <v>2081</v>
      </c>
      <c r="AF331">
        <v>-34</v>
      </c>
      <c r="AG331" t="s">
        <v>333</v>
      </c>
      <c r="AH331">
        <v>-10</v>
      </c>
      <c r="AI331" t="s">
        <v>1439</v>
      </c>
      <c r="AJ331">
        <v>-1</v>
      </c>
      <c r="AK331" t="s">
        <v>98</v>
      </c>
      <c r="AL331">
        <v>-45</v>
      </c>
      <c r="AM331" t="s">
        <v>2400</v>
      </c>
      <c r="AN331">
        <v>-9</v>
      </c>
    </row>
    <row r="332" spans="2:40" x14ac:dyDescent="0.25">
      <c r="B332" t="s">
        <v>301</v>
      </c>
      <c r="C332">
        <v>-19</v>
      </c>
      <c r="E332" t="s">
        <v>57</v>
      </c>
      <c r="F332">
        <v>-110</v>
      </c>
      <c r="H332" t="s">
        <v>325</v>
      </c>
      <c r="I332">
        <v>-23</v>
      </c>
      <c r="J332" t="s">
        <v>1049</v>
      </c>
      <c r="K332">
        <v>-6</v>
      </c>
      <c r="L332" t="s">
        <v>1225</v>
      </c>
      <c r="M332">
        <v>-12</v>
      </c>
      <c r="O332" t="s">
        <v>361</v>
      </c>
      <c r="P332">
        <v>-400</v>
      </c>
      <c r="Q332" t="s">
        <v>400</v>
      </c>
      <c r="R332">
        <v>-5</v>
      </c>
      <c r="S332" t="s">
        <v>1682</v>
      </c>
      <c r="T332">
        <v>-8</v>
      </c>
      <c r="U332" t="s">
        <v>1740</v>
      </c>
      <c r="V332">
        <v>-3</v>
      </c>
      <c r="W332" t="s">
        <v>284</v>
      </c>
      <c r="X332">
        <v>-8</v>
      </c>
      <c r="Y332" t="s">
        <v>648</v>
      </c>
      <c r="Z332">
        <v>-30</v>
      </c>
      <c r="AA332" t="s">
        <v>325</v>
      </c>
      <c r="AB332">
        <v>-14</v>
      </c>
      <c r="AC332" t="s">
        <v>27</v>
      </c>
      <c r="AD332">
        <v>-8</v>
      </c>
      <c r="AE332" t="s">
        <v>1260</v>
      </c>
      <c r="AF332">
        <v>-6</v>
      </c>
      <c r="AG332" t="s">
        <v>306</v>
      </c>
      <c r="AH332">
        <v>-86</v>
      </c>
      <c r="AI332" t="s">
        <v>18</v>
      </c>
      <c r="AJ332">
        <v>-4</v>
      </c>
      <c r="AK332" t="s">
        <v>322</v>
      </c>
      <c r="AL332">
        <v>-9</v>
      </c>
      <c r="AM332" t="s">
        <v>1011</v>
      </c>
      <c r="AN332">
        <v>-4</v>
      </c>
    </row>
    <row r="333" spans="2:40" x14ac:dyDescent="0.25">
      <c r="B333" t="s">
        <v>345</v>
      </c>
      <c r="C333">
        <v>-180</v>
      </c>
      <c r="E333" t="s">
        <v>58</v>
      </c>
      <c r="F333">
        <v>-132</v>
      </c>
      <c r="H333" t="s">
        <v>888</v>
      </c>
      <c r="I333">
        <v>-3</v>
      </c>
      <c r="J333" t="s">
        <v>726</v>
      </c>
      <c r="K333">
        <v>-1</v>
      </c>
      <c r="L333" t="s">
        <v>1226</v>
      </c>
      <c r="M333">
        <v>-1</v>
      </c>
      <c r="O333" t="s">
        <v>1012</v>
      </c>
      <c r="P333">
        <v>-214</v>
      </c>
      <c r="Q333" t="s">
        <v>1250</v>
      </c>
      <c r="R333">
        <v>-5</v>
      </c>
      <c r="S333" t="s">
        <v>159</v>
      </c>
      <c r="T333">
        <v>-28</v>
      </c>
      <c r="U333" t="s">
        <v>1250</v>
      </c>
      <c r="V333">
        <v>-12</v>
      </c>
      <c r="W333" t="s">
        <v>285</v>
      </c>
      <c r="X333">
        <v>-12</v>
      </c>
      <c r="Y333" t="s">
        <v>388</v>
      </c>
      <c r="Z333">
        <v>-4</v>
      </c>
      <c r="AA333" t="s">
        <v>726</v>
      </c>
      <c r="AB333">
        <v>-1</v>
      </c>
      <c r="AC333" t="s">
        <v>28</v>
      </c>
      <c r="AD333">
        <v>-5</v>
      </c>
      <c r="AE333" t="s">
        <v>2082</v>
      </c>
      <c r="AF333">
        <v>-7</v>
      </c>
      <c r="AG333" t="s">
        <v>320</v>
      </c>
      <c r="AH333">
        <v>-24</v>
      </c>
      <c r="AI333" t="s">
        <v>602</v>
      </c>
      <c r="AJ333">
        <v>-21</v>
      </c>
      <c r="AK333" t="s">
        <v>323</v>
      </c>
      <c r="AL333">
        <v>-9</v>
      </c>
      <c r="AM333" t="s">
        <v>2401</v>
      </c>
      <c r="AN333">
        <v>-3</v>
      </c>
    </row>
    <row r="334" spans="2:40" x14ac:dyDescent="0.25">
      <c r="B334" t="s">
        <v>603</v>
      </c>
      <c r="C334">
        <v>-0.72</v>
      </c>
      <c r="E334" t="s">
        <v>824</v>
      </c>
      <c r="F334">
        <v>-7</v>
      </c>
      <c r="H334" t="s">
        <v>193</v>
      </c>
      <c r="I334">
        <v>-26</v>
      </c>
      <c r="J334" t="s">
        <v>636</v>
      </c>
      <c r="K334">
        <v>-12</v>
      </c>
      <c r="L334" t="s">
        <v>1227</v>
      </c>
      <c r="M334">
        <v>-1</v>
      </c>
      <c r="O334" t="s">
        <v>627</v>
      </c>
      <c r="P334">
        <v>-150</v>
      </c>
      <c r="Q334" t="s">
        <v>324</v>
      </c>
      <c r="R334">
        <v>-30</v>
      </c>
      <c r="S334" t="s">
        <v>1683</v>
      </c>
      <c r="T334">
        <v>-30</v>
      </c>
      <c r="U334" t="s">
        <v>1741</v>
      </c>
      <c r="V334">
        <v>-2</v>
      </c>
      <c r="W334" t="s">
        <v>1836</v>
      </c>
      <c r="X334">
        <v>-6</v>
      </c>
      <c r="Y334" t="s">
        <v>1691</v>
      </c>
      <c r="Z334">
        <v>-2</v>
      </c>
      <c r="AA334" t="s">
        <v>888</v>
      </c>
      <c r="AB334">
        <v>-2</v>
      </c>
      <c r="AC334" t="s">
        <v>29</v>
      </c>
      <c r="AD334">
        <v>-8</v>
      </c>
      <c r="AE334" t="s">
        <v>286</v>
      </c>
      <c r="AF334">
        <v>-50</v>
      </c>
      <c r="AG334" t="s">
        <v>317</v>
      </c>
      <c r="AH334">
        <v>-23</v>
      </c>
      <c r="AI334" t="s">
        <v>2215</v>
      </c>
      <c r="AJ334">
        <v>-2</v>
      </c>
      <c r="AK334" t="s">
        <v>450</v>
      </c>
      <c r="AL334">
        <v>-324</v>
      </c>
      <c r="AM334" t="s">
        <v>2402</v>
      </c>
      <c r="AN334">
        <v>-2</v>
      </c>
    </row>
    <row r="335" spans="2:40" x14ac:dyDescent="0.25">
      <c r="B335" t="s">
        <v>425</v>
      </c>
      <c r="C335">
        <v>-12</v>
      </c>
      <c r="E335" t="s">
        <v>216</v>
      </c>
      <c r="F335">
        <v>-32</v>
      </c>
      <c r="H335" t="s">
        <v>194</v>
      </c>
      <c r="I335">
        <v>-31</v>
      </c>
      <c r="J335" t="s">
        <v>193</v>
      </c>
      <c r="K335">
        <v>-6</v>
      </c>
      <c r="L335" t="s">
        <v>730</v>
      </c>
      <c r="M335">
        <v>-12</v>
      </c>
      <c r="O335" t="s">
        <v>360</v>
      </c>
      <c r="P335">
        <v>-84</v>
      </c>
      <c r="Q335" t="s">
        <v>301</v>
      </c>
      <c r="R335">
        <v>-10</v>
      </c>
      <c r="S335" t="s">
        <v>1257</v>
      </c>
      <c r="T335">
        <v>-3</v>
      </c>
      <c r="U335" t="s">
        <v>1742</v>
      </c>
      <c r="V335">
        <v>-6</v>
      </c>
      <c r="W335" t="s">
        <v>280</v>
      </c>
      <c r="X335">
        <v>-42</v>
      </c>
      <c r="Y335" t="s">
        <v>476</v>
      </c>
      <c r="Z335">
        <v>-1</v>
      </c>
      <c r="AA335" t="s">
        <v>193</v>
      </c>
      <c r="AB335">
        <v>-2</v>
      </c>
      <c r="AC335" t="s">
        <v>64</v>
      </c>
      <c r="AD335">
        <v>-2</v>
      </c>
      <c r="AE335" t="s">
        <v>665</v>
      </c>
      <c r="AF335">
        <v>-78</v>
      </c>
      <c r="AG335" t="s">
        <v>307</v>
      </c>
      <c r="AH335">
        <v>-132</v>
      </c>
      <c r="AI335" t="s">
        <v>107</v>
      </c>
      <c r="AJ335">
        <v>-19</v>
      </c>
      <c r="AK335" t="s">
        <v>1245</v>
      </c>
      <c r="AL335">
        <v>-8</v>
      </c>
      <c r="AM335" t="s">
        <v>2403</v>
      </c>
      <c r="AN335">
        <v>-1</v>
      </c>
    </row>
    <row r="336" spans="2:40" x14ac:dyDescent="0.25">
      <c r="B336" t="s">
        <v>754</v>
      </c>
      <c r="C336">
        <v>-2</v>
      </c>
      <c r="E336" t="s">
        <v>673</v>
      </c>
      <c r="F336">
        <v>-72</v>
      </c>
      <c r="H336" t="s">
        <v>220</v>
      </c>
      <c r="I336">
        <v>-13</v>
      </c>
      <c r="J336" t="s">
        <v>1050</v>
      </c>
      <c r="K336">
        <v>-2</v>
      </c>
      <c r="L336" t="s">
        <v>1228</v>
      </c>
      <c r="M336">
        <v>-2</v>
      </c>
      <c r="O336" t="s">
        <v>809</v>
      </c>
      <c r="P336">
        <v>-1</v>
      </c>
      <c r="Q336" t="s">
        <v>345</v>
      </c>
      <c r="R336">
        <v>-24.23</v>
      </c>
      <c r="S336" t="s">
        <v>141</v>
      </c>
      <c r="T336">
        <v>-5</v>
      </c>
      <c r="U336" t="s">
        <v>324</v>
      </c>
      <c r="V336">
        <v>-12</v>
      </c>
      <c r="W336" t="s">
        <v>878</v>
      </c>
      <c r="X336">
        <v>-20</v>
      </c>
      <c r="Y336" t="s">
        <v>76</v>
      </c>
      <c r="Z336">
        <v>-2</v>
      </c>
      <c r="AA336" t="s">
        <v>194</v>
      </c>
      <c r="AB336">
        <v>-4</v>
      </c>
      <c r="AC336" t="s">
        <v>1956</v>
      </c>
      <c r="AD336">
        <v>-2</v>
      </c>
      <c r="AE336" t="s">
        <v>332</v>
      </c>
      <c r="AF336">
        <v>-109</v>
      </c>
      <c r="AG336" t="s">
        <v>115</v>
      </c>
      <c r="AH336">
        <v>-127</v>
      </c>
      <c r="AI336" t="s">
        <v>465</v>
      </c>
      <c r="AJ336">
        <v>-48</v>
      </c>
      <c r="AK336" t="s">
        <v>318</v>
      </c>
      <c r="AL336">
        <v>-6</v>
      </c>
      <c r="AM336" t="s">
        <v>458</v>
      </c>
      <c r="AN336">
        <v>-2</v>
      </c>
    </row>
    <row r="337" spans="2:40" x14ac:dyDescent="0.25">
      <c r="B337" t="s">
        <v>440</v>
      </c>
      <c r="C337">
        <v>-37.5</v>
      </c>
      <c r="E337" t="s">
        <v>68</v>
      </c>
      <c r="F337">
        <v>-11</v>
      </c>
      <c r="H337" t="s">
        <v>79</v>
      </c>
      <c r="I337">
        <v>-1868</v>
      </c>
      <c r="J337" t="s">
        <v>79</v>
      </c>
      <c r="K337">
        <v>-24</v>
      </c>
      <c r="L337" t="s">
        <v>259</v>
      </c>
      <c r="M337">
        <v>-8</v>
      </c>
      <c r="O337" t="s">
        <v>1431</v>
      </c>
      <c r="P337">
        <v>-12</v>
      </c>
      <c r="Q337" t="s">
        <v>603</v>
      </c>
      <c r="R337">
        <v>-10.719999999999999</v>
      </c>
      <c r="S337" t="s">
        <v>874</v>
      </c>
      <c r="T337">
        <v>-6</v>
      </c>
      <c r="U337" t="s">
        <v>301</v>
      </c>
      <c r="V337">
        <v>-8</v>
      </c>
      <c r="W337" t="s">
        <v>32</v>
      </c>
      <c r="X337">
        <v>-69</v>
      </c>
      <c r="Y337" t="s">
        <v>131</v>
      </c>
      <c r="Z337">
        <v>-2</v>
      </c>
      <c r="AA337" t="s">
        <v>1295</v>
      </c>
      <c r="AB337">
        <v>-1</v>
      </c>
      <c r="AC337" t="s">
        <v>2007</v>
      </c>
      <c r="AD337">
        <v>-1</v>
      </c>
      <c r="AE337" t="s">
        <v>269</v>
      </c>
      <c r="AF337">
        <v>-38</v>
      </c>
      <c r="AG337" t="s">
        <v>99</v>
      </c>
      <c r="AH337">
        <v>-20</v>
      </c>
      <c r="AI337" t="s">
        <v>2216</v>
      </c>
      <c r="AJ337">
        <v>-4</v>
      </c>
      <c r="AK337" t="s">
        <v>319</v>
      </c>
      <c r="AL337">
        <v>-6</v>
      </c>
      <c r="AM337" t="s">
        <v>459</v>
      </c>
      <c r="AN337">
        <v>-1</v>
      </c>
    </row>
    <row r="338" spans="2:40" x14ac:dyDescent="0.25">
      <c r="B338" t="s">
        <v>439</v>
      </c>
      <c r="C338">
        <v>-125</v>
      </c>
      <c r="E338" t="s">
        <v>201</v>
      </c>
      <c r="F338">
        <v>-17</v>
      </c>
      <c r="H338" t="s">
        <v>383</v>
      </c>
      <c r="I338">
        <v>-208</v>
      </c>
      <c r="J338" t="s">
        <v>383</v>
      </c>
      <c r="K338">
        <v>-32</v>
      </c>
      <c r="L338" t="s">
        <v>613</v>
      </c>
      <c r="M338">
        <v>-76</v>
      </c>
      <c r="O338" t="s">
        <v>351</v>
      </c>
      <c r="P338">
        <v>-7</v>
      </c>
      <c r="Q338" t="s">
        <v>425</v>
      </c>
      <c r="R338">
        <v>-96</v>
      </c>
      <c r="S338" t="s">
        <v>1586</v>
      </c>
      <c r="T338">
        <v>-72</v>
      </c>
      <c r="U338" t="s">
        <v>345</v>
      </c>
      <c r="V338">
        <v>-7.5</v>
      </c>
      <c r="W338" t="s">
        <v>51</v>
      </c>
      <c r="X338">
        <v>-29</v>
      </c>
      <c r="Y338" t="s">
        <v>1922</v>
      </c>
      <c r="Z338">
        <v>-23</v>
      </c>
      <c r="AA338" t="s">
        <v>220</v>
      </c>
      <c r="AB338">
        <v>-1</v>
      </c>
      <c r="AC338" t="s">
        <v>1263</v>
      </c>
      <c r="AD338">
        <v>-1</v>
      </c>
      <c r="AE338" t="s">
        <v>820</v>
      </c>
      <c r="AF338">
        <v>-36</v>
      </c>
      <c r="AG338" t="s">
        <v>400</v>
      </c>
      <c r="AH338">
        <v>-16</v>
      </c>
      <c r="AI338" t="s">
        <v>275</v>
      </c>
      <c r="AJ338">
        <v>-43</v>
      </c>
      <c r="AK338" t="s">
        <v>333</v>
      </c>
      <c r="AL338">
        <v>-6</v>
      </c>
      <c r="AM338" t="s">
        <v>2212</v>
      </c>
      <c r="AN338">
        <v>-7</v>
      </c>
    </row>
    <row r="339" spans="2:40" x14ac:dyDescent="0.25">
      <c r="B339" t="s">
        <v>752</v>
      </c>
      <c r="C339">
        <v>-24.65</v>
      </c>
      <c r="E339" t="s">
        <v>148</v>
      </c>
      <c r="F339">
        <v>-323</v>
      </c>
      <c r="H339" t="s">
        <v>447</v>
      </c>
      <c r="I339">
        <v>-3.0006000000000004</v>
      </c>
      <c r="J339" t="s">
        <v>1051</v>
      </c>
      <c r="K339">
        <v>-1</v>
      </c>
      <c r="L339" t="s">
        <v>1229</v>
      </c>
      <c r="M339">
        <v>-26</v>
      </c>
      <c r="O339" t="s">
        <v>230</v>
      </c>
      <c r="P339">
        <v>-14</v>
      </c>
      <c r="Q339" t="s">
        <v>440</v>
      </c>
      <c r="R339">
        <v>-375</v>
      </c>
      <c r="S339" t="s">
        <v>1029</v>
      </c>
      <c r="T339">
        <v>-3</v>
      </c>
      <c r="U339" t="s">
        <v>603</v>
      </c>
      <c r="V339">
        <v>-8.76</v>
      </c>
      <c r="W339" t="s">
        <v>33</v>
      </c>
      <c r="X339">
        <v>-41</v>
      </c>
      <c r="Y339" t="s">
        <v>1074</v>
      </c>
      <c r="Z339">
        <v>-12</v>
      </c>
      <c r="AA339" t="s">
        <v>1964</v>
      </c>
      <c r="AB339">
        <v>-100</v>
      </c>
      <c r="AC339" t="s">
        <v>1264</v>
      </c>
      <c r="AD339">
        <v>-2</v>
      </c>
      <c r="AE339" t="s">
        <v>1458</v>
      </c>
      <c r="AF339">
        <v>-20</v>
      </c>
      <c r="AG339" t="s">
        <v>1250</v>
      </c>
      <c r="AH339">
        <v>-2</v>
      </c>
      <c r="AI339" t="s">
        <v>59</v>
      </c>
      <c r="AJ339">
        <v>-72</v>
      </c>
      <c r="AK339" t="s">
        <v>306</v>
      </c>
      <c r="AL339">
        <v>-55</v>
      </c>
      <c r="AM339" t="s">
        <v>2404</v>
      </c>
      <c r="AN339">
        <v>-2</v>
      </c>
    </row>
    <row r="340" spans="2:40" x14ac:dyDescent="0.25">
      <c r="B340" t="s">
        <v>438</v>
      </c>
      <c r="C340">
        <v>-10.4</v>
      </c>
      <c r="E340" t="s">
        <v>262</v>
      </c>
      <c r="F340">
        <v>-90</v>
      </c>
      <c r="H340" t="s">
        <v>639</v>
      </c>
      <c r="I340">
        <v>-3.4000000000000004</v>
      </c>
      <c r="J340" t="s">
        <v>1052</v>
      </c>
      <c r="K340">
        <v>-0.99879999999999991</v>
      </c>
      <c r="L340" t="s">
        <v>142</v>
      </c>
      <c r="M340">
        <v>-3</v>
      </c>
      <c r="O340" t="s">
        <v>1234</v>
      </c>
      <c r="P340">
        <v>-12</v>
      </c>
      <c r="Q340" t="s">
        <v>439</v>
      </c>
      <c r="R340">
        <v>-49.200799999999994</v>
      </c>
      <c r="S340" t="s">
        <v>286</v>
      </c>
      <c r="T340">
        <v>-34</v>
      </c>
      <c r="U340" t="s">
        <v>1452</v>
      </c>
      <c r="V340">
        <v>-2.68</v>
      </c>
      <c r="W340" t="s">
        <v>34</v>
      </c>
      <c r="X340">
        <v>-36</v>
      </c>
      <c r="Y340" t="s">
        <v>1075</v>
      </c>
      <c r="Z340">
        <v>-4</v>
      </c>
      <c r="AA340" t="s">
        <v>383</v>
      </c>
      <c r="AB340">
        <v>-16</v>
      </c>
      <c r="AC340" t="s">
        <v>674</v>
      </c>
      <c r="AD340">
        <v>-9</v>
      </c>
      <c r="AE340" t="s">
        <v>284</v>
      </c>
      <c r="AF340">
        <v>-8</v>
      </c>
      <c r="AG340" t="s">
        <v>1741</v>
      </c>
      <c r="AH340">
        <v>-7</v>
      </c>
      <c r="AI340" t="s">
        <v>302</v>
      </c>
      <c r="AJ340">
        <v>-20</v>
      </c>
      <c r="AK340" t="s">
        <v>320</v>
      </c>
      <c r="AL340">
        <v>-14</v>
      </c>
      <c r="AM340" t="s">
        <v>259</v>
      </c>
      <c r="AN340">
        <v>-8</v>
      </c>
    </row>
    <row r="341" spans="2:40" x14ac:dyDescent="0.25">
      <c r="B341" t="s">
        <v>426</v>
      </c>
      <c r="C341">
        <v>-386.07999999999993</v>
      </c>
      <c r="E341" t="s">
        <v>263</v>
      </c>
      <c r="F341">
        <v>-37</v>
      </c>
      <c r="H341" t="s">
        <v>446</v>
      </c>
      <c r="I341">
        <v>-4.0002000000000004</v>
      </c>
      <c r="J341" t="s">
        <v>1053</v>
      </c>
      <c r="K341">
        <v>-9</v>
      </c>
      <c r="L341" t="s">
        <v>397</v>
      </c>
      <c r="M341">
        <v>-2</v>
      </c>
      <c r="O341" t="s">
        <v>1014</v>
      </c>
      <c r="P341">
        <v>-3</v>
      </c>
      <c r="Q341" t="s">
        <v>752</v>
      </c>
      <c r="R341">
        <v>-12.324999999999999</v>
      </c>
      <c r="S341" t="s">
        <v>665</v>
      </c>
      <c r="T341">
        <v>-81</v>
      </c>
      <c r="U341" t="s">
        <v>425</v>
      </c>
      <c r="V341">
        <v>-94</v>
      </c>
      <c r="W341" t="s">
        <v>35</v>
      </c>
      <c r="X341">
        <v>-19</v>
      </c>
      <c r="Y341" t="s">
        <v>254</v>
      </c>
      <c r="Z341">
        <v>-1</v>
      </c>
      <c r="AA341" t="s">
        <v>1296</v>
      </c>
      <c r="AB341">
        <v>-1</v>
      </c>
      <c r="AC341" t="s">
        <v>30</v>
      </c>
      <c r="AD341">
        <v>-9</v>
      </c>
      <c r="AE341" t="s">
        <v>285</v>
      </c>
      <c r="AF341">
        <v>-12</v>
      </c>
      <c r="AG341" t="s">
        <v>1827</v>
      </c>
      <c r="AH341">
        <v>-1</v>
      </c>
      <c r="AI341" t="s">
        <v>1584</v>
      </c>
      <c r="AJ341">
        <v>-2</v>
      </c>
      <c r="AK341" t="s">
        <v>317</v>
      </c>
      <c r="AL341">
        <v>-15</v>
      </c>
      <c r="AM341" t="s">
        <v>613</v>
      </c>
      <c r="AN341">
        <v>-28</v>
      </c>
    </row>
    <row r="342" spans="2:40" x14ac:dyDescent="0.25">
      <c r="B342" t="s">
        <v>607</v>
      </c>
      <c r="C342">
        <v>-66</v>
      </c>
      <c r="E342" t="s">
        <v>261</v>
      </c>
      <c r="F342">
        <v>-35</v>
      </c>
      <c r="H342" t="s">
        <v>368</v>
      </c>
      <c r="I342">
        <v>-7</v>
      </c>
      <c r="J342" t="s">
        <v>1054</v>
      </c>
      <c r="K342">
        <v>-15</v>
      </c>
      <c r="L342" t="s">
        <v>543</v>
      </c>
      <c r="M342">
        <v>-499.99999999999994</v>
      </c>
      <c r="O342" t="s">
        <v>870</v>
      </c>
      <c r="P342">
        <v>-6</v>
      </c>
      <c r="Q342" t="s">
        <v>438</v>
      </c>
      <c r="R342">
        <v>-10.4</v>
      </c>
      <c r="S342" t="s">
        <v>332</v>
      </c>
      <c r="T342">
        <v>-136</v>
      </c>
      <c r="U342" t="s">
        <v>754</v>
      </c>
      <c r="V342">
        <v>-30</v>
      </c>
      <c r="W342" t="s">
        <v>36</v>
      </c>
      <c r="X342">
        <v>-26</v>
      </c>
      <c r="Y342" t="s">
        <v>256</v>
      </c>
      <c r="Z342">
        <v>-1</v>
      </c>
      <c r="AA342" t="s">
        <v>416</v>
      </c>
      <c r="AB342">
        <v>-8</v>
      </c>
      <c r="AC342" t="s">
        <v>1030</v>
      </c>
      <c r="AD342">
        <v>-1</v>
      </c>
      <c r="AE342" t="s">
        <v>211</v>
      </c>
      <c r="AF342">
        <v>-10</v>
      </c>
      <c r="AG342" t="s">
        <v>324</v>
      </c>
      <c r="AH342">
        <v>-60</v>
      </c>
      <c r="AI342" t="s">
        <v>138</v>
      </c>
      <c r="AJ342">
        <v>-8</v>
      </c>
      <c r="AK342" t="s">
        <v>307</v>
      </c>
      <c r="AL342">
        <v>-63</v>
      </c>
      <c r="AM342" t="s">
        <v>142</v>
      </c>
      <c r="AN342">
        <v>-6</v>
      </c>
    </row>
    <row r="343" spans="2:40" x14ac:dyDescent="0.25">
      <c r="B343" t="s">
        <v>549</v>
      </c>
      <c r="C343">
        <v>-114</v>
      </c>
      <c r="E343" t="s">
        <v>151</v>
      </c>
      <c r="F343">
        <v>-34</v>
      </c>
      <c r="H343" t="s">
        <v>826</v>
      </c>
      <c r="I343">
        <v>-3</v>
      </c>
      <c r="J343" t="s">
        <v>1055</v>
      </c>
      <c r="K343">
        <v>-4</v>
      </c>
      <c r="L343" t="s">
        <v>755</v>
      </c>
      <c r="M343">
        <v>-360</v>
      </c>
      <c r="O343" t="s">
        <v>810</v>
      </c>
      <c r="P343">
        <v>-9</v>
      </c>
      <c r="Q343" t="s">
        <v>549</v>
      </c>
      <c r="R343">
        <v>-18</v>
      </c>
      <c r="S343" t="s">
        <v>269</v>
      </c>
      <c r="T343">
        <v>-43</v>
      </c>
      <c r="U343" t="s">
        <v>440</v>
      </c>
      <c r="V343">
        <v>-4.0999999999999996</v>
      </c>
      <c r="W343" t="s">
        <v>66</v>
      </c>
      <c r="X343">
        <v>-14</v>
      </c>
      <c r="Y343" t="s">
        <v>137</v>
      </c>
      <c r="Z343">
        <v>-2</v>
      </c>
      <c r="AA343" t="s">
        <v>1915</v>
      </c>
      <c r="AB343">
        <v>-2</v>
      </c>
      <c r="AC343" t="s">
        <v>1031</v>
      </c>
      <c r="AD343">
        <v>-2</v>
      </c>
      <c r="AE343" t="s">
        <v>212</v>
      </c>
      <c r="AF343">
        <v>-15</v>
      </c>
      <c r="AG343" t="s">
        <v>301</v>
      </c>
      <c r="AH343">
        <v>-20</v>
      </c>
      <c r="AI343" t="s">
        <v>473</v>
      </c>
      <c r="AJ343">
        <v>-27</v>
      </c>
      <c r="AK343" t="s">
        <v>115</v>
      </c>
      <c r="AL343">
        <v>-60</v>
      </c>
      <c r="AM343" t="s">
        <v>398</v>
      </c>
      <c r="AN343">
        <v>-12</v>
      </c>
    </row>
    <row r="344" spans="2:40" x14ac:dyDescent="0.25">
      <c r="B344" t="s">
        <v>424</v>
      </c>
      <c r="C344">
        <v>-32</v>
      </c>
      <c r="E344" t="s">
        <v>258</v>
      </c>
      <c r="F344">
        <v>-16</v>
      </c>
      <c r="H344" t="s">
        <v>326</v>
      </c>
      <c r="I344">
        <v>-13</v>
      </c>
      <c r="J344" t="s">
        <v>671</v>
      </c>
      <c r="K344">
        <v>-6</v>
      </c>
      <c r="L344" t="s">
        <v>1230</v>
      </c>
      <c r="M344">
        <v>-4</v>
      </c>
      <c r="O344" t="s">
        <v>217</v>
      </c>
      <c r="P344">
        <v>-7</v>
      </c>
      <c r="Q344" t="s">
        <v>424</v>
      </c>
      <c r="R344">
        <v>-10</v>
      </c>
      <c r="S344" t="s">
        <v>820</v>
      </c>
      <c r="T344">
        <v>-39</v>
      </c>
      <c r="U344" t="s">
        <v>1743</v>
      </c>
      <c r="V344">
        <v>-61.625</v>
      </c>
      <c r="W344" t="s">
        <v>65</v>
      </c>
      <c r="X344">
        <v>-51</v>
      </c>
      <c r="Y344" t="s">
        <v>1923</v>
      </c>
      <c r="Z344">
        <v>-2</v>
      </c>
      <c r="AA344" t="s">
        <v>445</v>
      </c>
      <c r="AB344">
        <v>-1</v>
      </c>
      <c r="AC344" t="s">
        <v>205</v>
      </c>
      <c r="AD344">
        <v>-4</v>
      </c>
      <c r="AE344" t="s">
        <v>2083</v>
      </c>
      <c r="AF344">
        <v>-20</v>
      </c>
      <c r="AG344" t="s">
        <v>345</v>
      </c>
      <c r="AH344">
        <v>-133.15</v>
      </c>
      <c r="AI344" t="s">
        <v>134</v>
      </c>
      <c r="AJ344">
        <v>-2</v>
      </c>
      <c r="AK344" t="s">
        <v>99</v>
      </c>
      <c r="AL344">
        <v>-18</v>
      </c>
      <c r="AM344" t="s">
        <v>626</v>
      </c>
      <c r="AN344">
        <v>-54</v>
      </c>
    </row>
    <row r="345" spans="2:40" x14ac:dyDescent="0.25">
      <c r="B345" t="s">
        <v>159</v>
      </c>
      <c r="C345">
        <v>-3</v>
      </c>
      <c r="E345" t="s">
        <v>246</v>
      </c>
      <c r="F345">
        <v>-272</v>
      </c>
      <c r="H345" t="s">
        <v>891</v>
      </c>
      <c r="I345">
        <v>-15</v>
      </c>
      <c r="J345" t="s">
        <v>672</v>
      </c>
      <c r="K345">
        <v>-6</v>
      </c>
      <c r="L345" t="s">
        <v>1231</v>
      </c>
      <c r="M345">
        <v>-3</v>
      </c>
      <c r="O345" t="s">
        <v>1432</v>
      </c>
      <c r="P345">
        <v>-12</v>
      </c>
      <c r="Q345" t="s">
        <v>159</v>
      </c>
      <c r="R345">
        <v>-16</v>
      </c>
      <c r="S345" t="s">
        <v>1458</v>
      </c>
      <c r="T345">
        <v>-96</v>
      </c>
      <c r="U345" t="s">
        <v>1744</v>
      </c>
      <c r="V345">
        <v>-10</v>
      </c>
      <c r="W345" t="s">
        <v>26</v>
      </c>
      <c r="X345">
        <v>-13</v>
      </c>
      <c r="Y345" t="s">
        <v>1924</v>
      </c>
      <c r="Z345">
        <v>-7.6</v>
      </c>
      <c r="AA345" t="s">
        <v>685</v>
      </c>
      <c r="AB345">
        <v>-1</v>
      </c>
      <c r="AC345" t="s">
        <v>87</v>
      </c>
      <c r="AD345">
        <v>-8</v>
      </c>
      <c r="AE345" t="s">
        <v>280</v>
      </c>
      <c r="AF345">
        <v>-66</v>
      </c>
      <c r="AG345" t="s">
        <v>603</v>
      </c>
      <c r="AH345">
        <v>-1.44</v>
      </c>
      <c r="AI345" t="s">
        <v>2217</v>
      </c>
      <c r="AJ345">
        <v>-2</v>
      </c>
      <c r="AK345" t="s">
        <v>400</v>
      </c>
      <c r="AL345">
        <v>-17</v>
      </c>
      <c r="AM345" t="s">
        <v>361</v>
      </c>
      <c r="AN345">
        <v>-42</v>
      </c>
    </row>
    <row r="346" spans="2:40" x14ac:dyDescent="0.25">
      <c r="B346" t="s">
        <v>141</v>
      </c>
      <c r="C346">
        <v>-8</v>
      </c>
      <c r="E346" t="s">
        <v>94</v>
      </c>
      <c r="F346">
        <v>-16</v>
      </c>
      <c r="H346" t="s">
        <v>892</v>
      </c>
      <c r="I346">
        <v>-28</v>
      </c>
      <c r="J346" t="s">
        <v>447</v>
      </c>
      <c r="K346">
        <v>-3.5</v>
      </c>
      <c r="L346" t="s">
        <v>1232</v>
      </c>
      <c r="M346">
        <v>-12</v>
      </c>
      <c r="O346" t="s">
        <v>17</v>
      </c>
      <c r="P346">
        <v>-12</v>
      </c>
      <c r="Q346" t="s">
        <v>1456</v>
      </c>
      <c r="R346">
        <v>-60</v>
      </c>
      <c r="S346" t="s">
        <v>284</v>
      </c>
      <c r="T346">
        <v>-10</v>
      </c>
      <c r="U346" t="s">
        <v>549</v>
      </c>
      <c r="V346">
        <v>-21</v>
      </c>
      <c r="W346" t="s">
        <v>225</v>
      </c>
      <c r="X346">
        <v>-1</v>
      </c>
      <c r="Y346" t="s">
        <v>753</v>
      </c>
      <c r="Z346">
        <v>-2</v>
      </c>
      <c r="AA346" t="s">
        <v>368</v>
      </c>
      <c r="AB346">
        <v>-1</v>
      </c>
      <c r="AC346" t="s">
        <v>1265</v>
      </c>
      <c r="AD346">
        <v>-5</v>
      </c>
      <c r="AE346" t="s">
        <v>32</v>
      </c>
      <c r="AF346">
        <v>-87</v>
      </c>
      <c r="AG346" t="s">
        <v>1452</v>
      </c>
      <c r="AH346">
        <v>-0.54</v>
      </c>
      <c r="AI346" t="s">
        <v>2218</v>
      </c>
      <c r="AJ346">
        <v>-2</v>
      </c>
      <c r="AK346" t="s">
        <v>1250</v>
      </c>
      <c r="AL346">
        <v>-3</v>
      </c>
      <c r="AM346" t="s">
        <v>2405</v>
      </c>
      <c r="AN346">
        <v>-100</v>
      </c>
    </row>
    <row r="347" spans="2:40" x14ac:dyDescent="0.25">
      <c r="B347" t="s">
        <v>708</v>
      </c>
      <c r="C347">
        <v>-3</v>
      </c>
      <c r="E347" t="s">
        <v>325</v>
      </c>
      <c r="F347">
        <v>-34</v>
      </c>
      <c r="H347" t="s">
        <v>829</v>
      </c>
      <c r="I347">
        <v>-12</v>
      </c>
      <c r="J347" t="s">
        <v>445</v>
      </c>
      <c r="K347">
        <v>-16.999199999999998</v>
      </c>
      <c r="L347" t="s">
        <v>360</v>
      </c>
      <c r="M347">
        <v>-100</v>
      </c>
      <c r="O347" t="s">
        <v>52</v>
      </c>
      <c r="P347">
        <v>-1</v>
      </c>
      <c r="Q347" t="s">
        <v>141</v>
      </c>
      <c r="R347">
        <v>-2</v>
      </c>
      <c r="S347" t="s">
        <v>285</v>
      </c>
      <c r="T347">
        <v>-14</v>
      </c>
      <c r="U347" t="s">
        <v>424</v>
      </c>
      <c r="V347">
        <v>-2</v>
      </c>
      <c r="W347" t="s">
        <v>1837</v>
      </c>
      <c r="X347">
        <v>-44</v>
      </c>
      <c r="Y347" t="s">
        <v>1079</v>
      </c>
      <c r="Z347">
        <v>-20</v>
      </c>
      <c r="AA347" t="s">
        <v>1753</v>
      </c>
      <c r="AB347">
        <v>-1</v>
      </c>
      <c r="AC347" t="s">
        <v>86</v>
      </c>
      <c r="AD347">
        <v>-14</v>
      </c>
      <c r="AE347" t="s">
        <v>51</v>
      </c>
      <c r="AF347">
        <v>-54</v>
      </c>
      <c r="AG347" t="s">
        <v>754</v>
      </c>
      <c r="AH347">
        <v>-6</v>
      </c>
      <c r="AI347" t="s">
        <v>745</v>
      </c>
      <c r="AJ347">
        <v>-19</v>
      </c>
      <c r="AK347" t="s">
        <v>1741</v>
      </c>
      <c r="AL347">
        <v>-6</v>
      </c>
      <c r="AM347" t="s">
        <v>1012</v>
      </c>
      <c r="AN347">
        <v>-100</v>
      </c>
    </row>
    <row r="348" spans="2:40" x14ac:dyDescent="0.25">
      <c r="B348" t="s">
        <v>286</v>
      </c>
      <c r="C348">
        <v>-9</v>
      </c>
      <c r="E348" t="s">
        <v>193</v>
      </c>
      <c r="F348">
        <v>-29</v>
      </c>
      <c r="H348" t="s">
        <v>605</v>
      </c>
      <c r="I348">
        <v>-1</v>
      </c>
      <c r="J348" t="s">
        <v>639</v>
      </c>
      <c r="K348">
        <v>-1</v>
      </c>
      <c r="L348" t="s">
        <v>655</v>
      </c>
      <c r="M348">
        <v>-12</v>
      </c>
      <c r="O348" t="s">
        <v>1235</v>
      </c>
      <c r="P348">
        <v>-12</v>
      </c>
      <c r="Q348" t="s">
        <v>1259</v>
      </c>
      <c r="R348">
        <v>-3</v>
      </c>
      <c r="S348" t="s">
        <v>208</v>
      </c>
      <c r="T348">
        <v>-24</v>
      </c>
      <c r="U348" t="s">
        <v>159</v>
      </c>
      <c r="V348">
        <v>-51</v>
      </c>
      <c r="W348" t="s">
        <v>27</v>
      </c>
      <c r="X348">
        <v>-17</v>
      </c>
      <c r="Y348" t="s">
        <v>1081</v>
      </c>
      <c r="Z348">
        <v>-115</v>
      </c>
      <c r="AA348" t="s">
        <v>326</v>
      </c>
      <c r="AB348">
        <v>-2</v>
      </c>
      <c r="AC348" t="s">
        <v>1032</v>
      </c>
      <c r="AD348">
        <v>-1</v>
      </c>
      <c r="AE348" t="s">
        <v>33</v>
      </c>
      <c r="AF348">
        <v>-66</v>
      </c>
      <c r="AG348" t="s">
        <v>440</v>
      </c>
      <c r="AH348">
        <v>-16</v>
      </c>
      <c r="AI348" t="s">
        <v>780</v>
      </c>
      <c r="AJ348">
        <v>-5</v>
      </c>
      <c r="AK348" t="s">
        <v>2077</v>
      </c>
      <c r="AL348">
        <v>-5</v>
      </c>
      <c r="AM348" t="s">
        <v>1951</v>
      </c>
      <c r="AN348">
        <v>-1</v>
      </c>
    </row>
    <row r="349" spans="2:40" x14ac:dyDescent="0.25">
      <c r="B349" t="s">
        <v>665</v>
      </c>
      <c r="C349">
        <v>-10</v>
      </c>
      <c r="E349" t="s">
        <v>194</v>
      </c>
      <c r="F349">
        <v>-64</v>
      </c>
      <c r="H349" t="s">
        <v>893</v>
      </c>
      <c r="I349">
        <v>-10</v>
      </c>
      <c r="J349" t="s">
        <v>446</v>
      </c>
      <c r="K349">
        <v>-7</v>
      </c>
      <c r="L349" t="s">
        <v>1233</v>
      </c>
      <c r="M349">
        <v>-6</v>
      </c>
      <c r="O349" t="s">
        <v>1433</v>
      </c>
      <c r="P349">
        <v>-9</v>
      </c>
      <c r="Q349" t="s">
        <v>1585</v>
      </c>
      <c r="R349">
        <v>-5</v>
      </c>
      <c r="S349" t="s">
        <v>210</v>
      </c>
      <c r="T349">
        <v>-43</v>
      </c>
      <c r="U349" t="s">
        <v>1257</v>
      </c>
      <c r="V349">
        <v>-2</v>
      </c>
      <c r="W349" t="s">
        <v>28</v>
      </c>
      <c r="X349">
        <v>-14</v>
      </c>
      <c r="Y349" t="s">
        <v>1333</v>
      </c>
      <c r="Z349">
        <v>-25</v>
      </c>
      <c r="AA349" t="s">
        <v>892</v>
      </c>
      <c r="AB349">
        <v>-2</v>
      </c>
      <c r="AC349" t="s">
        <v>1033</v>
      </c>
      <c r="AD349">
        <v>-1</v>
      </c>
      <c r="AE349" t="s">
        <v>34</v>
      </c>
      <c r="AF349">
        <v>-63</v>
      </c>
      <c r="AG349" t="s">
        <v>439</v>
      </c>
      <c r="AH349">
        <v>-193.04000000000002</v>
      </c>
      <c r="AI349" t="s">
        <v>497</v>
      </c>
      <c r="AJ349">
        <v>-4</v>
      </c>
      <c r="AK349" t="s">
        <v>2078</v>
      </c>
      <c r="AL349">
        <v>-6</v>
      </c>
      <c r="AM349" t="s">
        <v>2213</v>
      </c>
      <c r="AN349">
        <v>-4</v>
      </c>
    </row>
    <row r="350" spans="2:40" x14ac:dyDescent="0.25">
      <c r="B350" t="s">
        <v>332</v>
      </c>
      <c r="C350">
        <v>-24</v>
      </c>
      <c r="E350" t="s">
        <v>220</v>
      </c>
      <c r="F350">
        <v>-14</v>
      </c>
      <c r="H350" t="s">
        <v>894</v>
      </c>
      <c r="I350">
        <v>-8</v>
      </c>
      <c r="J350" t="s">
        <v>683</v>
      </c>
      <c r="K350">
        <v>-3.2827999999999999</v>
      </c>
      <c r="L350" t="s">
        <v>351</v>
      </c>
      <c r="M350">
        <v>-8</v>
      </c>
      <c r="O350" t="s">
        <v>813</v>
      </c>
      <c r="P350">
        <v>-4</v>
      </c>
      <c r="Q350" t="s">
        <v>1586</v>
      </c>
      <c r="R350">
        <v>-100</v>
      </c>
      <c r="S350" t="s">
        <v>211</v>
      </c>
      <c r="T350">
        <v>-48</v>
      </c>
      <c r="U350" t="s">
        <v>141</v>
      </c>
      <c r="V350">
        <v>-9</v>
      </c>
      <c r="W350" t="s">
        <v>29</v>
      </c>
      <c r="X350">
        <v>-16</v>
      </c>
      <c r="Y350" t="s">
        <v>1082</v>
      </c>
      <c r="Z350">
        <v>-20</v>
      </c>
      <c r="AA350" t="s">
        <v>1063</v>
      </c>
      <c r="AB350">
        <v>-2</v>
      </c>
      <c r="AC350" t="s">
        <v>1266</v>
      </c>
      <c r="AD350">
        <v>-1</v>
      </c>
      <c r="AE350" t="s">
        <v>35</v>
      </c>
      <c r="AF350">
        <v>-18</v>
      </c>
      <c r="AG350" t="s">
        <v>549</v>
      </c>
      <c r="AH350">
        <v>-47</v>
      </c>
      <c r="AI350" t="s">
        <v>1019</v>
      </c>
      <c r="AJ350">
        <v>-1</v>
      </c>
      <c r="AK350" t="s">
        <v>324</v>
      </c>
      <c r="AL350">
        <v>-74</v>
      </c>
      <c r="AM350" t="s">
        <v>2281</v>
      </c>
      <c r="AN350">
        <v>-24</v>
      </c>
    </row>
    <row r="351" spans="2:40" x14ac:dyDescent="0.25">
      <c r="B351" t="s">
        <v>269</v>
      </c>
      <c r="C351">
        <v>-21</v>
      </c>
      <c r="E351" t="s">
        <v>79</v>
      </c>
      <c r="F351">
        <v>-300</v>
      </c>
      <c r="H351" t="s">
        <v>372</v>
      </c>
      <c r="I351">
        <v>-11</v>
      </c>
      <c r="J351" t="s">
        <v>684</v>
      </c>
      <c r="K351">
        <v>-2</v>
      </c>
      <c r="L351" t="s">
        <v>230</v>
      </c>
      <c r="M351">
        <v>-8</v>
      </c>
      <c r="O351" t="s">
        <v>1434</v>
      </c>
      <c r="P351">
        <v>-350</v>
      </c>
      <c r="Q351" t="s">
        <v>1587</v>
      </c>
      <c r="R351">
        <v>-1</v>
      </c>
      <c r="S351" t="s">
        <v>212</v>
      </c>
      <c r="T351">
        <v>-2</v>
      </c>
      <c r="U351" t="s">
        <v>874</v>
      </c>
      <c r="V351">
        <v>-8</v>
      </c>
      <c r="W351" t="s">
        <v>64</v>
      </c>
      <c r="X351">
        <v>-7</v>
      </c>
      <c r="Y351" t="s">
        <v>1692</v>
      </c>
      <c r="Z351">
        <v>-60</v>
      </c>
      <c r="AA351" t="s">
        <v>894</v>
      </c>
      <c r="AB351">
        <v>-3</v>
      </c>
      <c r="AC351" t="s">
        <v>879</v>
      </c>
      <c r="AD351">
        <v>-2</v>
      </c>
      <c r="AE351" t="s">
        <v>36</v>
      </c>
      <c r="AF351">
        <v>-36</v>
      </c>
      <c r="AG351" t="s">
        <v>159</v>
      </c>
      <c r="AH351">
        <v>-66</v>
      </c>
      <c r="AI351" t="s">
        <v>1020</v>
      </c>
      <c r="AJ351">
        <v>-5</v>
      </c>
      <c r="AK351" t="s">
        <v>301</v>
      </c>
      <c r="AL351">
        <v>-15</v>
      </c>
      <c r="AM351" t="s">
        <v>360</v>
      </c>
      <c r="AN351">
        <v>-92</v>
      </c>
    </row>
    <row r="352" spans="2:40" x14ac:dyDescent="0.25">
      <c r="B352" t="s">
        <v>284</v>
      </c>
      <c r="C352">
        <v>-16</v>
      </c>
      <c r="E352" t="s">
        <v>383</v>
      </c>
      <c r="F352">
        <v>-144</v>
      </c>
      <c r="H352" t="s">
        <v>232</v>
      </c>
      <c r="I352">
        <v>-12</v>
      </c>
      <c r="J352" t="s">
        <v>685</v>
      </c>
      <c r="K352">
        <v>-8.25</v>
      </c>
      <c r="L352" t="s">
        <v>1234</v>
      </c>
      <c r="M352">
        <v>-6</v>
      </c>
      <c r="O352" t="s">
        <v>1435</v>
      </c>
      <c r="P352">
        <v>-2</v>
      </c>
      <c r="Q352" t="s">
        <v>665</v>
      </c>
      <c r="R352">
        <v>-34</v>
      </c>
      <c r="S352" t="s">
        <v>875</v>
      </c>
      <c r="T352">
        <v>-1</v>
      </c>
      <c r="U352" t="s">
        <v>1260</v>
      </c>
      <c r="V352">
        <v>-12</v>
      </c>
      <c r="W352" t="s">
        <v>1263</v>
      </c>
      <c r="X352">
        <v>-2</v>
      </c>
      <c r="Y352" t="s">
        <v>113</v>
      </c>
      <c r="Z352">
        <v>-57.5</v>
      </c>
      <c r="AA352" t="s">
        <v>372</v>
      </c>
      <c r="AB352">
        <v>-1</v>
      </c>
      <c r="AC352" t="s">
        <v>249</v>
      </c>
      <c r="AD352">
        <v>-33</v>
      </c>
      <c r="AE352" t="s">
        <v>666</v>
      </c>
      <c r="AF352">
        <v>-5</v>
      </c>
      <c r="AG352" t="s">
        <v>1257</v>
      </c>
      <c r="AH352">
        <v>-5</v>
      </c>
      <c r="AI352" t="s">
        <v>1021</v>
      </c>
      <c r="AJ352">
        <v>-1</v>
      </c>
      <c r="AK352" t="s">
        <v>345</v>
      </c>
      <c r="AL352">
        <v>-81.5</v>
      </c>
      <c r="AM352" t="s">
        <v>2282</v>
      </c>
      <c r="AN352">
        <v>-2</v>
      </c>
    </row>
    <row r="353" spans="2:40" x14ac:dyDescent="0.25">
      <c r="B353" t="s">
        <v>285</v>
      </c>
      <c r="C353">
        <v>-21</v>
      </c>
      <c r="E353" t="s">
        <v>619</v>
      </c>
      <c r="F353">
        <v>-1</v>
      </c>
      <c r="H353" t="s">
        <v>78</v>
      </c>
      <c r="I353">
        <v>-16</v>
      </c>
      <c r="J353" t="s">
        <v>686</v>
      </c>
      <c r="K353">
        <v>-13</v>
      </c>
      <c r="L353" t="s">
        <v>1014</v>
      </c>
      <c r="M353">
        <v>-4</v>
      </c>
      <c r="O353" t="s">
        <v>1436</v>
      </c>
      <c r="P353">
        <v>-2</v>
      </c>
      <c r="Q353" t="s">
        <v>332</v>
      </c>
      <c r="R353">
        <v>-100</v>
      </c>
      <c r="S353" t="s">
        <v>876</v>
      </c>
      <c r="T353">
        <v>-2</v>
      </c>
      <c r="U353" t="s">
        <v>286</v>
      </c>
      <c r="V353">
        <v>-36</v>
      </c>
      <c r="W353" t="s">
        <v>674</v>
      </c>
      <c r="X353">
        <v>-40</v>
      </c>
      <c r="Y353" t="s">
        <v>1762</v>
      </c>
      <c r="Z353">
        <v>-1</v>
      </c>
      <c r="AA353" t="s">
        <v>232</v>
      </c>
      <c r="AB353">
        <v>-2</v>
      </c>
      <c r="AC353" t="s">
        <v>250</v>
      </c>
      <c r="AD353">
        <v>-54</v>
      </c>
      <c r="AE353" t="s">
        <v>66</v>
      </c>
      <c r="AF353">
        <v>-18</v>
      </c>
      <c r="AG353" t="s">
        <v>141</v>
      </c>
      <c r="AH353">
        <v>-19</v>
      </c>
      <c r="AI353" t="s">
        <v>1022</v>
      </c>
      <c r="AJ353">
        <v>-1</v>
      </c>
      <c r="AK353" t="s">
        <v>2289</v>
      </c>
      <c r="AL353">
        <v>-1</v>
      </c>
      <c r="AM353" t="s">
        <v>351</v>
      </c>
      <c r="AN353">
        <v>-15</v>
      </c>
    </row>
    <row r="354" spans="2:40" x14ac:dyDescent="0.25">
      <c r="B354" t="s">
        <v>208</v>
      </c>
      <c r="C354">
        <v>-32</v>
      </c>
      <c r="E354" t="s">
        <v>682</v>
      </c>
      <c r="F354">
        <v>-1</v>
      </c>
      <c r="H354" t="s">
        <v>150</v>
      </c>
      <c r="I354">
        <v>-14</v>
      </c>
      <c r="J354" t="s">
        <v>1056</v>
      </c>
      <c r="K354">
        <v>-7</v>
      </c>
      <c r="L354" t="s">
        <v>810</v>
      </c>
      <c r="M354">
        <v>-6</v>
      </c>
      <c r="O354" t="s">
        <v>1437</v>
      </c>
      <c r="P354">
        <v>-4</v>
      </c>
      <c r="Q354" t="s">
        <v>269</v>
      </c>
      <c r="R354">
        <v>-43</v>
      </c>
      <c r="S354" t="s">
        <v>877</v>
      </c>
      <c r="T354">
        <v>-1</v>
      </c>
      <c r="U354" t="s">
        <v>665</v>
      </c>
      <c r="V354">
        <v>-111</v>
      </c>
      <c r="W354" t="s">
        <v>30</v>
      </c>
      <c r="X354">
        <v>-12</v>
      </c>
      <c r="Y354" t="s">
        <v>1863</v>
      </c>
      <c r="Z354">
        <v>-0.5</v>
      </c>
      <c r="AA354" t="s">
        <v>150</v>
      </c>
      <c r="AB354">
        <v>-12</v>
      </c>
      <c r="AC354" t="s">
        <v>743</v>
      </c>
      <c r="AD354">
        <v>-9</v>
      </c>
      <c r="AE354" t="s">
        <v>65</v>
      </c>
      <c r="AF354">
        <v>-58</v>
      </c>
      <c r="AG354" t="s">
        <v>874</v>
      </c>
      <c r="AH354">
        <v>-1</v>
      </c>
      <c r="AI354" t="s">
        <v>1023</v>
      </c>
      <c r="AJ354">
        <v>-1</v>
      </c>
      <c r="AK354" t="s">
        <v>2220</v>
      </c>
      <c r="AL354">
        <v>-46.1</v>
      </c>
      <c r="AM354" t="s">
        <v>230</v>
      </c>
      <c r="AN354">
        <v>-16</v>
      </c>
    </row>
    <row r="355" spans="2:40" x14ac:dyDescent="0.25">
      <c r="B355" t="s">
        <v>209</v>
      </c>
      <c r="C355">
        <v>-88</v>
      </c>
      <c r="E355" t="s">
        <v>447</v>
      </c>
      <c r="F355">
        <v>-3.5499999999999994</v>
      </c>
      <c r="H355" t="s">
        <v>92</v>
      </c>
      <c r="I355">
        <v>-341</v>
      </c>
      <c r="J355" t="s">
        <v>1057</v>
      </c>
      <c r="K355">
        <v>-3</v>
      </c>
      <c r="L355" t="s">
        <v>217</v>
      </c>
      <c r="M355">
        <v>-3</v>
      </c>
      <c r="O355" t="s">
        <v>1438</v>
      </c>
      <c r="P355">
        <v>-4</v>
      </c>
      <c r="Q355" t="s">
        <v>820</v>
      </c>
      <c r="R355">
        <v>-44</v>
      </c>
      <c r="S355" t="s">
        <v>280</v>
      </c>
      <c r="T355">
        <v>-70</v>
      </c>
      <c r="U355" t="s">
        <v>332</v>
      </c>
      <c r="V355">
        <v>-171</v>
      </c>
      <c r="W355" t="s">
        <v>1030</v>
      </c>
      <c r="X355">
        <v>-5</v>
      </c>
      <c r="Y355" t="s">
        <v>1864</v>
      </c>
      <c r="Z355">
        <v>-0.5</v>
      </c>
      <c r="AA355" t="s">
        <v>92</v>
      </c>
      <c r="AB355">
        <v>-82</v>
      </c>
      <c r="AC355" t="s">
        <v>1267</v>
      </c>
      <c r="AD355">
        <v>-2</v>
      </c>
      <c r="AE355" t="s">
        <v>26</v>
      </c>
      <c r="AF355">
        <v>-18</v>
      </c>
      <c r="AG355" t="s">
        <v>1832</v>
      </c>
      <c r="AH355">
        <v>-6</v>
      </c>
      <c r="AI355" t="s">
        <v>366</v>
      </c>
      <c r="AJ355">
        <v>-4</v>
      </c>
      <c r="AK355" t="s">
        <v>2290</v>
      </c>
      <c r="AL355">
        <v>-0.6</v>
      </c>
      <c r="AM355" t="s">
        <v>810</v>
      </c>
      <c r="AN355">
        <v>-7</v>
      </c>
    </row>
    <row r="356" spans="2:40" x14ac:dyDescent="0.25">
      <c r="B356" t="s">
        <v>210</v>
      </c>
      <c r="C356">
        <v>-208</v>
      </c>
      <c r="E356" t="s">
        <v>445</v>
      </c>
      <c r="F356">
        <v>-18.5</v>
      </c>
      <c r="H356" t="s">
        <v>154</v>
      </c>
      <c r="I356">
        <v>-154</v>
      </c>
      <c r="J356" t="s">
        <v>1058</v>
      </c>
      <c r="K356">
        <v>-5</v>
      </c>
      <c r="L356" t="s">
        <v>17</v>
      </c>
      <c r="M356">
        <v>-12</v>
      </c>
      <c r="O356" t="s">
        <v>229</v>
      </c>
      <c r="P356">
        <v>-49</v>
      </c>
      <c r="Q356" t="s">
        <v>1458</v>
      </c>
      <c r="R356">
        <v>-30</v>
      </c>
      <c r="S356" t="s">
        <v>878</v>
      </c>
      <c r="T356">
        <v>-36</v>
      </c>
      <c r="U356" t="s">
        <v>269</v>
      </c>
      <c r="V356">
        <v>-87</v>
      </c>
      <c r="W356" t="s">
        <v>1031</v>
      </c>
      <c r="X356">
        <v>-12</v>
      </c>
      <c r="Y356" t="s">
        <v>711</v>
      </c>
      <c r="Z356">
        <v>-1</v>
      </c>
      <c r="AA356" t="s">
        <v>174</v>
      </c>
      <c r="AB356">
        <v>-12</v>
      </c>
      <c r="AC356" t="s">
        <v>1268</v>
      </c>
      <c r="AD356">
        <v>-2</v>
      </c>
      <c r="AE356" t="s">
        <v>225</v>
      </c>
      <c r="AF356">
        <v>-4</v>
      </c>
      <c r="AG356" t="s">
        <v>1260</v>
      </c>
      <c r="AH356">
        <v>-71</v>
      </c>
      <c r="AI356" t="s">
        <v>365</v>
      </c>
      <c r="AJ356">
        <v>-6</v>
      </c>
      <c r="AK356" t="s">
        <v>754</v>
      </c>
      <c r="AL356">
        <v>-23</v>
      </c>
      <c r="AM356" t="s">
        <v>217</v>
      </c>
      <c r="AN356">
        <v>-8</v>
      </c>
    </row>
    <row r="357" spans="2:40" x14ac:dyDescent="0.25">
      <c r="B357" t="s">
        <v>211</v>
      </c>
      <c r="C357">
        <v>-48</v>
      </c>
      <c r="E357" t="s">
        <v>639</v>
      </c>
      <c r="F357">
        <v>-4.3999999999999995</v>
      </c>
      <c r="H357" t="s">
        <v>477</v>
      </c>
      <c r="I357">
        <v>-18</v>
      </c>
      <c r="J357" t="s">
        <v>1059</v>
      </c>
      <c r="K357">
        <v>-1</v>
      </c>
      <c r="L357" t="s">
        <v>1235</v>
      </c>
      <c r="M357">
        <v>-9</v>
      </c>
      <c r="O357" t="s">
        <v>278</v>
      </c>
      <c r="P357">
        <v>-130</v>
      </c>
      <c r="Q357" t="s">
        <v>284</v>
      </c>
      <c r="R357">
        <v>-16</v>
      </c>
      <c r="S357" t="s">
        <v>32</v>
      </c>
      <c r="T357">
        <v>-106</v>
      </c>
      <c r="U357" t="s">
        <v>820</v>
      </c>
      <c r="V357">
        <v>-42</v>
      </c>
      <c r="W357" t="s">
        <v>205</v>
      </c>
      <c r="X357">
        <v>-4</v>
      </c>
      <c r="Y357" t="s">
        <v>128</v>
      </c>
      <c r="Z357">
        <v>-5</v>
      </c>
      <c r="AA357" t="s">
        <v>154</v>
      </c>
      <c r="AB357">
        <v>-16</v>
      </c>
      <c r="AC357" t="s">
        <v>592</v>
      </c>
      <c r="AD357">
        <v>-3606.17</v>
      </c>
      <c r="AE357" t="s">
        <v>27</v>
      </c>
      <c r="AF357">
        <v>-18</v>
      </c>
      <c r="AG357" t="s">
        <v>286</v>
      </c>
      <c r="AH357">
        <v>-110</v>
      </c>
      <c r="AI357" t="s">
        <v>393</v>
      </c>
      <c r="AJ357">
        <v>-108</v>
      </c>
      <c r="AK357" t="s">
        <v>439</v>
      </c>
      <c r="AL357">
        <v>-67.5</v>
      </c>
      <c r="AM357" t="s">
        <v>811</v>
      </c>
      <c r="AN357">
        <v>-2</v>
      </c>
    </row>
    <row r="358" spans="2:40" x14ac:dyDescent="0.25">
      <c r="B358" t="s">
        <v>212</v>
      </c>
      <c r="C358">
        <v>-36</v>
      </c>
      <c r="E358" t="s">
        <v>446</v>
      </c>
      <c r="F358">
        <v>-22.363</v>
      </c>
      <c r="H358" t="s">
        <v>149</v>
      </c>
      <c r="I358">
        <v>-98</v>
      </c>
      <c r="J358" t="s">
        <v>1060</v>
      </c>
      <c r="K358">
        <v>-2</v>
      </c>
      <c r="L358" t="s">
        <v>329</v>
      </c>
      <c r="M358">
        <v>-4</v>
      </c>
      <c r="O358" t="s">
        <v>760</v>
      </c>
      <c r="P358">
        <v>-3</v>
      </c>
      <c r="Q358" t="s">
        <v>285</v>
      </c>
      <c r="R358">
        <v>-24</v>
      </c>
      <c r="S358" t="s">
        <v>51</v>
      </c>
      <c r="T358">
        <v>-8</v>
      </c>
      <c r="U358" t="s">
        <v>284</v>
      </c>
      <c r="V358">
        <v>-10</v>
      </c>
      <c r="W358" t="s">
        <v>87</v>
      </c>
      <c r="X358">
        <v>-40</v>
      </c>
      <c r="Y358" t="s">
        <v>281</v>
      </c>
      <c r="Z358">
        <v>-12</v>
      </c>
      <c r="AA358" t="s">
        <v>149</v>
      </c>
      <c r="AB358">
        <v>-20</v>
      </c>
      <c r="AC358" t="s">
        <v>1271</v>
      </c>
      <c r="AD358">
        <v>-2</v>
      </c>
      <c r="AE358" t="s">
        <v>28</v>
      </c>
      <c r="AF358">
        <v>-18</v>
      </c>
      <c r="AG358" t="s">
        <v>665</v>
      </c>
      <c r="AH358">
        <v>-102</v>
      </c>
      <c r="AI358" t="s">
        <v>815</v>
      </c>
      <c r="AJ358">
        <v>-6</v>
      </c>
      <c r="AK358" t="s">
        <v>438</v>
      </c>
      <c r="AL358">
        <v>-10</v>
      </c>
      <c r="AM358" t="s">
        <v>2406</v>
      </c>
      <c r="AN358">
        <v>-2</v>
      </c>
    </row>
    <row r="359" spans="2:40" x14ac:dyDescent="0.25">
      <c r="B359" t="s">
        <v>213</v>
      </c>
      <c r="C359">
        <v>-40</v>
      </c>
      <c r="E359" t="s">
        <v>683</v>
      </c>
      <c r="F359">
        <v>-5.299999999999998</v>
      </c>
      <c r="H359" t="s">
        <v>895</v>
      </c>
      <c r="I359">
        <v>-1</v>
      </c>
      <c r="J359" t="s">
        <v>825</v>
      </c>
      <c r="K359">
        <v>-117</v>
      </c>
      <c r="L359" t="s">
        <v>1236</v>
      </c>
      <c r="M359">
        <v>-9</v>
      </c>
      <c r="O359" t="s">
        <v>1238</v>
      </c>
      <c r="P359">
        <v>-10</v>
      </c>
      <c r="Q359" t="s">
        <v>208</v>
      </c>
      <c r="R359">
        <v>-10</v>
      </c>
      <c r="S359" t="s">
        <v>33</v>
      </c>
      <c r="T359">
        <v>-4</v>
      </c>
      <c r="U359" t="s">
        <v>285</v>
      </c>
      <c r="V359">
        <v>-16</v>
      </c>
      <c r="W359" t="s">
        <v>1265</v>
      </c>
      <c r="X359">
        <v>-25</v>
      </c>
      <c r="Y359" t="s">
        <v>1925</v>
      </c>
      <c r="Z359">
        <v>-1</v>
      </c>
      <c r="AA359" t="s">
        <v>1310</v>
      </c>
      <c r="AB359">
        <v>-4</v>
      </c>
      <c r="AC359" t="s">
        <v>129</v>
      </c>
      <c r="AD359">
        <v>-30</v>
      </c>
      <c r="AE359" t="s">
        <v>29</v>
      </c>
      <c r="AF359">
        <v>-18</v>
      </c>
      <c r="AG359" t="s">
        <v>332</v>
      </c>
      <c r="AH359">
        <v>-301</v>
      </c>
      <c r="AI359" t="s">
        <v>100</v>
      </c>
      <c r="AJ359">
        <v>-45</v>
      </c>
      <c r="AK359" t="s">
        <v>549</v>
      </c>
      <c r="AL359">
        <v>-53</v>
      </c>
      <c r="AM359" t="s">
        <v>52</v>
      </c>
      <c r="AN359">
        <v>-2</v>
      </c>
    </row>
    <row r="360" spans="2:40" x14ac:dyDescent="0.25">
      <c r="B360" t="s">
        <v>214</v>
      </c>
      <c r="C360">
        <v>-16</v>
      </c>
      <c r="E360" t="s">
        <v>684</v>
      </c>
      <c r="F360">
        <v>-2.100000000000001</v>
      </c>
      <c r="H360" t="s">
        <v>554</v>
      </c>
      <c r="I360">
        <v>-33</v>
      </c>
      <c r="J360" t="s">
        <v>1061</v>
      </c>
      <c r="K360">
        <v>-3</v>
      </c>
      <c r="L360" t="s">
        <v>1237</v>
      </c>
      <c r="M360">
        <v>-240</v>
      </c>
      <c r="O360" t="s">
        <v>244</v>
      </c>
      <c r="P360">
        <v>-290</v>
      </c>
      <c r="Q360" t="s">
        <v>210</v>
      </c>
      <c r="R360">
        <v>-30</v>
      </c>
      <c r="S360" t="s">
        <v>34</v>
      </c>
      <c r="T360">
        <v>-55</v>
      </c>
      <c r="U360" t="s">
        <v>212</v>
      </c>
      <c r="V360">
        <v>-4</v>
      </c>
      <c r="W360" t="s">
        <v>86</v>
      </c>
      <c r="X360">
        <v>-70</v>
      </c>
      <c r="Y360" t="s">
        <v>290</v>
      </c>
      <c r="Z360">
        <v>-6</v>
      </c>
      <c r="AA360" t="s">
        <v>231</v>
      </c>
      <c r="AB360">
        <v>-28</v>
      </c>
      <c r="AC360" t="s">
        <v>390</v>
      </c>
      <c r="AD360">
        <v>-8</v>
      </c>
      <c r="AE360" t="s">
        <v>64</v>
      </c>
      <c r="AF360">
        <v>-13</v>
      </c>
      <c r="AG360" t="s">
        <v>269</v>
      </c>
      <c r="AH360">
        <v>-79</v>
      </c>
      <c r="AI360" t="s">
        <v>98</v>
      </c>
      <c r="AJ360">
        <v>-31</v>
      </c>
      <c r="AK360" t="s">
        <v>424</v>
      </c>
      <c r="AL360">
        <v>-6</v>
      </c>
      <c r="AM360" t="s">
        <v>2407</v>
      </c>
      <c r="AN360">
        <v>-1</v>
      </c>
    </row>
    <row r="361" spans="2:40" x14ac:dyDescent="0.25">
      <c r="B361" t="s">
        <v>280</v>
      </c>
      <c r="C361">
        <v>-112</v>
      </c>
      <c r="E361" t="s">
        <v>685</v>
      </c>
      <c r="F361">
        <v>-4.200000000000002</v>
      </c>
      <c r="H361" t="s">
        <v>896</v>
      </c>
      <c r="I361">
        <v>-2</v>
      </c>
      <c r="J361" t="s">
        <v>605</v>
      </c>
      <c r="K361">
        <v>-6</v>
      </c>
      <c r="L361" t="s">
        <v>229</v>
      </c>
      <c r="M361">
        <v>-170</v>
      </c>
      <c r="O361" t="s">
        <v>243</v>
      </c>
      <c r="P361">
        <v>-113</v>
      </c>
      <c r="Q361" t="s">
        <v>280</v>
      </c>
      <c r="R361">
        <v>-124</v>
      </c>
      <c r="S361" t="s">
        <v>35</v>
      </c>
      <c r="T361">
        <v>-3</v>
      </c>
      <c r="U361" t="s">
        <v>875</v>
      </c>
      <c r="V361">
        <v>-2</v>
      </c>
      <c r="W361" t="s">
        <v>1032</v>
      </c>
      <c r="X361">
        <v>-5</v>
      </c>
      <c r="Y361" t="s">
        <v>288</v>
      </c>
      <c r="Z361">
        <v>-8</v>
      </c>
      <c r="AA361" t="s">
        <v>24</v>
      </c>
      <c r="AB361">
        <v>-2</v>
      </c>
      <c r="AC361" t="s">
        <v>175</v>
      </c>
      <c r="AD361">
        <v>-4</v>
      </c>
      <c r="AE361" t="s">
        <v>1956</v>
      </c>
      <c r="AF361">
        <v>-7</v>
      </c>
      <c r="AG361" t="s">
        <v>820</v>
      </c>
      <c r="AH361">
        <v>-47</v>
      </c>
      <c r="AI361" t="s">
        <v>322</v>
      </c>
      <c r="AJ361">
        <v>-22</v>
      </c>
      <c r="AK361" t="s">
        <v>159</v>
      </c>
      <c r="AL361">
        <v>-44</v>
      </c>
      <c r="AM361" t="s">
        <v>2408</v>
      </c>
      <c r="AN361">
        <v>-1</v>
      </c>
    </row>
    <row r="362" spans="2:40" x14ac:dyDescent="0.25">
      <c r="B362" t="s">
        <v>32</v>
      </c>
      <c r="C362">
        <v>-19</v>
      </c>
      <c r="E362" t="s">
        <v>686</v>
      </c>
      <c r="F362">
        <v>-7</v>
      </c>
      <c r="H362" t="s">
        <v>897</v>
      </c>
      <c r="I362">
        <v>-8</v>
      </c>
      <c r="J362" t="s">
        <v>893</v>
      </c>
      <c r="K362">
        <v>-8</v>
      </c>
      <c r="L362" t="s">
        <v>278</v>
      </c>
      <c r="M362">
        <v>-90</v>
      </c>
      <c r="O362" t="s">
        <v>1439</v>
      </c>
      <c r="P362">
        <v>-4</v>
      </c>
      <c r="Q362" t="s">
        <v>1588</v>
      </c>
      <c r="R362">
        <v>-4</v>
      </c>
      <c r="S362" t="s">
        <v>36</v>
      </c>
      <c r="T362">
        <v>-3</v>
      </c>
      <c r="U362" t="s">
        <v>876</v>
      </c>
      <c r="V362">
        <v>-4</v>
      </c>
      <c r="W362" t="s">
        <v>1033</v>
      </c>
      <c r="X362">
        <v>-2</v>
      </c>
      <c r="Y362" t="s">
        <v>724</v>
      </c>
      <c r="Z362">
        <v>-1</v>
      </c>
      <c r="AA362" t="s">
        <v>1918</v>
      </c>
      <c r="AB362">
        <v>-1</v>
      </c>
      <c r="AC362" t="s">
        <v>579</v>
      </c>
      <c r="AD362">
        <v>-4</v>
      </c>
      <c r="AE362" t="s">
        <v>2084</v>
      </c>
      <c r="AF362">
        <v>-10</v>
      </c>
      <c r="AG362" t="s">
        <v>284</v>
      </c>
      <c r="AH362">
        <v>-20</v>
      </c>
      <c r="AI362" t="s">
        <v>323</v>
      </c>
      <c r="AJ362">
        <v>-22</v>
      </c>
      <c r="AK362" t="s">
        <v>1257</v>
      </c>
      <c r="AL362">
        <v>-8</v>
      </c>
      <c r="AM362" t="s">
        <v>2409</v>
      </c>
      <c r="AN362">
        <v>-1</v>
      </c>
    </row>
    <row r="363" spans="2:40" x14ac:dyDescent="0.25">
      <c r="B363" t="s">
        <v>51</v>
      </c>
      <c r="C363">
        <v>-120</v>
      </c>
      <c r="E363" t="s">
        <v>687</v>
      </c>
      <c r="F363">
        <v>-8</v>
      </c>
      <c r="H363" t="s">
        <v>231</v>
      </c>
      <c r="I363">
        <v>-36</v>
      </c>
      <c r="J363" t="s">
        <v>1062</v>
      </c>
      <c r="K363">
        <v>-2</v>
      </c>
      <c r="L363" t="s">
        <v>1238</v>
      </c>
      <c r="M363">
        <v>-6</v>
      </c>
      <c r="O363" t="s">
        <v>18</v>
      </c>
      <c r="P363">
        <v>-2</v>
      </c>
      <c r="Q363" t="s">
        <v>1589</v>
      </c>
      <c r="R363">
        <v>-7</v>
      </c>
      <c r="S363" t="s">
        <v>1593</v>
      </c>
      <c r="T363">
        <v>-8</v>
      </c>
      <c r="U363" t="s">
        <v>280</v>
      </c>
      <c r="V363">
        <v>-176</v>
      </c>
      <c r="W363" t="s">
        <v>1266</v>
      </c>
      <c r="X363">
        <v>-5</v>
      </c>
      <c r="Y363" t="s">
        <v>62</v>
      </c>
      <c r="Z363">
        <v>-2</v>
      </c>
      <c r="AA363" t="s">
        <v>1965</v>
      </c>
      <c r="AB363">
        <v>-2</v>
      </c>
      <c r="AC363" t="s">
        <v>654</v>
      </c>
      <c r="AD363">
        <v>-1</v>
      </c>
      <c r="AE363" t="s">
        <v>1264</v>
      </c>
      <c r="AF363">
        <v>-12</v>
      </c>
      <c r="AG363" t="s">
        <v>285</v>
      </c>
      <c r="AH363">
        <v>-29</v>
      </c>
      <c r="AI363" t="s">
        <v>450</v>
      </c>
      <c r="AJ363">
        <v>-241</v>
      </c>
      <c r="AK363" t="s">
        <v>141</v>
      </c>
      <c r="AL363">
        <v>-8</v>
      </c>
      <c r="AM363" t="s">
        <v>2410</v>
      </c>
      <c r="AN363">
        <v>-4</v>
      </c>
    </row>
    <row r="364" spans="2:40" x14ac:dyDescent="0.25">
      <c r="B364" t="s">
        <v>33</v>
      </c>
      <c r="C364">
        <v>-152</v>
      </c>
      <c r="E364" t="s">
        <v>368</v>
      </c>
      <c r="F364">
        <v>-2</v>
      </c>
      <c r="H364" t="s">
        <v>24</v>
      </c>
      <c r="I364">
        <v>-2</v>
      </c>
      <c r="J364" t="s">
        <v>1063</v>
      </c>
      <c r="K364">
        <v>-6</v>
      </c>
      <c r="L364" t="s">
        <v>244</v>
      </c>
      <c r="M364">
        <v>-380</v>
      </c>
      <c r="O364" t="s">
        <v>602</v>
      </c>
      <c r="P364">
        <v>-15</v>
      </c>
      <c r="Q364" t="s">
        <v>33</v>
      </c>
      <c r="R364">
        <v>-22</v>
      </c>
      <c r="S364" t="s">
        <v>66</v>
      </c>
      <c r="T364">
        <v>-42</v>
      </c>
      <c r="U364" t="s">
        <v>32</v>
      </c>
      <c r="V364">
        <v>-27</v>
      </c>
      <c r="W364" t="s">
        <v>879</v>
      </c>
      <c r="X364">
        <v>-6</v>
      </c>
      <c r="Y364" t="s">
        <v>282</v>
      </c>
      <c r="Z364">
        <v>-4</v>
      </c>
      <c r="AA364" t="s">
        <v>1966</v>
      </c>
      <c r="AB364">
        <v>-8</v>
      </c>
      <c r="AC364" t="s">
        <v>136</v>
      </c>
      <c r="AD364">
        <v>-1</v>
      </c>
      <c r="AE364" t="s">
        <v>30</v>
      </c>
      <c r="AF364">
        <v>-19</v>
      </c>
      <c r="AG364" t="s">
        <v>2159</v>
      </c>
      <c r="AH364">
        <v>-87</v>
      </c>
      <c r="AI364" t="s">
        <v>1245</v>
      </c>
      <c r="AJ364">
        <v>-10</v>
      </c>
      <c r="AK364" t="s">
        <v>874</v>
      </c>
      <c r="AL364">
        <v>-1</v>
      </c>
      <c r="AM364" t="s">
        <v>2411</v>
      </c>
      <c r="AN364">
        <v>-2</v>
      </c>
    </row>
    <row r="365" spans="2:40" x14ac:dyDescent="0.25">
      <c r="B365" t="s">
        <v>34</v>
      </c>
      <c r="C365">
        <v>-129</v>
      </c>
      <c r="E365" t="s">
        <v>825</v>
      </c>
      <c r="F365">
        <v>-256</v>
      </c>
      <c r="H365" t="s">
        <v>620</v>
      </c>
      <c r="I365">
        <v>-2</v>
      </c>
      <c r="J365" t="s">
        <v>894</v>
      </c>
      <c r="K365">
        <v>-3</v>
      </c>
      <c r="L365" t="s">
        <v>243</v>
      </c>
      <c r="M365">
        <v>-167</v>
      </c>
      <c r="O365" t="s">
        <v>1239</v>
      </c>
      <c r="P365">
        <v>-33</v>
      </c>
      <c r="Q365" t="s">
        <v>1590</v>
      </c>
      <c r="R365">
        <v>-43</v>
      </c>
      <c r="S365" t="s">
        <v>65</v>
      </c>
      <c r="T365">
        <v>-63</v>
      </c>
      <c r="U365" t="s">
        <v>51</v>
      </c>
      <c r="V365">
        <v>-16</v>
      </c>
      <c r="W365" t="s">
        <v>249</v>
      </c>
      <c r="X365">
        <v>-122</v>
      </c>
      <c r="Y365" t="s">
        <v>1926</v>
      </c>
      <c r="Z365">
        <v>-1</v>
      </c>
      <c r="AA365" t="s">
        <v>1856</v>
      </c>
      <c r="AB365">
        <v>-2</v>
      </c>
      <c r="AC365" t="s">
        <v>152</v>
      </c>
      <c r="AD365">
        <v>-1</v>
      </c>
      <c r="AE365" t="s">
        <v>2085</v>
      </c>
      <c r="AF365">
        <v>-1</v>
      </c>
      <c r="AG365" t="s">
        <v>875</v>
      </c>
      <c r="AH365">
        <v>-1</v>
      </c>
      <c r="AI365" t="s">
        <v>318</v>
      </c>
      <c r="AJ365">
        <v>-8</v>
      </c>
      <c r="AK365" t="s">
        <v>2291</v>
      </c>
      <c r="AL365">
        <v>-2</v>
      </c>
      <c r="AM365" t="s">
        <v>581</v>
      </c>
      <c r="AN365">
        <v>-2</v>
      </c>
    </row>
    <row r="366" spans="2:40" x14ac:dyDescent="0.25">
      <c r="B366" t="s">
        <v>35</v>
      </c>
      <c r="C366">
        <v>-15</v>
      </c>
      <c r="E366" t="s">
        <v>826</v>
      </c>
      <c r="F366">
        <v>-1</v>
      </c>
      <c r="H366" t="s">
        <v>158</v>
      </c>
      <c r="I366">
        <v>-54</v>
      </c>
      <c r="J366" t="s">
        <v>1064</v>
      </c>
      <c r="K366">
        <v>-3</v>
      </c>
      <c r="L366" t="s">
        <v>602</v>
      </c>
      <c r="M366">
        <v>-12</v>
      </c>
      <c r="O366" t="s">
        <v>1440</v>
      </c>
      <c r="P366">
        <v>-20</v>
      </c>
      <c r="Q366" t="s">
        <v>1591</v>
      </c>
      <c r="R366">
        <v>-6</v>
      </c>
      <c r="S366" t="s">
        <v>225</v>
      </c>
      <c r="T366">
        <v>-1</v>
      </c>
      <c r="U366" t="s">
        <v>33</v>
      </c>
      <c r="V366">
        <v>-41</v>
      </c>
      <c r="W366" t="s">
        <v>250</v>
      </c>
      <c r="X366">
        <v>-385</v>
      </c>
      <c r="Y366" t="s">
        <v>77</v>
      </c>
      <c r="Z366">
        <v>-1</v>
      </c>
      <c r="AA366" t="s">
        <v>898</v>
      </c>
      <c r="AB366">
        <v>-4</v>
      </c>
      <c r="AC366" t="s">
        <v>15</v>
      </c>
      <c r="AD366">
        <v>-239</v>
      </c>
      <c r="AE366" t="s">
        <v>2086</v>
      </c>
      <c r="AF366">
        <v>-12</v>
      </c>
      <c r="AG366" t="s">
        <v>876</v>
      </c>
      <c r="AH366">
        <v>-2</v>
      </c>
      <c r="AI366" t="s">
        <v>319</v>
      </c>
      <c r="AJ366">
        <v>-8</v>
      </c>
      <c r="AK366" t="s">
        <v>286</v>
      </c>
      <c r="AL366">
        <v>-5</v>
      </c>
      <c r="AM366" t="s">
        <v>229</v>
      </c>
      <c r="AN366">
        <v>-57.5</v>
      </c>
    </row>
    <row r="367" spans="2:40" x14ac:dyDescent="0.25">
      <c r="B367" t="s">
        <v>36</v>
      </c>
      <c r="C367">
        <v>-71</v>
      </c>
      <c r="E367" t="s">
        <v>326</v>
      </c>
      <c r="F367">
        <v>-15</v>
      </c>
      <c r="H367" t="s">
        <v>831</v>
      </c>
      <c r="I367">
        <v>-13</v>
      </c>
      <c r="J367" t="s">
        <v>150</v>
      </c>
      <c r="K367">
        <v>-14</v>
      </c>
      <c r="L367" t="s">
        <v>1239</v>
      </c>
      <c r="M367">
        <v>-36</v>
      </c>
      <c r="O367" t="s">
        <v>1441</v>
      </c>
      <c r="P367">
        <v>-3</v>
      </c>
      <c r="Q367" t="s">
        <v>1592</v>
      </c>
      <c r="R367">
        <v>-12</v>
      </c>
      <c r="S367" t="s">
        <v>29</v>
      </c>
      <c r="T367">
        <v>-2</v>
      </c>
      <c r="U367" t="s">
        <v>34</v>
      </c>
      <c r="V367">
        <v>-30</v>
      </c>
      <c r="W367" t="s">
        <v>743</v>
      </c>
      <c r="X367">
        <v>-45</v>
      </c>
      <c r="Y367" t="s">
        <v>374</v>
      </c>
      <c r="Z367">
        <v>-7</v>
      </c>
      <c r="AA367" t="s">
        <v>292</v>
      </c>
      <c r="AB367">
        <v>-1</v>
      </c>
      <c r="AC367" t="s">
        <v>394</v>
      </c>
      <c r="AD367">
        <v>-16</v>
      </c>
      <c r="AE367" t="s">
        <v>2087</v>
      </c>
      <c r="AF367">
        <v>-12</v>
      </c>
      <c r="AG367" t="s">
        <v>877</v>
      </c>
      <c r="AH367">
        <v>-1</v>
      </c>
      <c r="AI367" t="s">
        <v>333</v>
      </c>
      <c r="AJ367">
        <v>-9</v>
      </c>
      <c r="AK367" t="s">
        <v>665</v>
      </c>
      <c r="AL367">
        <v>-66</v>
      </c>
      <c r="AM367" t="s">
        <v>278</v>
      </c>
      <c r="AN367">
        <v>-175</v>
      </c>
    </row>
    <row r="368" spans="2:40" x14ac:dyDescent="0.25">
      <c r="B368" t="s">
        <v>666</v>
      </c>
      <c r="C368">
        <v>-1</v>
      </c>
      <c r="E368" t="s">
        <v>827</v>
      </c>
      <c r="F368">
        <v>-1</v>
      </c>
      <c r="H368" t="s">
        <v>130</v>
      </c>
      <c r="I368">
        <v>-2</v>
      </c>
      <c r="J368" t="s">
        <v>92</v>
      </c>
      <c r="K368">
        <v>-85</v>
      </c>
      <c r="L368" t="s">
        <v>107</v>
      </c>
      <c r="M368">
        <v>-4</v>
      </c>
      <c r="O368" t="s">
        <v>1442</v>
      </c>
      <c r="P368">
        <v>-6</v>
      </c>
      <c r="Q368" t="s">
        <v>1593</v>
      </c>
      <c r="R368">
        <v>-22</v>
      </c>
      <c r="S368" t="s">
        <v>1263</v>
      </c>
      <c r="T368">
        <v>-13</v>
      </c>
      <c r="U368" t="s">
        <v>35</v>
      </c>
      <c r="V368">
        <v>-3</v>
      </c>
      <c r="W368" t="s">
        <v>1267</v>
      </c>
      <c r="X368">
        <v>-5</v>
      </c>
      <c r="Y368" t="s">
        <v>63</v>
      </c>
      <c r="Z368">
        <v>-2</v>
      </c>
      <c r="AA368" t="s">
        <v>227</v>
      </c>
      <c r="AB368">
        <v>-4</v>
      </c>
      <c r="AC368" t="s">
        <v>748</v>
      </c>
      <c r="AD368">
        <v>-1</v>
      </c>
      <c r="AE368" t="s">
        <v>2088</v>
      </c>
      <c r="AF368">
        <v>-8</v>
      </c>
      <c r="AG368" t="s">
        <v>280</v>
      </c>
      <c r="AH368">
        <v>-140</v>
      </c>
      <c r="AI368" t="s">
        <v>306</v>
      </c>
      <c r="AJ368">
        <v>-72</v>
      </c>
      <c r="AK368" t="s">
        <v>332</v>
      </c>
      <c r="AL368">
        <v>-128</v>
      </c>
      <c r="AM368" t="s">
        <v>244</v>
      </c>
      <c r="AN368">
        <v>-4320</v>
      </c>
    </row>
    <row r="369" spans="2:40" x14ac:dyDescent="0.25">
      <c r="B369" t="s">
        <v>66</v>
      </c>
      <c r="C369">
        <v>-30</v>
      </c>
      <c r="E369" t="s">
        <v>828</v>
      </c>
      <c r="F369">
        <v>-1</v>
      </c>
      <c r="H369" t="s">
        <v>898</v>
      </c>
      <c r="I369">
        <v>-4</v>
      </c>
      <c r="J369" t="s">
        <v>174</v>
      </c>
      <c r="K369">
        <v>-38</v>
      </c>
      <c r="L369" t="s">
        <v>275</v>
      </c>
      <c r="M369">
        <v>-18</v>
      </c>
      <c r="O369" t="s">
        <v>871</v>
      </c>
      <c r="P369">
        <v>-15</v>
      </c>
      <c r="Q369" t="s">
        <v>1594</v>
      </c>
      <c r="R369">
        <v>-42</v>
      </c>
      <c r="S369" t="s">
        <v>674</v>
      </c>
      <c r="T369">
        <v>-30</v>
      </c>
      <c r="U369" t="s">
        <v>36</v>
      </c>
      <c r="V369">
        <v>-39</v>
      </c>
      <c r="W369" t="s">
        <v>1268</v>
      </c>
      <c r="X369">
        <v>-5</v>
      </c>
      <c r="Y369" t="s">
        <v>195</v>
      </c>
      <c r="Z369">
        <v>-4</v>
      </c>
      <c r="AA369" t="s">
        <v>388</v>
      </c>
      <c r="AB369">
        <v>-8</v>
      </c>
      <c r="AC369" t="s">
        <v>1474</v>
      </c>
      <c r="AD369">
        <v>-1</v>
      </c>
      <c r="AE369" t="s">
        <v>2089</v>
      </c>
      <c r="AF369">
        <v>-14</v>
      </c>
      <c r="AG369" t="s">
        <v>1467</v>
      </c>
      <c r="AH369">
        <v>-1</v>
      </c>
      <c r="AI369" t="s">
        <v>320</v>
      </c>
      <c r="AJ369">
        <v>-8</v>
      </c>
      <c r="AK369" t="s">
        <v>269</v>
      </c>
      <c r="AL369">
        <v>-44</v>
      </c>
      <c r="AM369" t="s">
        <v>243</v>
      </c>
      <c r="AN369">
        <v>-240</v>
      </c>
    </row>
    <row r="370" spans="2:40" x14ac:dyDescent="0.25">
      <c r="B370" t="s">
        <v>65</v>
      </c>
      <c r="C370">
        <v>-30</v>
      </c>
      <c r="E370" t="s">
        <v>829</v>
      </c>
      <c r="F370">
        <v>-50</v>
      </c>
      <c r="H370" t="s">
        <v>675</v>
      </c>
      <c r="I370">
        <v>-20</v>
      </c>
      <c r="J370" t="s">
        <v>477</v>
      </c>
      <c r="K370">
        <v>-6</v>
      </c>
      <c r="L370" t="s">
        <v>422</v>
      </c>
      <c r="M370">
        <v>-4</v>
      </c>
      <c r="O370" t="s">
        <v>59</v>
      </c>
      <c r="P370">
        <v>-18</v>
      </c>
      <c r="Q370" t="s">
        <v>1595</v>
      </c>
      <c r="R370">
        <v>-15</v>
      </c>
      <c r="S370" t="s">
        <v>1030</v>
      </c>
      <c r="T370">
        <v>-14</v>
      </c>
      <c r="U370" t="s">
        <v>666</v>
      </c>
      <c r="V370">
        <v>-6</v>
      </c>
      <c r="W370" t="s">
        <v>279</v>
      </c>
      <c r="X370">
        <v>-1</v>
      </c>
      <c r="Y370" t="s">
        <v>1927</v>
      </c>
      <c r="Z370">
        <v>-2</v>
      </c>
      <c r="AA370" t="s">
        <v>1691</v>
      </c>
      <c r="AB370">
        <v>-1</v>
      </c>
      <c r="AC370" t="s">
        <v>823</v>
      </c>
      <c r="AD370">
        <v>-2</v>
      </c>
      <c r="AE370" t="s">
        <v>2090</v>
      </c>
      <c r="AF370">
        <v>-19</v>
      </c>
      <c r="AG370" t="s">
        <v>878</v>
      </c>
      <c r="AH370">
        <v>-40</v>
      </c>
      <c r="AI370" t="s">
        <v>317</v>
      </c>
      <c r="AJ370">
        <v>-23</v>
      </c>
      <c r="AK370" t="s">
        <v>820</v>
      </c>
      <c r="AL370">
        <v>-29</v>
      </c>
      <c r="AM370" t="s">
        <v>2412</v>
      </c>
      <c r="AN370">
        <v>-200</v>
      </c>
    </row>
    <row r="371" spans="2:40" x14ac:dyDescent="0.25">
      <c r="B371" t="s">
        <v>26</v>
      </c>
      <c r="C371">
        <v>-45</v>
      </c>
      <c r="E371" t="s">
        <v>605</v>
      </c>
      <c r="F371">
        <v>-18</v>
      </c>
      <c r="H371" t="s">
        <v>292</v>
      </c>
      <c r="I371">
        <v>-6</v>
      </c>
      <c r="J371" t="s">
        <v>149</v>
      </c>
      <c r="K371">
        <v>-50</v>
      </c>
      <c r="L371" t="s">
        <v>1240</v>
      </c>
      <c r="M371">
        <v>-160</v>
      </c>
      <c r="O371" t="s">
        <v>1443</v>
      </c>
      <c r="P371">
        <v>-6</v>
      </c>
      <c r="Q371" t="s">
        <v>1596</v>
      </c>
      <c r="R371">
        <v>-19</v>
      </c>
      <c r="S371" t="s">
        <v>1031</v>
      </c>
      <c r="T371">
        <v>-28</v>
      </c>
      <c r="U371" t="s">
        <v>66</v>
      </c>
      <c r="V371">
        <v>-6</v>
      </c>
      <c r="W371" t="s">
        <v>592</v>
      </c>
      <c r="X371">
        <v>-2450</v>
      </c>
      <c r="Y371" t="s">
        <v>1928</v>
      </c>
      <c r="Z371">
        <v>-1</v>
      </c>
      <c r="AA371" t="s">
        <v>717</v>
      </c>
      <c r="AB371">
        <v>-1</v>
      </c>
      <c r="AC371" t="s">
        <v>242</v>
      </c>
      <c r="AD371">
        <v>-4.5</v>
      </c>
      <c r="AE371" t="s">
        <v>2091</v>
      </c>
      <c r="AF371">
        <v>-14</v>
      </c>
      <c r="AG371" t="s">
        <v>32</v>
      </c>
      <c r="AH371">
        <v>-95</v>
      </c>
      <c r="AI371" t="s">
        <v>307</v>
      </c>
      <c r="AJ371">
        <v>-237</v>
      </c>
      <c r="AK371" t="s">
        <v>284</v>
      </c>
      <c r="AL371">
        <v>-12</v>
      </c>
      <c r="AM371" t="s">
        <v>2413</v>
      </c>
      <c r="AN371">
        <v>-9</v>
      </c>
    </row>
    <row r="372" spans="2:40" x14ac:dyDescent="0.25">
      <c r="B372" t="s">
        <v>225</v>
      </c>
      <c r="C372">
        <v>-8</v>
      </c>
      <c r="E372" t="s">
        <v>232</v>
      </c>
      <c r="F372">
        <v>-16</v>
      </c>
      <c r="H372" t="s">
        <v>227</v>
      </c>
      <c r="I372">
        <v>-136</v>
      </c>
      <c r="J372" t="s">
        <v>1065</v>
      </c>
      <c r="K372">
        <v>-39</v>
      </c>
      <c r="L372" t="s">
        <v>1241</v>
      </c>
      <c r="M372">
        <v>-80</v>
      </c>
      <c r="O372" t="s">
        <v>1240</v>
      </c>
      <c r="P372">
        <v>-350</v>
      </c>
      <c r="Q372" t="s">
        <v>1597</v>
      </c>
      <c r="R372">
        <v>-43</v>
      </c>
      <c r="S372" t="s">
        <v>205</v>
      </c>
      <c r="T372">
        <v>-44</v>
      </c>
      <c r="U372" t="s">
        <v>1262</v>
      </c>
      <c r="V372">
        <v>-3</v>
      </c>
      <c r="W372" t="s">
        <v>1838</v>
      </c>
      <c r="X372">
        <v>-2</v>
      </c>
      <c r="Y372" t="s">
        <v>727</v>
      </c>
      <c r="Z372">
        <v>-3</v>
      </c>
      <c r="AA372" t="s">
        <v>76</v>
      </c>
      <c r="AB372">
        <v>-6</v>
      </c>
      <c r="AC372" t="s">
        <v>2008</v>
      </c>
      <c r="AD372">
        <v>-4</v>
      </c>
      <c r="AE372" t="s">
        <v>249</v>
      </c>
      <c r="AF372">
        <v>-48</v>
      </c>
      <c r="AG372" t="s">
        <v>51</v>
      </c>
      <c r="AH372">
        <v>-12</v>
      </c>
      <c r="AI372" t="s">
        <v>115</v>
      </c>
      <c r="AJ372">
        <v>-227</v>
      </c>
      <c r="AK372" t="s">
        <v>285</v>
      </c>
      <c r="AL372">
        <v>-18</v>
      </c>
      <c r="AM372" t="s">
        <v>1582</v>
      </c>
      <c r="AN372">
        <v>-9</v>
      </c>
    </row>
    <row r="373" spans="2:40" x14ac:dyDescent="0.25">
      <c r="B373" t="s">
        <v>27</v>
      </c>
      <c r="C373">
        <v>-58</v>
      </c>
      <c r="E373" t="s">
        <v>830</v>
      </c>
      <c r="F373">
        <v>-2</v>
      </c>
      <c r="H373" t="s">
        <v>388</v>
      </c>
      <c r="I373">
        <v>-16</v>
      </c>
      <c r="J373" t="s">
        <v>897</v>
      </c>
      <c r="K373">
        <v>-3</v>
      </c>
      <c r="L373" t="s">
        <v>872</v>
      </c>
      <c r="M373">
        <v>-12</v>
      </c>
      <c r="O373" t="s">
        <v>1444</v>
      </c>
      <c r="P373">
        <v>-20</v>
      </c>
      <c r="Q373" t="s">
        <v>1468</v>
      </c>
      <c r="R373">
        <v>-2</v>
      </c>
      <c r="S373" t="s">
        <v>87</v>
      </c>
      <c r="T373">
        <v>-97</v>
      </c>
      <c r="U373" t="s">
        <v>65</v>
      </c>
      <c r="V373">
        <v>-30</v>
      </c>
      <c r="W373" t="s">
        <v>1839</v>
      </c>
      <c r="X373">
        <v>-2</v>
      </c>
      <c r="Y373" t="s">
        <v>1929</v>
      </c>
      <c r="Z373">
        <v>-400</v>
      </c>
      <c r="AA373" t="s">
        <v>131</v>
      </c>
      <c r="AB373">
        <v>-3</v>
      </c>
      <c r="AC373" t="s">
        <v>645</v>
      </c>
      <c r="AD373">
        <v>-0.99</v>
      </c>
      <c r="AE373" t="s">
        <v>250</v>
      </c>
      <c r="AF373">
        <v>-184</v>
      </c>
      <c r="AG373" t="s">
        <v>33</v>
      </c>
      <c r="AH373">
        <v>-34</v>
      </c>
      <c r="AI373" t="s">
        <v>99</v>
      </c>
      <c r="AJ373">
        <v>-24</v>
      </c>
      <c r="AK373" t="s">
        <v>2292</v>
      </c>
      <c r="AL373">
        <v>-9</v>
      </c>
      <c r="AM373" t="s">
        <v>602</v>
      </c>
      <c r="AN373">
        <v>-29</v>
      </c>
    </row>
    <row r="374" spans="2:40" x14ac:dyDescent="0.25">
      <c r="B374" t="s">
        <v>28</v>
      </c>
      <c r="C374">
        <v>-44</v>
      </c>
      <c r="E374" t="s">
        <v>150</v>
      </c>
      <c r="F374">
        <v>-40</v>
      </c>
      <c r="H374" t="s">
        <v>247</v>
      </c>
      <c r="I374">
        <v>-15</v>
      </c>
      <c r="J374" t="s">
        <v>231</v>
      </c>
      <c r="K374">
        <v>-32</v>
      </c>
      <c r="L374" t="s">
        <v>138</v>
      </c>
      <c r="M374">
        <v>-6</v>
      </c>
      <c r="O374" t="s">
        <v>302</v>
      </c>
      <c r="P374">
        <v>-3</v>
      </c>
      <c r="Q374" t="s">
        <v>1598</v>
      </c>
      <c r="R374">
        <v>-26</v>
      </c>
      <c r="S374" t="s">
        <v>1265</v>
      </c>
      <c r="T374">
        <v>-49</v>
      </c>
      <c r="U374" t="s">
        <v>26</v>
      </c>
      <c r="V374">
        <v>-21</v>
      </c>
      <c r="W374" t="s">
        <v>1271</v>
      </c>
      <c r="X374">
        <v>-5</v>
      </c>
      <c r="Y374" t="s">
        <v>355</v>
      </c>
      <c r="Z374">
        <v>-3100</v>
      </c>
      <c r="AA374" t="s">
        <v>1967</v>
      </c>
      <c r="AB374">
        <v>-1</v>
      </c>
      <c r="AC374" t="s">
        <v>56</v>
      </c>
      <c r="AD374">
        <v>-15</v>
      </c>
      <c r="AE374" t="s">
        <v>1267</v>
      </c>
      <c r="AF374">
        <v>-6</v>
      </c>
      <c r="AG374" t="s">
        <v>34</v>
      </c>
      <c r="AH374">
        <v>-26</v>
      </c>
      <c r="AI374" t="s">
        <v>400</v>
      </c>
      <c r="AJ374">
        <v>-11</v>
      </c>
      <c r="AK374" t="s">
        <v>210</v>
      </c>
      <c r="AL374">
        <v>-15</v>
      </c>
      <c r="AM374" t="s">
        <v>2414</v>
      </c>
      <c r="AN374">
        <v>-2</v>
      </c>
    </row>
    <row r="375" spans="2:40" x14ac:dyDescent="0.25">
      <c r="B375" t="s">
        <v>29</v>
      </c>
      <c r="C375">
        <v>-57</v>
      </c>
      <c r="E375" t="s">
        <v>92</v>
      </c>
      <c r="F375">
        <v>-495</v>
      </c>
      <c r="H375" t="s">
        <v>476</v>
      </c>
      <c r="I375">
        <v>-1</v>
      </c>
      <c r="J375" t="s">
        <v>1066</v>
      </c>
      <c r="K375">
        <v>-6</v>
      </c>
      <c r="L375" t="s">
        <v>1242</v>
      </c>
      <c r="M375">
        <v>-30</v>
      </c>
      <c r="O375" t="s">
        <v>327</v>
      </c>
      <c r="P375">
        <v>-4</v>
      </c>
      <c r="Q375" t="s">
        <v>1599</v>
      </c>
      <c r="R375">
        <v>-2</v>
      </c>
      <c r="S375" t="s">
        <v>86</v>
      </c>
      <c r="T375">
        <v>-118</v>
      </c>
      <c r="U375" t="s">
        <v>225</v>
      </c>
      <c r="V375">
        <v>-2</v>
      </c>
      <c r="W375" t="s">
        <v>129</v>
      </c>
      <c r="X375">
        <v>-48</v>
      </c>
      <c r="Y375" t="s">
        <v>681</v>
      </c>
      <c r="Z375">
        <v>-72</v>
      </c>
      <c r="AA375" t="s">
        <v>291</v>
      </c>
      <c r="AB375">
        <v>-1</v>
      </c>
      <c r="AC375" t="s">
        <v>57</v>
      </c>
      <c r="AD375">
        <v>-16</v>
      </c>
      <c r="AE375" t="s">
        <v>1268</v>
      </c>
      <c r="AF375">
        <v>-6</v>
      </c>
      <c r="AG375" t="s">
        <v>35</v>
      </c>
      <c r="AH375">
        <v>-36</v>
      </c>
      <c r="AI375" t="s">
        <v>2219</v>
      </c>
      <c r="AJ375">
        <v>-16</v>
      </c>
      <c r="AK375" t="s">
        <v>280</v>
      </c>
      <c r="AL375">
        <v>-84</v>
      </c>
      <c r="AM375" t="s">
        <v>107</v>
      </c>
      <c r="AN375">
        <v>-6</v>
      </c>
    </row>
    <row r="376" spans="2:40" x14ac:dyDescent="0.25">
      <c r="B376" t="s">
        <v>64</v>
      </c>
      <c r="C376">
        <v>-13</v>
      </c>
      <c r="E376" t="s">
        <v>154</v>
      </c>
      <c r="F376">
        <v>-160</v>
      </c>
      <c r="H376" t="s">
        <v>717</v>
      </c>
      <c r="I376">
        <v>-28</v>
      </c>
      <c r="J376" t="s">
        <v>24</v>
      </c>
      <c r="K376">
        <v>-2</v>
      </c>
      <c r="L376" t="s">
        <v>745</v>
      </c>
      <c r="M376">
        <v>-37</v>
      </c>
      <c r="O376" t="s">
        <v>138</v>
      </c>
      <c r="P376">
        <v>-8</v>
      </c>
      <c r="Q376" t="s">
        <v>1600</v>
      </c>
      <c r="R376">
        <v>-30</v>
      </c>
      <c r="S376" t="s">
        <v>1032</v>
      </c>
      <c r="T376">
        <v>-31</v>
      </c>
      <c r="U376" t="s">
        <v>27</v>
      </c>
      <c r="V376">
        <v>-12</v>
      </c>
      <c r="W376" t="s">
        <v>390</v>
      </c>
      <c r="X376">
        <v>-18</v>
      </c>
      <c r="Y376" t="s">
        <v>733</v>
      </c>
      <c r="Z376">
        <v>-96</v>
      </c>
      <c r="AA376" t="s">
        <v>1074</v>
      </c>
      <c r="AB376">
        <v>-3</v>
      </c>
      <c r="AC376" t="s">
        <v>58</v>
      </c>
      <c r="AD376">
        <v>-23</v>
      </c>
      <c r="AE376" t="s">
        <v>592</v>
      </c>
      <c r="AF376">
        <v>-3335</v>
      </c>
      <c r="AG376" t="s">
        <v>36</v>
      </c>
      <c r="AH376">
        <v>-3</v>
      </c>
      <c r="AI376" t="s">
        <v>1250</v>
      </c>
      <c r="AJ376">
        <v>-2</v>
      </c>
      <c r="AK376" t="s">
        <v>878</v>
      </c>
      <c r="AL376">
        <v>-20</v>
      </c>
      <c r="AM376" t="s">
        <v>2415</v>
      </c>
      <c r="AN376">
        <v>-20</v>
      </c>
    </row>
    <row r="377" spans="2:40" x14ac:dyDescent="0.25">
      <c r="B377" t="s">
        <v>25</v>
      </c>
      <c r="C377">
        <v>-48</v>
      </c>
      <c r="E377" t="s">
        <v>477</v>
      </c>
      <c r="F377">
        <v>-4</v>
      </c>
      <c r="H377" t="s">
        <v>76</v>
      </c>
      <c r="I377">
        <v>-16</v>
      </c>
      <c r="J377" t="s">
        <v>130</v>
      </c>
      <c r="K377">
        <v>-2</v>
      </c>
      <c r="L377" t="s">
        <v>780</v>
      </c>
      <c r="M377">
        <v>-3</v>
      </c>
      <c r="O377" t="s">
        <v>473</v>
      </c>
      <c r="P377">
        <v>-7</v>
      </c>
      <c r="Q377" t="s">
        <v>1601</v>
      </c>
      <c r="R377">
        <v>-8</v>
      </c>
      <c r="S377" t="s">
        <v>1033</v>
      </c>
      <c r="T377">
        <v>-17</v>
      </c>
      <c r="U377" t="s">
        <v>28</v>
      </c>
      <c r="V377">
        <v>-5</v>
      </c>
      <c r="W377" t="s">
        <v>175</v>
      </c>
      <c r="X377">
        <v>-11</v>
      </c>
      <c r="Y377" t="s">
        <v>341</v>
      </c>
      <c r="Z377">
        <v>-65.12</v>
      </c>
      <c r="AA377" t="s">
        <v>1075</v>
      </c>
      <c r="AB377">
        <v>-1</v>
      </c>
      <c r="AC377" t="s">
        <v>216</v>
      </c>
      <c r="AD377">
        <v>-4</v>
      </c>
      <c r="AE377" t="s">
        <v>1271</v>
      </c>
      <c r="AF377">
        <v>-6</v>
      </c>
      <c r="AG377" t="s">
        <v>666</v>
      </c>
      <c r="AH377">
        <v>-2</v>
      </c>
      <c r="AI377" t="s">
        <v>2077</v>
      </c>
      <c r="AJ377">
        <v>-1</v>
      </c>
      <c r="AK377" t="s">
        <v>32</v>
      </c>
      <c r="AL377">
        <v>-76</v>
      </c>
      <c r="AM377" t="s">
        <v>465</v>
      </c>
      <c r="AN377">
        <v>-12</v>
      </c>
    </row>
    <row r="378" spans="2:40" x14ac:dyDescent="0.25">
      <c r="B378" t="s">
        <v>30</v>
      </c>
      <c r="C378">
        <v>-42</v>
      </c>
      <c r="E378" t="s">
        <v>149</v>
      </c>
      <c r="F378">
        <v>-152</v>
      </c>
      <c r="H378" t="s">
        <v>291</v>
      </c>
      <c r="I378">
        <v>-4</v>
      </c>
      <c r="J378" t="s">
        <v>898</v>
      </c>
      <c r="K378">
        <v>-1</v>
      </c>
      <c r="L378" t="s">
        <v>1018</v>
      </c>
      <c r="M378">
        <v>-4</v>
      </c>
      <c r="O378" t="s">
        <v>1242</v>
      </c>
      <c r="P378">
        <v>-20</v>
      </c>
      <c r="Q378" t="s">
        <v>1263</v>
      </c>
      <c r="R378">
        <v>-5</v>
      </c>
      <c r="S378" t="s">
        <v>1266</v>
      </c>
      <c r="T378">
        <v>-13</v>
      </c>
      <c r="U378" t="s">
        <v>29</v>
      </c>
      <c r="V378">
        <v>-8</v>
      </c>
      <c r="W378" t="s">
        <v>177</v>
      </c>
      <c r="X378">
        <v>-4</v>
      </c>
      <c r="Y378" t="s">
        <v>443</v>
      </c>
      <c r="Z378">
        <v>-9.5300000000000011</v>
      </c>
      <c r="AA378" t="s">
        <v>254</v>
      </c>
      <c r="AB378">
        <v>-1</v>
      </c>
      <c r="AC378" t="s">
        <v>673</v>
      </c>
      <c r="AD378">
        <v>-7</v>
      </c>
      <c r="AE378" t="s">
        <v>129</v>
      </c>
      <c r="AF378">
        <v>-93</v>
      </c>
      <c r="AG378" t="s">
        <v>1262</v>
      </c>
      <c r="AH378">
        <v>-15</v>
      </c>
      <c r="AI378" t="s">
        <v>1827</v>
      </c>
      <c r="AJ378">
        <v>-1</v>
      </c>
      <c r="AK378" t="s">
        <v>51</v>
      </c>
      <c r="AL378">
        <v>-60</v>
      </c>
      <c r="AM378" t="s">
        <v>2416</v>
      </c>
      <c r="AN378">
        <v>-2</v>
      </c>
    </row>
    <row r="379" spans="2:40" x14ac:dyDescent="0.25">
      <c r="B379" t="s">
        <v>31</v>
      </c>
      <c r="C379">
        <v>-14</v>
      </c>
      <c r="E379" t="s">
        <v>554</v>
      </c>
      <c r="F379">
        <v>-39</v>
      </c>
      <c r="H379" t="s">
        <v>455</v>
      </c>
      <c r="I379">
        <v>-9</v>
      </c>
      <c r="J379" t="s">
        <v>1067</v>
      </c>
      <c r="K379">
        <v>-3</v>
      </c>
      <c r="L379" t="s">
        <v>1019</v>
      </c>
      <c r="M379">
        <v>-4</v>
      </c>
      <c r="O379" t="s">
        <v>173</v>
      </c>
      <c r="P379">
        <v>-4</v>
      </c>
      <c r="Q379" t="s">
        <v>1602</v>
      </c>
      <c r="R379">
        <v>-4</v>
      </c>
      <c r="S379" t="s">
        <v>879</v>
      </c>
      <c r="T379">
        <v>-2</v>
      </c>
      <c r="U379" t="s">
        <v>64</v>
      </c>
      <c r="V379">
        <v>-3</v>
      </c>
      <c r="W379" t="s">
        <v>654</v>
      </c>
      <c r="X379">
        <v>-2</v>
      </c>
      <c r="Y379" t="s">
        <v>442</v>
      </c>
      <c r="Z379">
        <v>-9.5300000000000011</v>
      </c>
      <c r="AA379" t="s">
        <v>46</v>
      </c>
      <c r="AB379">
        <v>-3</v>
      </c>
      <c r="AC379" t="s">
        <v>2009</v>
      </c>
      <c r="AD379">
        <v>-26</v>
      </c>
      <c r="AE379" t="s">
        <v>390</v>
      </c>
      <c r="AF379">
        <v>-24</v>
      </c>
      <c r="AG379" t="s">
        <v>65</v>
      </c>
      <c r="AH379">
        <v>-65</v>
      </c>
      <c r="AI379" t="s">
        <v>324</v>
      </c>
      <c r="AJ379">
        <v>-40</v>
      </c>
      <c r="AK379" t="s">
        <v>33</v>
      </c>
      <c r="AL379">
        <v>-50</v>
      </c>
      <c r="AM379" t="s">
        <v>2417</v>
      </c>
      <c r="AN379">
        <v>-8</v>
      </c>
    </row>
    <row r="380" spans="2:40" x14ac:dyDescent="0.25">
      <c r="B380" t="s">
        <v>205</v>
      </c>
      <c r="C380">
        <v>-16</v>
      </c>
      <c r="E380" t="s">
        <v>339</v>
      </c>
      <c r="F380">
        <v>-2</v>
      </c>
      <c r="H380" t="s">
        <v>254</v>
      </c>
      <c r="I380">
        <v>-14</v>
      </c>
      <c r="J380" t="s">
        <v>761</v>
      </c>
      <c r="K380">
        <v>-3</v>
      </c>
      <c r="L380" t="s">
        <v>1020</v>
      </c>
      <c r="M380">
        <v>-8</v>
      </c>
      <c r="O380" t="s">
        <v>1445</v>
      </c>
      <c r="P380">
        <v>-2</v>
      </c>
      <c r="Q380" t="s">
        <v>674</v>
      </c>
      <c r="R380">
        <v>-30</v>
      </c>
      <c r="S380" t="s">
        <v>249</v>
      </c>
      <c r="T380">
        <v>-115</v>
      </c>
      <c r="U380" t="s">
        <v>1745</v>
      </c>
      <c r="V380">
        <v>-15</v>
      </c>
      <c r="W380" t="s">
        <v>1840</v>
      </c>
      <c r="X380">
        <v>-2</v>
      </c>
      <c r="Y380" t="s">
        <v>1694</v>
      </c>
      <c r="Z380">
        <v>-9.5300000000000011</v>
      </c>
      <c r="AA380" t="s">
        <v>137</v>
      </c>
      <c r="AB380">
        <v>-1</v>
      </c>
      <c r="AC380" t="s">
        <v>201</v>
      </c>
      <c r="AD380">
        <v>-2</v>
      </c>
      <c r="AE380" t="s">
        <v>175</v>
      </c>
      <c r="AF380">
        <v>-18</v>
      </c>
      <c r="AG380" t="s">
        <v>225</v>
      </c>
      <c r="AH380">
        <v>-3</v>
      </c>
      <c r="AI380" t="s">
        <v>301</v>
      </c>
      <c r="AJ380">
        <v>-16</v>
      </c>
      <c r="AK380" t="s">
        <v>34</v>
      </c>
      <c r="AL380">
        <v>-74</v>
      </c>
      <c r="AM380" t="s">
        <v>2418</v>
      </c>
      <c r="AN380">
        <v>-8</v>
      </c>
    </row>
    <row r="381" spans="2:40" x14ac:dyDescent="0.25">
      <c r="B381" t="s">
        <v>249</v>
      </c>
      <c r="C381">
        <v>-144</v>
      </c>
      <c r="E381" t="s">
        <v>231</v>
      </c>
      <c r="F381">
        <v>-278</v>
      </c>
      <c r="H381" t="s">
        <v>900</v>
      </c>
      <c r="I381">
        <v>-2</v>
      </c>
      <c r="J381" t="s">
        <v>1068</v>
      </c>
      <c r="K381">
        <v>-6</v>
      </c>
      <c r="L381" t="s">
        <v>1021</v>
      </c>
      <c r="M381">
        <v>-4</v>
      </c>
      <c r="O381" t="s">
        <v>745</v>
      </c>
      <c r="P381">
        <v>-24</v>
      </c>
      <c r="Q381" t="s">
        <v>1603</v>
      </c>
      <c r="R381">
        <v>-4</v>
      </c>
      <c r="S381" t="s">
        <v>250</v>
      </c>
      <c r="T381">
        <v>-228</v>
      </c>
      <c r="U381" t="s">
        <v>1746</v>
      </c>
      <c r="V381">
        <v>-11</v>
      </c>
      <c r="W381" t="s">
        <v>1841</v>
      </c>
      <c r="X381">
        <v>-2</v>
      </c>
      <c r="Y381" t="s">
        <v>1930</v>
      </c>
      <c r="Z381">
        <v>-1</v>
      </c>
      <c r="AA381" t="s">
        <v>340</v>
      </c>
      <c r="AB381">
        <v>-24</v>
      </c>
      <c r="AC381" t="s">
        <v>148</v>
      </c>
      <c r="AD381">
        <v>-53</v>
      </c>
      <c r="AE381" t="s">
        <v>579</v>
      </c>
      <c r="AF381">
        <v>-13</v>
      </c>
      <c r="AG381" t="s">
        <v>27</v>
      </c>
      <c r="AH381">
        <v>-32</v>
      </c>
      <c r="AI381" t="s">
        <v>345</v>
      </c>
      <c r="AJ381">
        <v>-28.04999999999999</v>
      </c>
      <c r="AK381" t="s">
        <v>35</v>
      </c>
      <c r="AL381">
        <v>-19</v>
      </c>
      <c r="AM381" t="s">
        <v>275</v>
      </c>
      <c r="AN381">
        <v>-21</v>
      </c>
    </row>
    <row r="382" spans="2:40" x14ac:dyDescent="0.25">
      <c r="B382" t="s">
        <v>250</v>
      </c>
      <c r="C382">
        <v>-296</v>
      </c>
      <c r="E382" t="s">
        <v>158</v>
      </c>
      <c r="F382">
        <v>-115</v>
      </c>
      <c r="H382" t="s">
        <v>256</v>
      </c>
      <c r="I382">
        <v>-12</v>
      </c>
      <c r="J382" t="s">
        <v>648</v>
      </c>
      <c r="K382">
        <v>-3</v>
      </c>
      <c r="L382" t="s">
        <v>1022</v>
      </c>
      <c r="M382">
        <v>-3</v>
      </c>
      <c r="O382" t="s">
        <v>780</v>
      </c>
      <c r="P382">
        <v>-6</v>
      </c>
      <c r="Q382" t="s">
        <v>1604</v>
      </c>
      <c r="R382">
        <v>-38</v>
      </c>
      <c r="S382" t="s">
        <v>743</v>
      </c>
      <c r="T382">
        <v>-11</v>
      </c>
      <c r="U382" t="s">
        <v>30</v>
      </c>
      <c r="V382">
        <v>-33</v>
      </c>
      <c r="W382" t="s">
        <v>152</v>
      </c>
      <c r="X382">
        <v>-1</v>
      </c>
      <c r="Y382" t="s">
        <v>739</v>
      </c>
      <c r="Z382">
        <v>-1</v>
      </c>
      <c r="AA382" t="s">
        <v>113</v>
      </c>
      <c r="AB382">
        <v>-12</v>
      </c>
      <c r="AC382" t="s">
        <v>262</v>
      </c>
      <c r="AD382">
        <v>-19</v>
      </c>
      <c r="AE382" t="s">
        <v>177</v>
      </c>
      <c r="AF382">
        <v>-20</v>
      </c>
      <c r="AG382" t="s">
        <v>29</v>
      </c>
      <c r="AH382">
        <v>-1</v>
      </c>
      <c r="AI382" t="s">
        <v>637</v>
      </c>
      <c r="AJ382">
        <v>-3</v>
      </c>
      <c r="AK382" t="s">
        <v>36</v>
      </c>
      <c r="AL382">
        <v>-12</v>
      </c>
      <c r="AM382" t="s">
        <v>59</v>
      </c>
      <c r="AN382">
        <v>-36</v>
      </c>
    </row>
    <row r="383" spans="2:40" x14ac:dyDescent="0.25">
      <c r="B383" t="s">
        <v>279</v>
      </c>
      <c r="C383">
        <v>-7</v>
      </c>
      <c r="E383" t="s">
        <v>831</v>
      </c>
      <c r="F383">
        <v>-22</v>
      </c>
      <c r="H383" t="s">
        <v>46</v>
      </c>
      <c r="I383">
        <v>-14</v>
      </c>
      <c r="J383" t="s">
        <v>388</v>
      </c>
      <c r="K383">
        <v>-16</v>
      </c>
      <c r="L383" t="s">
        <v>1023</v>
      </c>
      <c r="M383">
        <v>-3</v>
      </c>
      <c r="O383" t="s">
        <v>1446</v>
      </c>
      <c r="P383">
        <v>-3</v>
      </c>
      <c r="Q383" t="s">
        <v>1030</v>
      </c>
      <c r="R383">
        <v>-15</v>
      </c>
      <c r="S383" t="s">
        <v>1267</v>
      </c>
      <c r="T383">
        <v>-7</v>
      </c>
      <c r="U383" t="s">
        <v>205</v>
      </c>
      <c r="V383">
        <v>-4</v>
      </c>
      <c r="W383" t="s">
        <v>15</v>
      </c>
      <c r="X383">
        <v>-369</v>
      </c>
      <c r="Y383" t="s">
        <v>918</v>
      </c>
      <c r="Z383">
        <v>-22.999999999999993</v>
      </c>
      <c r="AA383" t="s">
        <v>335</v>
      </c>
      <c r="AB383">
        <v>-2</v>
      </c>
      <c r="AC383" t="s">
        <v>263</v>
      </c>
      <c r="AD383">
        <v>-8</v>
      </c>
      <c r="AE383" t="s">
        <v>2092</v>
      </c>
      <c r="AF383">
        <v>-8</v>
      </c>
      <c r="AG383" t="s">
        <v>64</v>
      </c>
      <c r="AH383">
        <v>-1</v>
      </c>
      <c r="AI383" t="s">
        <v>2220</v>
      </c>
      <c r="AJ383">
        <v>-30.4</v>
      </c>
      <c r="AK383" t="s">
        <v>666</v>
      </c>
      <c r="AL383">
        <v>-7</v>
      </c>
      <c r="AM383" t="s">
        <v>2419</v>
      </c>
      <c r="AN383">
        <v>-2</v>
      </c>
    </row>
    <row r="384" spans="2:40" x14ac:dyDescent="0.25">
      <c r="B384" t="s">
        <v>592</v>
      </c>
      <c r="C384">
        <v>-11100</v>
      </c>
      <c r="E384" t="s">
        <v>675</v>
      </c>
      <c r="F384">
        <v>-20</v>
      </c>
      <c r="H384" t="s">
        <v>137</v>
      </c>
      <c r="I384">
        <v>-4</v>
      </c>
      <c r="J384" t="s">
        <v>717</v>
      </c>
      <c r="K384">
        <v>-3</v>
      </c>
      <c r="L384" t="s">
        <v>1243</v>
      </c>
      <c r="M384">
        <v>-140</v>
      </c>
      <c r="O384" t="s">
        <v>1018</v>
      </c>
      <c r="P384">
        <v>-2</v>
      </c>
      <c r="Q384" t="s">
        <v>1031</v>
      </c>
      <c r="R384">
        <v>-26</v>
      </c>
      <c r="S384" t="s">
        <v>1268</v>
      </c>
      <c r="T384">
        <v>-7</v>
      </c>
      <c r="U384" t="s">
        <v>1033</v>
      </c>
      <c r="V384">
        <v>-10</v>
      </c>
      <c r="W384" t="s">
        <v>394</v>
      </c>
      <c r="X384">
        <v>-38</v>
      </c>
      <c r="Y384" t="s">
        <v>629</v>
      </c>
      <c r="Z384">
        <v>-22</v>
      </c>
      <c r="AA384" t="s">
        <v>769</v>
      </c>
      <c r="AB384">
        <v>-1</v>
      </c>
      <c r="AC384" t="s">
        <v>261</v>
      </c>
      <c r="AD384">
        <v>-9</v>
      </c>
      <c r="AE384" t="s">
        <v>2093</v>
      </c>
      <c r="AF384">
        <v>-6</v>
      </c>
      <c r="AG384" t="s">
        <v>2084</v>
      </c>
      <c r="AH384">
        <v>-5</v>
      </c>
      <c r="AI384" t="s">
        <v>603</v>
      </c>
      <c r="AJ384">
        <v>-2.44</v>
      </c>
      <c r="AK384" t="s">
        <v>66</v>
      </c>
      <c r="AL384">
        <v>-12</v>
      </c>
      <c r="AM384" t="s">
        <v>2285</v>
      </c>
      <c r="AN384">
        <v>-3</v>
      </c>
    </row>
    <row r="385" spans="2:40" x14ac:dyDescent="0.25">
      <c r="B385" t="s">
        <v>129</v>
      </c>
      <c r="C385">
        <v>-199</v>
      </c>
      <c r="E385" t="s">
        <v>832</v>
      </c>
      <c r="F385">
        <v>-36.000000000000007</v>
      </c>
      <c r="H385" t="s">
        <v>340</v>
      </c>
      <c r="I385">
        <v>-91</v>
      </c>
      <c r="J385" t="s">
        <v>716</v>
      </c>
      <c r="K385">
        <v>-3</v>
      </c>
      <c r="L385" t="s">
        <v>815</v>
      </c>
      <c r="M385">
        <v>-8</v>
      </c>
      <c r="O385" t="s">
        <v>1019</v>
      </c>
      <c r="P385">
        <v>-8</v>
      </c>
      <c r="Q385" t="s">
        <v>205</v>
      </c>
      <c r="R385">
        <v>-52</v>
      </c>
      <c r="S385" t="s">
        <v>592</v>
      </c>
      <c r="T385">
        <v>-5550</v>
      </c>
      <c r="U385" t="s">
        <v>1747</v>
      </c>
      <c r="V385">
        <v>-9</v>
      </c>
      <c r="W385" t="s">
        <v>748</v>
      </c>
      <c r="X385">
        <v>-1</v>
      </c>
      <c r="Y385" t="s">
        <v>630</v>
      </c>
      <c r="Z385">
        <v>-29.999999999999996</v>
      </c>
      <c r="AA385" t="s">
        <v>128</v>
      </c>
      <c r="AB385">
        <v>-5</v>
      </c>
      <c r="AC385" t="s">
        <v>2010</v>
      </c>
      <c r="AD385">
        <v>-10</v>
      </c>
      <c r="AE385" t="s">
        <v>2094</v>
      </c>
      <c r="AF385">
        <v>-1</v>
      </c>
      <c r="AG385" t="s">
        <v>1469</v>
      </c>
      <c r="AH385">
        <v>-2</v>
      </c>
      <c r="AI385" t="s">
        <v>1452</v>
      </c>
      <c r="AJ385">
        <v>-1.0740000000000001</v>
      </c>
      <c r="AK385" t="s">
        <v>1262</v>
      </c>
      <c r="AL385">
        <v>-25</v>
      </c>
      <c r="AM385" t="s">
        <v>2420</v>
      </c>
      <c r="AN385">
        <v>-26</v>
      </c>
    </row>
    <row r="386" spans="2:40" x14ac:dyDescent="0.25">
      <c r="B386" t="s">
        <v>390</v>
      </c>
      <c r="C386">
        <v>-118</v>
      </c>
      <c r="E386" t="s">
        <v>292</v>
      </c>
      <c r="F386">
        <v>-13</v>
      </c>
      <c r="H386" t="s">
        <v>903</v>
      </c>
      <c r="I386">
        <v>-1</v>
      </c>
      <c r="J386" t="s">
        <v>1069</v>
      </c>
      <c r="K386">
        <v>-2</v>
      </c>
      <c r="L386" t="s">
        <v>1024</v>
      </c>
      <c r="M386">
        <v>-12</v>
      </c>
      <c r="O386" t="s">
        <v>1020</v>
      </c>
      <c r="P386">
        <v>-22</v>
      </c>
      <c r="Q386" t="s">
        <v>87</v>
      </c>
      <c r="R386">
        <v>-30</v>
      </c>
      <c r="S386" t="s">
        <v>1271</v>
      </c>
      <c r="T386">
        <v>-7</v>
      </c>
      <c r="U386" t="s">
        <v>1748</v>
      </c>
      <c r="V386">
        <v>-3</v>
      </c>
      <c r="W386" t="s">
        <v>242</v>
      </c>
      <c r="X386">
        <v>-8.5</v>
      </c>
      <c r="Y386" t="s">
        <v>1344</v>
      </c>
      <c r="Z386">
        <v>-2</v>
      </c>
      <c r="AA386" t="s">
        <v>281</v>
      </c>
      <c r="AB386">
        <v>-4</v>
      </c>
      <c r="AC386" t="s">
        <v>151</v>
      </c>
      <c r="AD386">
        <v>-4</v>
      </c>
      <c r="AE386" t="s">
        <v>2095</v>
      </c>
      <c r="AF386">
        <v>-1</v>
      </c>
      <c r="AG386" t="s">
        <v>1264</v>
      </c>
      <c r="AH386">
        <v>-20</v>
      </c>
      <c r="AI386" t="s">
        <v>754</v>
      </c>
      <c r="AJ386">
        <v>-74</v>
      </c>
      <c r="AK386" t="s">
        <v>65</v>
      </c>
      <c r="AL386">
        <v>-54</v>
      </c>
      <c r="AM386" t="s">
        <v>2421</v>
      </c>
      <c r="AN386">
        <v>-4</v>
      </c>
    </row>
    <row r="387" spans="2:40" x14ac:dyDescent="0.25">
      <c r="B387" t="s">
        <v>175</v>
      </c>
      <c r="C387">
        <v>-40</v>
      </c>
      <c r="E387" t="s">
        <v>144</v>
      </c>
      <c r="F387">
        <v>-11</v>
      </c>
      <c r="H387" t="s">
        <v>113</v>
      </c>
      <c r="I387">
        <v>-111</v>
      </c>
      <c r="J387" t="s">
        <v>1070</v>
      </c>
      <c r="K387">
        <v>-3</v>
      </c>
      <c r="L387" t="s">
        <v>100</v>
      </c>
      <c r="M387">
        <v>-60</v>
      </c>
      <c r="O387" t="s">
        <v>1021</v>
      </c>
      <c r="P387">
        <v>-8</v>
      </c>
      <c r="Q387" t="s">
        <v>1265</v>
      </c>
      <c r="R387">
        <v>-15</v>
      </c>
      <c r="S387" t="s">
        <v>129</v>
      </c>
      <c r="T387">
        <v>-74</v>
      </c>
      <c r="U387" t="s">
        <v>1749</v>
      </c>
      <c r="V387">
        <v>-1</v>
      </c>
      <c r="W387" t="s">
        <v>56</v>
      </c>
      <c r="X387">
        <v>-36</v>
      </c>
      <c r="Y387" t="s">
        <v>498</v>
      </c>
      <c r="Z387">
        <v>-16</v>
      </c>
      <c r="AA387" t="s">
        <v>290</v>
      </c>
      <c r="AB387">
        <v>-3</v>
      </c>
      <c r="AC387" t="s">
        <v>258</v>
      </c>
      <c r="AD387">
        <v>-2</v>
      </c>
      <c r="AE387" t="s">
        <v>654</v>
      </c>
      <c r="AF387">
        <v>-4</v>
      </c>
      <c r="AG387" t="s">
        <v>674</v>
      </c>
      <c r="AH387">
        <v>-80</v>
      </c>
      <c r="AI387" t="s">
        <v>439</v>
      </c>
      <c r="AJ387">
        <v>-125</v>
      </c>
      <c r="AK387" t="s">
        <v>26</v>
      </c>
      <c r="AL387">
        <v>-11</v>
      </c>
      <c r="AM387" t="s">
        <v>327</v>
      </c>
      <c r="AN387">
        <v>-6</v>
      </c>
    </row>
    <row r="388" spans="2:40" x14ac:dyDescent="0.25">
      <c r="B388" t="s">
        <v>579</v>
      </c>
      <c r="C388">
        <v>-4</v>
      </c>
      <c r="E388" t="s">
        <v>227</v>
      </c>
      <c r="F388">
        <v>-300</v>
      </c>
      <c r="H388" t="s">
        <v>335</v>
      </c>
      <c r="I388">
        <v>-42</v>
      </c>
      <c r="J388" t="s">
        <v>76</v>
      </c>
      <c r="K388">
        <v>-10</v>
      </c>
      <c r="L388" t="s">
        <v>98</v>
      </c>
      <c r="M388">
        <v>-12</v>
      </c>
      <c r="O388" t="s">
        <v>1022</v>
      </c>
      <c r="P388">
        <v>-8</v>
      </c>
      <c r="Q388" t="s">
        <v>86</v>
      </c>
      <c r="R388">
        <v>-70</v>
      </c>
      <c r="S388" t="s">
        <v>390</v>
      </c>
      <c r="T388">
        <v>-35</v>
      </c>
      <c r="U388" t="s">
        <v>879</v>
      </c>
      <c r="V388">
        <v>-2</v>
      </c>
      <c r="W388" t="s">
        <v>75</v>
      </c>
      <c r="X388">
        <v>-6</v>
      </c>
      <c r="Y388" t="s">
        <v>641</v>
      </c>
      <c r="Z388">
        <v>-6</v>
      </c>
      <c r="AA388" t="s">
        <v>288</v>
      </c>
      <c r="AB388">
        <v>-4</v>
      </c>
      <c r="AC388" t="s">
        <v>246</v>
      </c>
      <c r="AD388">
        <v>-6</v>
      </c>
      <c r="AE388" t="s">
        <v>136</v>
      </c>
      <c r="AF388">
        <v>-4</v>
      </c>
      <c r="AG388" t="s">
        <v>25</v>
      </c>
      <c r="AH388">
        <v>-1</v>
      </c>
      <c r="AI388" t="s">
        <v>607</v>
      </c>
      <c r="AJ388">
        <v>-6</v>
      </c>
      <c r="AK388" t="s">
        <v>225</v>
      </c>
      <c r="AL388">
        <v>-4</v>
      </c>
      <c r="AM388" t="s">
        <v>138</v>
      </c>
      <c r="AN388">
        <v>-6</v>
      </c>
    </row>
    <row r="389" spans="2:40" x14ac:dyDescent="0.25">
      <c r="B389" t="s">
        <v>177</v>
      </c>
      <c r="C389">
        <v>-16</v>
      </c>
      <c r="E389" t="s">
        <v>648</v>
      </c>
      <c r="F389">
        <v>-16</v>
      </c>
      <c r="H389" t="s">
        <v>904</v>
      </c>
      <c r="I389">
        <v>-4</v>
      </c>
      <c r="J389" t="s">
        <v>1071</v>
      </c>
      <c r="K389">
        <v>-8</v>
      </c>
      <c r="L389" t="s">
        <v>323</v>
      </c>
      <c r="M389">
        <v>-8</v>
      </c>
      <c r="O389" t="s">
        <v>1023</v>
      </c>
      <c r="P389">
        <v>-8</v>
      </c>
      <c r="Q389" t="s">
        <v>1032</v>
      </c>
      <c r="R389">
        <v>-73</v>
      </c>
      <c r="S389" t="s">
        <v>175</v>
      </c>
      <c r="T389">
        <v>-12</v>
      </c>
      <c r="U389" t="s">
        <v>249</v>
      </c>
      <c r="V389">
        <v>-145</v>
      </c>
      <c r="W389" t="s">
        <v>57</v>
      </c>
      <c r="X389">
        <v>-40</v>
      </c>
      <c r="Y389" t="s">
        <v>738</v>
      </c>
      <c r="Z389">
        <v>-5</v>
      </c>
      <c r="AA389" t="s">
        <v>1968</v>
      </c>
      <c r="AB389">
        <v>-1</v>
      </c>
      <c r="AC389" t="s">
        <v>139</v>
      </c>
      <c r="AD389">
        <v>-2</v>
      </c>
      <c r="AE389" t="s">
        <v>15</v>
      </c>
      <c r="AF389">
        <v>-676</v>
      </c>
      <c r="AG389" t="s">
        <v>30</v>
      </c>
      <c r="AH389">
        <v>-3</v>
      </c>
      <c r="AI389" t="s">
        <v>549</v>
      </c>
      <c r="AJ389">
        <v>-55</v>
      </c>
      <c r="AK389" t="s">
        <v>27</v>
      </c>
      <c r="AL389">
        <v>-8</v>
      </c>
      <c r="AM389" t="s">
        <v>473</v>
      </c>
      <c r="AN389">
        <v>-14</v>
      </c>
    </row>
    <row r="390" spans="2:40" x14ac:dyDescent="0.25">
      <c r="B390" t="s">
        <v>550</v>
      </c>
      <c r="C390">
        <v>-1</v>
      </c>
      <c r="E390" t="s">
        <v>388</v>
      </c>
      <c r="F390">
        <v>-84</v>
      </c>
      <c r="H390" t="s">
        <v>905</v>
      </c>
      <c r="I390">
        <v>-2</v>
      </c>
      <c r="J390" t="s">
        <v>1072</v>
      </c>
      <c r="K390">
        <v>-15</v>
      </c>
      <c r="L390" t="s">
        <v>450</v>
      </c>
      <c r="M390">
        <v>-170</v>
      </c>
      <c r="O390" t="s">
        <v>393</v>
      </c>
      <c r="P390">
        <v>-58</v>
      </c>
      <c r="Q390" t="s">
        <v>1033</v>
      </c>
      <c r="R390">
        <v>-19</v>
      </c>
      <c r="S390" t="s">
        <v>654</v>
      </c>
      <c r="T390">
        <v>-4</v>
      </c>
      <c r="U390" t="s">
        <v>250</v>
      </c>
      <c r="V390">
        <v>-183</v>
      </c>
      <c r="W390" t="s">
        <v>58</v>
      </c>
      <c r="X390">
        <v>-51</v>
      </c>
      <c r="Y390" t="s">
        <v>650</v>
      </c>
      <c r="Z390">
        <v>-6</v>
      </c>
      <c r="AA390" t="s">
        <v>47</v>
      </c>
      <c r="AB390">
        <v>-1</v>
      </c>
      <c r="AC390" t="s">
        <v>481</v>
      </c>
      <c r="AD390">
        <v>-91.5</v>
      </c>
      <c r="AE390" t="s">
        <v>394</v>
      </c>
      <c r="AF390">
        <v>-42</v>
      </c>
      <c r="AG390" t="s">
        <v>1030</v>
      </c>
      <c r="AH390">
        <v>-10</v>
      </c>
      <c r="AI390" t="s">
        <v>159</v>
      </c>
      <c r="AJ390">
        <v>-51</v>
      </c>
      <c r="AK390" t="s">
        <v>28</v>
      </c>
      <c r="AL390">
        <v>-6</v>
      </c>
      <c r="AM390" t="s">
        <v>2287</v>
      </c>
      <c r="AN390">
        <v>-40</v>
      </c>
    </row>
    <row r="391" spans="2:40" x14ac:dyDescent="0.25">
      <c r="B391" t="s">
        <v>654</v>
      </c>
      <c r="C391">
        <v>-1</v>
      </c>
      <c r="E391" t="s">
        <v>247</v>
      </c>
      <c r="F391">
        <v>-13</v>
      </c>
      <c r="H391" t="s">
        <v>128</v>
      </c>
      <c r="I391">
        <v>-12</v>
      </c>
      <c r="J391" t="s">
        <v>1073</v>
      </c>
      <c r="K391">
        <v>-2.0000000000000004</v>
      </c>
      <c r="L391" t="s">
        <v>1244</v>
      </c>
      <c r="M391">
        <v>-1</v>
      </c>
      <c r="O391" t="s">
        <v>815</v>
      </c>
      <c r="P391">
        <v>-4</v>
      </c>
      <c r="Q391" t="s">
        <v>1266</v>
      </c>
      <c r="R391">
        <v>-15</v>
      </c>
      <c r="S391" t="s">
        <v>136</v>
      </c>
      <c r="T391">
        <v>-4</v>
      </c>
      <c r="U391" t="s">
        <v>743</v>
      </c>
      <c r="V391">
        <v>-11</v>
      </c>
      <c r="W391" t="s">
        <v>216</v>
      </c>
      <c r="X391">
        <v>-6</v>
      </c>
      <c r="Y391" t="s">
        <v>589</v>
      </c>
      <c r="Z391">
        <v>-120</v>
      </c>
      <c r="AA391" t="s">
        <v>910</v>
      </c>
      <c r="AB391">
        <v>-3</v>
      </c>
      <c r="AC391" t="s">
        <v>94</v>
      </c>
      <c r="AD391">
        <v>-1</v>
      </c>
      <c r="AE391" t="s">
        <v>2096</v>
      </c>
      <c r="AF391">
        <v>-1</v>
      </c>
      <c r="AG391" t="s">
        <v>1031</v>
      </c>
      <c r="AH391">
        <v>-20</v>
      </c>
      <c r="AI391" t="s">
        <v>1257</v>
      </c>
      <c r="AJ391">
        <v>-6</v>
      </c>
      <c r="AK391" t="s">
        <v>29</v>
      </c>
      <c r="AL391">
        <v>-10</v>
      </c>
      <c r="AM391" t="s">
        <v>547</v>
      </c>
      <c r="AN391">
        <v>-2</v>
      </c>
    </row>
    <row r="392" spans="2:40" x14ac:dyDescent="0.25">
      <c r="B392" t="s">
        <v>152</v>
      </c>
      <c r="C392">
        <v>-8</v>
      </c>
      <c r="E392" t="s">
        <v>76</v>
      </c>
      <c r="F392">
        <v>-33</v>
      </c>
      <c r="H392" t="s">
        <v>281</v>
      </c>
      <c r="I392">
        <v>-36</v>
      </c>
      <c r="J392" t="s">
        <v>1074</v>
      </c>
      <c r="K392">
        <v>-9</v>
      </c>
      <c r="L392" t="s">
        <v>1245</v>
      </c>
      <c r="M392">
        <v>-6</v>
      </c>
      <c r="O392" t="s">
        <v>100</v>
      </c>
      <c r="P392">
        <v>-114</v>
      </c>
      <c r="Q392" t="s">
        <v>249</v>
      </c>
      <c r="R392">
        <v>-71</v>
      </c>
      <c r="S392" t="s">
        <v>1037</v>
      </c>
      <c r="T392">
        <v>-45.399999999999991</v>
      </c>
      <c r="U392" t="s">
        <v>1267</v>
      </c>
      <c r="V392">
        <v>-2</v>
      </c>
      <c r="W392" t="s">
        <v>673</v>
      </c>
      <c r="X392">
        <v>-8</v>
      </c>
      <c r="Y392" t="s">
        <v>114</v>
      </c>
      <c r="Z392">
        <v>-1</v>
      </c>
      <c r="AA392" t="s">
        <v>62</v>
      </c>
      <c r="AB392">
        <v>-4</v>
      </c>
      <c r="AC392" t="s">
        <v>325</v>
      </c>
      <c r="AD392">
        <v>-24</v>
      </c>
      <c r="AE392" t="s">
        <v>748</v>
      </c>
      <c r="AF392">
        <v>-13</v>
      </c>
      <c r="AG392" t="s">
        <v>205</v>
      </c>
      <c r="AH392">
        <v>-14</v>
      </c>
      <c r="AI392" t="s">
        <v>141</v>
      </c>
      <c r="AJ392">
        <v>-9</v>
      </c>
      <c r="AK392" t="s">
        <v>64</v>
      </c>
      <c r="AL392">
        <v>-4</v>
      </c>
      <c r="AM392" t="s">
        <v>173</v>
      </c>
      <c r="AN392">
        <v>-4</v>
      </c>
    </row>
    <row r="393" spans="2:40" x14ac:dyDescent="0.25">
      <c r="B393" t="s">
        <v>15</v>
      </c>
      <c r="C393">
        <v>-692</v>
      </c>
      <c r="E393" t="s">
        <v>291</v>
      </c>
      <c r="F393">
        <v>-28</v>
      </c>
      <c r="H393" t="s">
        <v>140</v>
      </c>
      <c r="I393">
        <v>-12</v>
      </c>
      <c r="J393" t="s">
        <v>1075</v>
      </c>
      <c r="K393">
        <v>-3</v>
      </c>
      <c r="L393" t="s">
        <v>318</v>
      </c>
      <c r="M393">
        <v>-3</v>
      </c>
      <c r="O393" t="s">
        <v>98</v>
      </c>
      <c r="P393">
        <v>-8</v>
      </c>
      <c r="Q393" t="s">
        <v>250</v>
      </c>
      <c r="R393">
        <v>-153</v>
      </c>
      <c r="S393" t="s">
        <v>15</v>
      </c>
      <c r="T393">
        <v>-489</v>
      </c>
      <c r="U393" t="s">
        <v>1268</v>
      </c>
      <c r="V393">
        <v>-1</v>
      </c>
      <c r="W393" t="s">
        <v>470</v>
      </c>
      <c r="X393">
        <v>-8</v>
      </c>
      <c r="Y393" t="s">
        <v>584</v>
      </c>
      <c r="Z393">
        <v>-1</v>
      </c>
      <c r="AA393" t="s">
        <v>282</v>
      </c>
      <c r="AB393">
        <v>-2</v>
      </c>
      <c r="AC393" t="s">
        <v>726</v>
      </c>
      <c r="AD393">
        <v>-15</v>
      </c>
      <c r="AE393" t="s">
        <v>653</v>
      </c>
      <c r="AF393">
        <v>-2</v>
      </c>
      <c r="AG393" t="s">
        <v>87</v>
      </c>
      <c r="AH393">
        <v>-80</v>
      </c>
      <c r="AI393" t="s">
        <v>1829</v>
      </c>
      <c r="AJ393">
        <v>-1</v>
      </c>
      <c r="AK393" t="s">
        <v>1263</v>
      </c>
      <c r="AL393">
        <v>-6</v>
      </c>
      <c r="AM393" t="s">
        <v>1445</v>
      </c>
      <c r="AN393">
        <v>-1</v>
      </c>
    </row>
    <row r="394" spans="2:40" x14ac:dyDescent="0.25">
      <c r="B394" t="s">
        <v>394</v>
      </c>
      <c r="C394">
        <v>-68</v>
      </c>
      <c r="E394" t="s">
        <v>455</v>
      </c>
      <c r="F394">
        <v>-11</v>
      </c>
      <c r="H394" t="s">
        <v>127</v>
      </c>
      <c r="I394">
        <v>-8</v>
      </c>
      <c r="J394" t="s">
        <v>254</v>
      </c>
      <c r="K394">
        <v>-6</v>
      </c>
      <c r="L394" t="s">
        <v>319</v>
      </c>
      <c r="M394">
        <v>-3</v>
      </c>
      <c r="O394" t="s">
        <v>323</v>
      </c>
      <c r="P394">
        <v>-13</v>
      </c>
      <c r="Q394" t="s">
        <v>1605</v>
      </c>
      <c r="R394">
        <v>-40</v>
      </c>
      <c r="S394" t="s">
        <v>394</v>
      </c>
      <c r="T394">
        <v>-62</v>
      </c>
      <c r="U394" t="s">
        <v>279</v>
      </c>
      <c r="V394">
        <v>-1</v>
      </c>
      <c r="W394" t="s">
        <v>68</v>
      </c>
      <c r="X394">
        <v>-8</v>
      </c>
      <c r="Y394" t="s">
        <v>1346</v>
      </c>
      <c r="Z394">
        <v>-1</v>
      </c>
      <c r="AA394" t="s">
        <v>77</v>
      </c>
      <c r="AB394">
        <v>-3</v>
      </c>
      <c r="AC394" t="s">
        <v>194</v>
      </c>
      <c r="AD394">
        <v>-8</v>
      </c>
      <c r="AE394" t="s">
        <v>242</v>
      </c>
      <c r="AF394">
        <v>-3.5</v>
      </c>
      <c r="AG394" t="s">
        <v>1265</v>
      </c>
      <c r="AH394">
        <v>-40</v>
      </c>
      <c r="AI394" t="s">
        <v>873</v>
      </c>
      <c r="AJ394">
        <v>-1</v>
      </c>
      <c r="AK394" t="s">
        <v>674</v>
      </c>
      <c r="AL394">
        <v>-40</v>
      </c>
      <c r="AM394" t="s">
        <v>745</v>
      </c>
      <c r="AN394">
        <v>-17</v>
      </c>
    </row>
    <row r="395" spans="2:40" x14ac:dyDescent="0.25">
      <c r="B395" t="s">
        <v>653</v>
      </c>
      <c r="C395">
        <v>-2</v>
      </c>
      <c r="E395" t="s">
        <v>254</v>
      </c>
      <c r="F395">
        <v>-16</v>
      </c>
      <c r="H395" t="s">
        <v>907</v>
      </c>
      <c r="I395">
        <v>-1</v>
      </c>
      <c r="J395" t="s">
        <v>1076</v>
      </c>
      <c r="K395">
        <v>-1</v>
      </c>
      <c r="L395" t="s">
        <v>1026</v>
      </c>
      <c r="M395">
        <v>-14</v>
      </c>
      <c r="O395" t="s">
        <v>450</v>
      </c>
      <c r="P395">
        <v>-329</v>
      </c>
      <c r="Q395" t="s">
        <v>1606</v>
      </c>
      <c r="R395">
        <v>-40</v>
      </c>
      <c r="S395" t="s">
        <v>1684</v>
      </c>
      <c r="T395">
        <v>-2</v>
      </c>
      <c r="U395" t="s">
        <v>592</v>
      </c>
      <c r="V395">
        <v>-4300</v>
      </c>
      <c r="W395" t="s">
        <v>1610</v>
      </c>
      <c r="X395">
        <v>-10</v>
      </c>
      <c r="Y395" t="s">
        <v>1702</v>
      </c>
      <c r="Z395">
        <v>-1</v>
      </c>
      <c r="AA395" t="s">
        <v>374</v>
      </c>
      <c r="AB395">
        <v>-2</v>
      </c>
      <c r="AC395" t="s">
        <v>2011</v>
      </c>
      <c r="AD395">
        <v>-1</v>
      </c>
      <c r="AE395" t="s">
        <v>723</v>
      </c>
      <c r="AF395">
        <v>-4.2</v>
      </c>
      <c r="AG395" t="s">
        <v>86</v>
      </c>
      <c r="AH395">
        <v>-144</v>
      </c>
      <c r="AI395" t="s">
        <v>2221</v>
      </c>
      <c r="AJ395">
        <v>-1</v>
      </c>
      <c r="AK395" t="s">
        <v>25</v>
      </c>
      <c r="AL395">
        <v>-4</v>
      </c>
      <c r="AM395" t="s">
        <v>780</v>
      </c>
      <c r="AN395">
        <v>-6</v>
      </c>
    </row>
    <row r="396" spans="2:40" x14ac:dyDescent="0.25">
      <c r="B396" t="s">
        <v>242</v>
      </c>
      <c r="C396">
        <v>-9</v>
      </c>
      <c r="E396" t="s">
        <v>256</v>
      </c>
      <c r="F396">
        <v>-16</v>
      </c>
      <c r="H396" t="s">
        <v>908</v>
      </c>
      <c r="I396">
        <v>-1</v>
      </c>
      <c r="J396" t="s">
        <v>1077</v>
      </c>
      <c r="K396">
        <v>-2</v>
      </c>
      <c r="L396" t="s">
        <v>1246</v>
      </c>
      <c r="M396">
        <v>-4</v>
      </c>
      <c r="O396" t="s">
        <v>1245</v>
      </c>
      <c r="P396">
        <v>-4</v>
      </c>
      <c r="Q396" t="s">
        <v>1269</v>
      </c>
      <c r="R396">
        <v>-24</v>
      </c>
      <c r="S396" t="s">
        <v>1038</v>
      </c>
      <c r="T396">
        <v>-30</v>
      </c>
      <c r="U396" t="s">
        <v>1271</v>
      </c>
      <c r="V396">
        <v>-1</v>
      </c>
      <c r="W396" t="s">
        <v>1611</v>
      </c>
      <c r="X396">
        <v>-32</v>
      </c>
      <c r="Y396" t="s">
        <v>164</v>
      </c>
      <c r="Z396">
        <v>-2</v>
      </c>
      <c r="AA396" t="s">
        <v>63</v>
      </c>
      <c r="AB396">
        <v>-2</v>
      </c>
      <c r="AC396" t="s">
        <v>1295</v>
      </c>
      <c r="AD396">
        <v>-1</v>
      </c>
      <c r="AE396" t="s">
        <v>56</v>
      </c>
      <c r="AF396">
        <v>-54</v>
      </c>
      <c r="AG396" t="s">
        <v>1032</v>
      </c>
      <c r="AH396">
        <v>-10</v>
      </c>
      <c r="AI396" t="s">
        <v>874</v>
      </c>
      <c r="AJ396">
        <v>-2</v>
      </c>
      <c r="AK396" t="s">
        <v>30</v>
      </c>
      <c r="AL396">
        <v>-6</v>
      </c>
      <c r="AM396" t="s">
        <v>497</v>
      </c>
      <c r="AN396">
        <v>-1</v>
      </c>
    </row>
    <row r="397" spans="2:40" x14ac:dyDescent="0.25">
      <c r="B397" t="s">
        <v>645</v>
      </c>
      <c r="C397">
        <v>-8</v>
      </c>
      <c r="E397" t="s">
        <v>46</v>
      </c>
      <c r="F397">
        <v>-32</v>
      </c>
      <c r="H397" t="s">
        <v>909</v>
      </c>
      <c r="I397">
        <v>-43</v>
      </c>
      <c r="J397" t="s">
        <v>46</v>
      </c>
      <c r="K397">
        <v>-6</v>
      </c>
      <c r="L397" t="s">
        <v>306</v>
      </c>
      <c r="M397">
        <v>-16</v>
      </c>
      <c r="O397" t="s">
        <v>318</v>
      </c>
      <c r="P397">
        <v>-6</v>
      </c>
      <c r="Q397" t="s">
        <v>592</v>
      </c>
      <c r="R397">
        <v>-8450</v>
      </c>
      <c r="S397" t="s">
        <v>823</v>
      </c>
      <c r="T397">
        <v>-2</v>
      </c>
      <c r="U397" t="s">
        <v>1750</v>
      </c>
      <c r="V397">
        <v>-4</v>
      </c>
      <c r="W397" t="s">
        <v>1613</v>
      </c>
      <c r="X397">
        <v>-88</v>
      </c>
      <c r="Y397" t="s">
        <v>923</v>
      </c>
      <c r="Z397">
        <v>-76.999999999999986</v>
      </c>
      <c r="AA397" t="s">
        <v>195</v>
      </c>
      <c r="AB397">
        <v>-5</v>
      </c>
      <c r="AC397" t="s">
        <v>220</v>
      </c>
      <c r="AD397">
        <v>-2</v>
      </c>
      <c r="AE397" t="s">
        <v>75</v>
      </c>
      <c r="AF397">
        <v>-49</v>
      </c>
      <c r="AG397" t="s">
        <v>1033</v>
      </c>
      <c r="AH397">
        <v>-7</v>
      </c>
      <c r="AI397" t="s">
        <v>1832</v>
      </c>
      <c r="AJ397">
        <v>-2</v>
      </c>
      <c r="AK397" t="s">
        <v>31</v>
      </c>
      <c r="AL397">
        <v>-1</v>
      </c>
      <c r="AM397" t="s">
        <v>366</v>
      </c>
      <c r="AN397">
        <v>-38</v>
      </c>
    </row>
    <row r="398" spans="2:40" x14ac:dyDescent="0.25">
      <c r="B398" t="s">
        <v>56</v>
      </c>
      <c r="C398">
        <v>-122</v>
      </c>
      <c r="E398" t="s">
        <v>137</v>
      </c>
      <c r="F398">
        <v>-16</v>
      </c>
      <c r="H398" t="s">
        <v>288</v>
      </c>
      <c r="I398">
        <v>-48</v>
      </c>
      <c r="J398" t="s">
        <v>137</v>
      </c>
      <c r="K398">
        <v>-3</v>
      </c>
      <c r="L398" t="s">
        <v>320</v>
      </c>
      <c r="M398">
        <v>-16</v>
      </c>
      <c r="O398" t="s">
        <v>319</v>
      </c>
      <c r="P398">
        <v>-6</v>
      </c>
      <c r="Q398" t="s">
        <v>129</v>
      </c>
      <c r="R398">
        <v>-140</v>
      </c>
      <c r="S398" t="s">
        <v>242</v>
      </c>
      <c r="T398">
        <v>-12.5</v>
      </c>
      <c r="U398" t="s">
        <v>129</v>
      </c>
      <c r="V398">
        <v>-63</v>
      </c>
      <c r="W398" t="s">
        <v>1842</v>
      </c>
      <c r="X398">
        <v>-2</v>
      </c>
      <c r="Y398" t="s">
        <v>1347</v>
      </c>
      <c r="Z398">
        <v>-1.0000000000000002</v>
      </c>
      <c r="AA398" t="s">
        <v>1969</v>
      </c>
      <c r="AB398">
        <v>-2</v>
      </c>
      <c r="AC398" t="s">
        <v>79</v>
      </c>
      <c r="AD398">
        <v>-500</v>
      </c>
      <c r="AE398" t="s">
        <v>57</v>
      </c>
      <c r="AF398">
        <v>-60</v>
      </c>
      <c r="AG398" t="s">
        <v>1748</v>
      </c>
      <c r="AH398">
        <v>-15</v>
      </c>
      <c r="AI398" t="s">
        <v>1260</v>
      </c>
      <c r="AJ398">
        <v>-24</v>
      </c>
      <c r="AK398" t="s">
        <v>1030</v>
      </c>
      <c r="AL398">
        <v>-5</v>
      </c>
      <c r="AM398" t="s">
        <v>365</v>
      </c>
      <c r="AN398">
        <v>-4</v>
      </c>
    </row>
    <row r="399" spans="2:40" x14ac:dyDescent="0.25">
      <c r="B399" t="s">
        <v>75</v>
      </c>
      <c r="C399">
        <v>-60</v>
      </c>
      <c r="E399" t="s">
        <v>340</v>
      </c>
      <c r="F399">
        <v>-146</v>
      </c>
      <c r="H399" t="s">
        <v>47</v>
      </c>
      <c r="I399">
        <v>-1</v>
      </c>
      <c r="J399" t="s">
        <v>340</v>
      </c>
      <c r="K399">
        <v>-13</v>
      </c>
      <c r="L399" t="s">
        <v>317</v>
      </c>
      <c r="M399">
        <v>-4</v>
      </c>
      <c r="O399" t="s">
        <v>1026</v>
      </c>
      <c r="P399">
        <v>-16</v>
      </c>
      <c r="Q399" t="s">
        <v>175</v>
      </c>
      <c r="R399">
        <v>-4</v>
      </c>
      <c r="S399" t="s">
        <v>1685</v>
      </c>
      <c r="T399">
        <v>-4</v>
      </c>
      <c r="U399" t="s">
        <v>390</v>
      </c>
      <c r="V399">
        <v>-8</v>
      </c>
      <c r="W399" t="s">
        <v>1843</v>
      </c>
      <c r="X399">
        <v>-8</v>
      </c>
      <c r="Y399" t="s">
        <v>146</v>
      </c>
      <c r="Z399">
        <v>-1</v>
      </c>
      <c r="AA399" t="s">
        <v>355</v>
      </c>
      <c r="AB399">
        <v>-100</v>
      </c>
      <c r="AC399" t="s">
        <v>383</v>
      </c>
      <c r="AD399">
        <v>-50</v>
      </c>
      <c r="AE399" t="s">
        <v>58</v>
      </c>
      <c r="AF399">
        <v>-72</v>
      </c>
      <c r="AG399" t="s">
        <v>879</v>
      </c>
      <c r="AH399">
        <v>-2</v>
      </c>
      <c r="AI399" t="s">
        <v>286</v>
      </c>
      <c r="AJ399">
        <v>-90</v>
      </c>
      <c r="AK399" t="s">
        <v>2293</v>
      </c>
      <c r="AL399">
        <v>-2</v>
      </c>
      <c r="AM399" t="s">
        <v>393</v>
      </c>
      <c r="AN399">
        <v>-78</v>
      </c>
    </row>
    <row r="400" spans="2:40" x14ac:dyDescent="0.25">
      <c r="B400" t="s">
        <v>57</v>
      </c>
      <c r="C400">
        <v>-140</v>
      </c>
      <c r="E400" t="s">
        <v>113</v>
      </c>
      <c r="F400">
        <v>-192</v>
      </c>
      <c r="H400" t="s">
        <v>617</v>
      </c>
      <c r="I400">
        <v>-10</v>
      </c>
      <c r="J400" t="s">
        <v>1078</v>
      </c>
      <c r="K400">
        <v>-39</v>
      </c>
      <c r="L400" t="s">
        <v>1247</v>
      </c>
      <c r="M400">
        <v>-1</v>
      </c>
      <c r="O400" t="s">
        <v>1246</v>
      </c>
      <c r="P400">
        <v>-2</v>
      </c>
      <c r="Q400" t="s">
        <v>579</v>
      </c>
      <c r="R400">
        <v>-18</v>
      </c>
      <c r="S400" t="s">
        <v>645</v>
      </c>
      <c r="T400">
        <v>-3</v>
      </c>
      <c r="U400" t="s">
        <v>175</v>
      </c>
      <c r="V400">
        <v>-12</v>
      </c>
      <c r="W400" t="s">
        <v>201</v>
      </c>
      <c r="X400">
        <v>-4</v>
      </c>
      <c r="Y400" t="s">
        <v>162</v>
      </c>
      <c r="Z400">
        <v>-80</v>
      </c>
      <c r="AA400" t="s">
        <v>384</v>
      </c>
      <c r="AB400">
        <v>-24</v>
      </c>
      <c r="AC400" t="s">
        <v>619</v>
      </c>
      <c r="AD400">
        <v>-1</v>
      </c>
      <c r="AE400" t="s">
        <v>2097</v>
      </c>
      <c r="AF400">
        <v>-2</v>
      </c>
      <c r="AG400" t="s">
        <v>249</v>
      </c>
      <c r="AH400">
        <v>-140</v>
      </c>
      <c r="AI400" t="s">
        <v>665</v>
      </c>
      <c r="AJ400">
        <v>-100</v>
      </c>
      <c r="AK400" t="s">
        <v>1031</v>
      </c>
      <c r="AL400">
        <v>-10</v>
      </c>
      <c r="AM400" t="s">
        <v>815</v>
      </c>
      <c r="AN400">
        <v>-2</v>
      </c>
    </row>
    <row r="401" spans="2:40" x14ac:dyDescent="0.25">
      <c r="B401" t="s">
        <v>58</v>
      </c>
      <c r="C401">
        <v>-186</v>
      </c>
      <c r="E401" t="s">
        <v>678</v>
      </c>
      <c r="F401">
        <v>-1</v>
      </c>
      <c r="H401" t="s">
        <v>88</v>
      </c>
      <c r="I401">
        <v>-5</v>
      </c>
      <c r="J401" t="s">
        <v>902</v>
      </c>
      <c r="K401">
        <v>-12</v>
      </c>
      <c r="L401" t="s">
        <v>1248</v>
      </c>
      <c r="M401">
        <v>-4</v>
      </c>
      <c r="O401" t="s">
        <v>306</v>
      </c>
      <c r="P401">
        <v>-32</v>
      </c>
      <c r="Q401" t="s">
        <v>881</v>
      </c>
      <c r="R401">
        <v>-22</v>
      </c>
      <c r="S401" t="s">
        <v>75</v>
      </c>
      <c r="T401">
        <v>-18</v>
      </c>
      <c r="U401" t="s">
        <v>579</v>
      </c>
      <c r="V401">
        <v>-10</v>
      </c>
      <c r="W401" t="s">
        <v>148</v>
      </c>
      <c r="X401">
        <v>-71</v>
      </c>
      <c r="Y401" t="s">
        <v>643</v>
      </c>
      <c r="Z401">
        <v>-2</v>
      </c>
      <c r="AA401" t="s">
        <v>733</v>
      </c>
      <c r="AB401">
        <v>-32</v>
      </c>
      <c r="AC401" t="s">
        <v>1296</v>
      </c>
      <c r="AD401">
        <v>-2</v>
      </c>
      <c r="AE401" t="s">
        <v>216</v>
      </c>
      <c r="AF401">
        <v>-8</v>
      </c>
      <c r="AG401" t="s">
        <v>250</v>
      </c>
      <c r="AH401">
        <v>-295</v>
      </c>
      <c r="AI401" t="s">
        <v>332</v>
      </c>
      <c r="AJ401">
        <v>-200</v>
      </c>
      <c r="AK401" t="s">
        <v>205</v>
      </c>
      <c r="AL401">
        <v>-4</v>
      </c>
      <c r="AM401" t="s">
        <v>100</v>
      </c>
      <c r="AN401">
        <v>-11</v>
      </c>
    </row>
    <row r="402" spans="2:40" x14ac:dyDescent="0.25">
      <c r="B402" t="s">
        <v>216</v>
      </c>
      <c r="C402">
        <v>-16</v>
      </c>
      <c r="E402" t="s">
        <v>335</v>
      </c>
      <c r="F402">
        <v>-25</v>
      </c>
      <c r="H402" t="s">
        <v>62</v>
      </c>
      <c r="I402">
        <v>-10</v>
      </c>
      <c r="J402" t="s">
        <v>903</v>
      </c>
      <c r="K402">
        <v>-4</v>
      </c>
      <c r="L402" t="s">
        <v>307</v>
      </c>
      <c r="M402">
        <v>-11</v>
      </c>
      <c r="O402" t="s">
        <v>320</v>
      </c>
      <c r="P402">
        <v>-30</v>
      </c>
      <c r="Q402" t="s">
        <v>654</v>
      </c>
      <c r="R402">
        <v>-2</v>
      </c>
      <c r="S402" t="s">
        <v>216</v>
      </c>
      <c r="T402">
        <v>-10</v>
      </c>
      <c r="U402" t="s">
        <v>177</v>
      </c>
      <c r="V402">
        <v>-2</v>
      </c>
      <c r="W402" t="s">
        <v>262</v>
      </c>
      <c r="X402">
        <v>-17</v>
      </c>
      <c r="Y402" t="s">
        <v>468</v>
      </c>
      <c r="Z402">
        <v>-2</v>
      </c>
      <c r="AA402" t="s">
        <v>1516</v>
      </c>
      <c r="AB402">
        <v>-13</v>
      </c>
      <c r="AC402" t="s">
        <v>671</v>
      </c>
      <c r="AD402">
        <v>-2</v>
      </c>
      <c r="AE402" t="s">
        <v>673</v>
      </c>
      <c r="AF402">
        <v>-16</v>
      </c>
      <c r="AG402" t="s">
        <v>743</v>
      </c>
      <c r="AH402">
        <v>-11</v>
      </c>
      <c r="AI402" t="s">
        <v>269</v>
      </c>
      <c r="AJ402">
        <v>-84</v>
      </c>
      <c r="AK402" t="s">
        <v>87</v>
      </c>
      <c r="AL402">
        <v>-40</v>
      </c>
      <c r="AM402" t="s">
        <v>450</v>
      </c>
      <c r="AN402">
        <v>-209</v>
      </c>
    </row>
    <row r="403" spans="2:40" x14ac:dyDescent="0.25">
      <c r="B403" t="s">
        <v>673</v>
      </c>
      <c r="C403">
        <v>-74</v>
      </c>
      <c r="E403" t="s">
        <v>128</v>
      </c>
      <c r="F403">
        <v>-19</v>
      </c>
      <c r="H403" t="s">
        <v>207</v>
      </c>
      <c r="I403">
        <v>-6</v>
      </c>
      <c r="J403" t="s">
        <v>1079</v>
      </c>
      <c r="K403">
        <v>-30</v>
      </c>
      <c r="L403" t="s">
        <v>99</v>
      </c>
      <c r="M403">
        <v>-22</v>
      </c>
      <c r="O403" t="s">
        <v>317</v>
      </c>
      <c r="P403">
        <v>-6</v>
      </c>
      <c r="Q403" t="s">
        <v>136</v>
      </c>
      <c r="R403">
        <v>-2</v>
      </c>
      <c r="S403" t="s">
        <v>673</v>
      </c>
      <c r="T403">
        <v>-16</v>
      </c>
      <c r="U403" t="s">
        <v>654</v>
      </c>
      <c r="V403">
        <v>-2</v>
      </c>
      <c r="W403" t="s">
        <v>263</v>
      </c>
      <c r="X403">
        <v>-7</v>
      </c>
      <c r="Y403" t="s">
        <v>1088</v>
      </c>
      <c r="Z403">
        <v>-3</v>
      </c>
      <c r="AA403" t="s">
        <v>441</v>
      </c>
      <c r="AB403">
        <v>-20</v>
      </c>
      <c r="AC403" t="s">
        <v>672</v>
      </c>
      <c r="AD403">
        <v>-2</v>
      </c>
      <c r="AE403" t="s">
        <v>68</v>
      </c>
      <c r="AF403">
        <v>-7</v>
      </c>
      <c r="AG403" t="s">
        <v>1267</v>
      </c>
      <c r="AH403">
        <v>-10</v>
      </c>
      <c r="AI403" t="s">
        <v>820</v>
      </c>
      <c r="AJ403">
        <v>-64</v>
      </c>
      <c r="AK403" t="s">
        <v>1265</v>
      </c>
      <c r="AL403">
        <v>-26</v>
      </c>
      <c r="AM403" t="s">
        <v>1245</v>
      </c>
      <c r="AN403">
        <v>-6</v>
      </c>
    </row>
    <row r="404" spans="2:40" x14ac:dyDescent="0.25">
      <c r="B404" t="s">
        <v>68</v>
      </c>
      <c r="C404">
        <v>-16</v>
      </c>
      <c r="E404" t="s">
        <v>281</v>
      </c>
      <c r="F404">
        <v>-48</v>
      </c>
      <c r="H404" t="s">
        <v>282</v>
      </c>
      <c r="I404">
        <v>-24</v>
      </c>
      <c r="J404" t="s">
        <v>1080</v>
      </c>
      <c r="K404">
        <v>-60</v>
      </c>
      <c r="L404" t="s">
        <v>1027</v>
      </c>
      <c r="M404">
        <v>-12</v>
      </c>
      <c r="O404" t="s">
        <v>307</v>
      </c>
      <c r="P404">
        <v>-10</v>
      </c>
      <c r="Q404" t="s">
        <v>1037</v>
      </c>
      <c r="R404">
        <v>-19</v>
      </c>
      <c r="S404" t="s">
        <v>470</v>
      </c>
      <c r="T404">
        <v>-5</v>
      </c>
      <c r="U404" t="s">
        <v>136</v>
      </c>
      <c r="V404">
        <v>-2</v>
      </c>
      <c r="W404" t="s">
        <v>261</v>
      </c>
      <c r="X404">
        <v>-6</v>
      </c>
      <c r="Y404" t="s">
        <v>1348</v>
      </c>
      <c r="Z404">
        <v>-1</v>
      </c>
      <c r="AA404" t="s">
        <v>341</v>
      </c>
      <c r="AB404">
        <v>-27</v>
      </c>
      <c r="AC404" t="s">
        <v>447</v>
      </c>
      <c r="AD404">
        <v>-2.25</v>
      </c>
      <c r="AE404" t="s">
        <v>2098</v>
      </c>
      <c r="AF404">
        <v>-5</v>
      </c>
      <c r="AG404" t="s">
        <v>1268</v>
      </c>
      <c r="AH404">
        <v>-10</v>
      </c>
      <c r="AI404" t="s">
        <v>284</v>
      </c>
      <c r="AJ404">
        <v>-14</v>
      </c>
      <c r="AK404" t="s">
        <v>86</v>
      </c>
      <c r="AL404">
        <v>-70</v>
      </c>
      <c r="AM404" t="s">
        <v>2422</v>
      </c>
      <c r="AN404">
        <v>-5</v>
      </c>
    </row>
    <row r="405" spans="2:40" x14ac:dyDescent="0.25">
      <c r="B405" t="s">
        <v>201</v>
      </c>
      <c r="C405">
        <v>-8</v>
      </c>
      <c r="E405" t="s">
        <v>140</v>
      </c>
      <c r="F405">
        <v>-14</v>
      </c>
      <c r="H405" t="s">
        <v>215</v>
      </c>
      <c r="I405">
        <v>-5</v>
      </c>
      <c r="J405" t="s">
        <v>1081</v>
      </c>
      <c r="K405">
        <v>-60</v>
      </c>
      <c r="L405" t="s">
        <v>1249</v>
      </c>
      <c r="M405">
        <v>-1</v>
      </c>
      <c r="O405" t="s">
        <v>99</v>
      </c>
      <c r="P405">
        <v>-24</v>
      </c>
      <c r="Q405" t="s">
        <v>15</v>
      </c>
      <c r="R405">
        <v>-190</v>
      </c>
      <c r="S405" t="s">
        <v>68</v>
      </c>
      <c r="T405">
        <v>-7</v>
      </c>
      <c r="U405" t="s">
        <v>152</v>
      </c>
      <c r="V405">
        <v>-1</v>
      </c>
      <c r="W405" t="s">
        <v>151</v>
      </c>
      <c r="X405">
        <v>-8</v>
      </c>
      <c r="Y405" t="s">
        <v>1089</v>
      </c>
      <c r="Z405">
        <v>-1750</v>
      </c>
      <c r="AA405" t="s">
        <v>1930</v>
      </c>
      <c r="AB405">
        <v>-1</v>
      </c>
      <c r="AC405" t="s">
        <v>445</v>
      </c>
      <c r="AD405">
        <v>-1</v>
      </c>
      <c r="AE405" t="s">
        <v>2099</v>
      </c>
      <c r="AF405">
        <v>-2</v>
      </c>
      <c r="AG405" t="s">
        <v>2160</v>
      </c>
      <c r="AH405">
        <v>-9</v>
      </c>
      <c r="AI405" t="s">
        <v>285</v>
      </c>
      <c r="AJ405">
        <v>-20</v>
      </c>
      <c r="AK405" t="s">
        <v>1032</v>
      </c>
      <c r="AL405">
        <v>-5</v>
      </c>
      <c r="AM405" t="s">
        <v>2423</v>
      </c>
      <c r="AN405">
        <v>-5</v>
      </c>
    </row>
    <row r="406" spans="2:40" x14ac:dyDescent="0.25">
      <c r="B406" t="s">
        <v>148</v>
      </c>
      <c r="C406">
        <v>-163</v>
      </c>
      <c r="E406" t="s">
        <v>833</v>
      </c>
      <c r="F406">
        <v>-1</v>
      </c>
      <c r="H406" t="s">
        <v>77</v>
      </c>
      <c r="I406">
        <v>-31</v>
      </c>
      <c r="J406" t="s">
        <v>1082</v>
      </c>
      <c r="K406">
        <v>-30</v>
      </c>
      <c r="L406" t="s">
        <v>1250</v>
      </c>
      <c r="M406">
        <v>-3</v>
      </c>
      <c r="O406" t="s">
        <v>400</v>
      </c>
      <c r="P406">
        <v>-14</v>
      </c>
      <c r="Q406" t="s">
        <v>394</v>
      </c>
      <c r="R406">
        <v>-30</v>
      </c>
      <c r="S406" t="s">
        <v>1610</v>
      </c>
      <c r="T406">
        <v>-5</v>
      </c>
      <c r="U406" t="s">
        <v>15</v>
      </c>
      <c r="V406">
        <v>-118</v>
      </c>
      <c r="W406" t="s">
        <v>258</v>
      </c>
      <c r="X406">
        <v>-3</v>
      </c>
      <c r="Y406" t="s">
        <v>651</v>
      </c>
      <c r="Z406">
        <v>-18.999999999999996</v>
      </c>
      <c r="AA406" t="s">
        <v>739</v>
      </c>
      <c r="AB406">
        <v>-1</v>
      </c>
      <c r="AC406" t="s">
        <v>639</v>
      </c>
      <c r="AD406">
        <v>-4.375</v>
      </c>
      <c r="AE406" t="s">
        <v>2100</v>
      </c>
      <c r="AF406">
        <v>-1</v>
      </c>
      <c r="AG406" t="s">
        <v>592</v>
      </c>
      <c r="AH406">
        <v>-6887.27</v>
      </c>
      <c r="AI406" t="s">
        <v>1261</v>
      </c>
      <c r="AJ406">
        <v>-1</v>
      </c>
      <c r="AK406" t="s">
        <v>1033</v>
      </c>
      <c r="AL406">
        <v>-2</v>
      </c>
      <c r="AM406" t="s">
        <v>548</v>
      </c>
      <c r="AN406">
        <v>-6</v>
      </c>
    </row>
    <row r="407" spans="2:40" x14ac:dyDescent="0.25">
      <c r="B407" t="s">
        <v>262</v>
      </c>
      <c r="C407">
        <v>-40</v>
      </c>
      <c r="E407" t="s">
        <v>290</v>
      </c>
      <c r="F407">
        <v>-61</v>
      </c>
      <c r="H407" t="s">
        <v>374</v>
      </c>
      <c r="I407">
        <v>-22</v>
      </c>
      <c r="J407" t="s">
        <v>113</v>
      </c>
      <c r="K407">
        <v>-36</v>
      </c>
      <c r="L407" t="s">
        <v>1251</v>
      </c>
      <c r="M407">
        <v>-47</v>
      </c>
      <c r="O407" t="s">
        <v>1447</v>
      </c>
      <c r="P407">
        <v>-21</v>
      </c>
      <c r="Q407" t="s">
        <v>1038</v>
      </c>
      <c r="R407">
        <v>-6</v>
      </c>
      <c r="S407" t="s">
        <v>1611</v>
      </c>
      <c r="T407">
        <v>-10</v>
      </c>
      <c r="U407" t="s">
        <v>394</v>
      </c>
      <c r="V407">
        <v>-48</v>
      </c>
      <c r="W407" t="s">
        <v>382</v>
      </c>
      <c r="X407">
        <v>-44</v>
      </c>
      <c r="Y407" t="s">
        <v>926</v>
      </c>
      <c r="Z407">
        <v>-2</v>
      </c>
      <c r="AA407" t="s">
        <v>630</v>
      </c>
      <c r="AB407">
        <v>-2</v>
      </c>
      <c r="AC407" t="s">
        <v>446</v>
      </c>
      <c r="AD407">
        <v>-3.25</v>
      </c>
      <c r="AE407" t="s">
        <v>201</v>
      </c>
      <c r="AF407">
        <v>-4</v>
      </c>
      <c r="AG407" t="s">
        <v>2161</v>
      </c>
      <c r="AH407">
        <v>-16</v>
      </c>
      <c r="AI407" t="s">
        <v>208</v>
      </c>
      <c r="AJ407">
        <v>-20</v>
      </c>
      <c r="AK407" t="s">
        <v>1266</v>
      </c>
      <c r="AL407">
        <v>-6</v>
      </c>
      <c r="AM407" t="s">
        <v>2424</v>
      </c>
      <c r="AN407">
        <v>-6</v>
      </c>
    </row>
    <row r="408" spans="2:40" x14ac:dyDescent="0.25">
      <c r="B408" t="s">
        <v>263</v>
      </c>
      <c r="C408">
        <v>-17</v>
      </c>
      <c r="E408" t="s">
        <v>288</v>
      </c>
      <c r="F408">
        <v>-64</v>
      </c>
      <c r="H408" t="s">
        <v>912</v>
      </c>
      <c r="I408">
        <v>-8</v>
      </c>
      <c r="J408" t="s">
        <v>678</v>
      </c>
      <c r="K408">
        <v>-43.150199999999998</v>
      </c>
      <c r="L408" t="s">
        <v>1252</v>
      </c>
      <c r="M408">
        <v>-2</v>
      </c>
      <c r="O408" t="s">
        <v>1448</v>
      </c>
      <c r="P408">
        <v>-22</v>
      </c>
      <c r="Q408" t="s">
        <v>242</v>
      </c>
      <c r="R408">
        <v>-89</v>
      </c>
      <c r="S408" t="s">
        <v>1612</v>
      </c>
      <c r="T408">
        <v>-40</v>
      </c>
      <c r="U408" t="s">
        <v>883</v>
      </c>
      <c r="V408">
        <v>-2</v>
      </c>
      <c r="W408" t="s">
        <v>139</v>
      </c>
      <c r="X408">
        <v>-2</v>
      </c>
      <c r="Y408" t="s">
        <v>927</v>
      </c>
      <c r="Z408">
        <v>-11</v>
      </c>
      <c r="AA408" t="s">
        <v>589</v>
      </c>
      <c r="AB408">
        <v>-5</v>
      </c>
      <c r="AC408" t="s">
        <v>1751</v>
      </c>
      <c r="AD408">
        <v>-3</v>
      </c>
      <c r="AE408" t="s">
        <v>2101</v>
      </c>
      <c r="AF408">
        <v>-6</v>
      </c>
      <c r="AG408" t="s">
        <v>1271</v>
      </c>
      <c r="AH408">
        <v>-10</v>
      </c>
      <c r="AI408" t="s">
        <v>210</v>
      </c>
      <c r="AJ408">
        <v>-2</v>
      </c>
      <c r="AK408" t="s">
        <v>879</v>
      </c>
      <c r="AL408">
        <v>-2</v>
      </c>
      <c r="AM408" t="s">
        <v>2073</v>
      </c>
      <c r="AN408">
        <v>-40</v>
      </c>
    </row>
    <row r="409" spans="2:40" x14ac:dyDescent="0.25">
      <c r="B409" t="s">
        <v>261</v>
      </c>
      <c r="C409">
        <v>-16</v>
      </c>
      <c r="E409" t="s">
        <v>47</v>
      </c>
      <c r="F409">
        <v>-16</v>
      </c>
      <c r="H409" t="s">
        <v>63</v>
      </c>
      <c r="I409">
        <v>-12</v>
      </c>
      <c r="J409" t="s">
        <v>85</v>
      </c>
      <c r="K409">
        <v>-60</v>
      </c>
      <c r="L409" t="s">
        <v>1253</v>
      </c>
      <c r="M409">
        <v>-2</v>
      </c>
      <c r="O409" t="s">
        <v>1449</v>
      </c>
      <c r="P409">
        <v>-22</v>
      </c>
      <c r="Q409" t="s">
        <v>1607</v>
      </c>
      <c r="R409">
        <v>-5</v>
      </c>
      <c r="S409" t="s">
        <v>201</v>
      </c>
      <c r="T409">
        <v>-5</v>
      </c>
      <c r="U409" t="s">
        <v>823</v>
      </c>
      <c r="V409">
        <v>-2</v>
      </c>
      <c r="W409" t="s">
        <v>481</v>
      </c>
      <c r="X409">
        <v>-47.5</v>
      </c>
      <c r="Y409" t="s">
        <v>1931</v>
      </c>
      <c r="Z409">
        <v>-1</v>
      </c>
      <c r="AA409" t="s">
        <v>164</v>
      </c>
      <c r="AB409">
        <v>-1</v>
      </c>
      <c r="AC409" t="s">
        <v>368</v>
      </c>
      <c r="AD409">
        <v>-2</v>
      </c>
      <c r="AE409" t="s">
        <v>148</v>
      </c>
      <c r="AF409">
        <v>-106</v>
      </c>
      <c r="AG409" t="s">
        <v>129</v>
      </c>
      <c r="AH409">
        <v>-108</v>
      </c>
      <c r="AI409" t="s">
        <v>212</v>
      </c>
      <c r="AJ409">
        <v>-4</v>
      </c>
      <c r="AK409" t="s">
        <v>249</v>
      </c>
      <c r="AL409">
        <v>-108</v>
      </c>
      <c r="AM409" t="s">
        <v>320</v>
      </c>
      <c r="AN409">
        <v>-22</v>
      </c>
    </row>
    <row r="410" spans="2:40" x14ac:dyDescent="0.25">
      <c r="B410" t="s">
        <v>151</v>
      </c>
      <c r="C410">
        <v>-14</v>
      </c>
      <c r="E410" t="s">
        <v>88</v>
      </c>
      <c r="F410">
        <v>-14</v>
      </c>
      <c r="H410" t="s">
        <v>195</v>
      </c>
      <c r="I410">
        <v>-26</v>
      </c>
      <c r="J410" t="s">
        <v>128</v>
      </c>
      <c r="K410">
        <v>-5</v>
      </c>
      <c r="L410" t="s">
        <v>301</v>
      </c>
      <c r="M410">
        <v>-8</v>
      </c>
      <c r="O410" t="s">
        <v>1450</v>
      </c>
      <c r="P410">
        <v>-9</v>
      </c>
      <c r="Q410" t="s">
        <v>1476</v>
      </c>
      <c r="R410">
        <v>-5</v>
      </c>
      <c r="S410" t="s">
        <v>148</v>
      </c>
      <c r="T410">
        <v>-86</v>
      </c>
      <c r="U410" t="s">
        <v>242</v>
      </c>
      <c r="V410">
        <v>-7.5</v>
      </c>
      <c r="W410" t="s">
        <v>94</v>
      </c>
      <c r="X410">
        <v>-1</v>
      </c>
      <c r="Y410" t="s">
        <v>737</v>
      </c>
      <c r="Z410">
        <v>-483.00000000000017</v>
      </c>
      <c r="AA410" t="s">
        <v>923</v>
      </c>
      <c r="AB410">
        <v>-23</v>
      </c>
      <c r="AC410" t="s">
        <v>1753</v>
      </c>
      <c r="AD410">
        <v>-2</v>
      </c>
      <c r="AE410" t="s">
        <v>262</v>
      </c>
      <c r="AF410">
        <v>-43</v>
      </c>
      <c r="AG410" t="s">
        <v>390</v>
      </c>
      <c r="AH410">
        <v>-45</v>
      </c>
      <c r="AI410" t="s">
        <v>875</v>
      </c>
      <c r="AJ410">
        <v>-1</v>
      </c>
      <c r="AK410" t="s">
        <v>250</v>
      </c>
      <c r="AL410">
        <v>-219</v>
      </c>
      <c r="AM410" t="s">
        <v>317</v>
      </c>
      <c r="AN410">
        <v>-13</v>
      </c>
    </row>
    <row r="411" spans="2:40" x14ac:dyDescent="0.25">
      <c r="B411" t="s">
        <v>258</v>
      </c>
      <c r="C411">
        <v>-8</v>
      </c>
      <c r="E411" t="s">
        <v>62</v>
      </c>
      <c r="F411">
        <v>-22</v>
      </c>
      <c r="H411" t="s">
        <v>355</v>
      </c>
      <c r="I411">
        <v>-3200.0007999999993</v>
      </c>
      <c r="J411" t="s">
        <v>281</v>
      </c>
      <c r="K411">
        <v>-15</v>
      </c>
      <c r="L411" t="s">
        <v>345</v>
      </c>
      <c r="M411">
        <v>-119.0005</v>
      </c>
      <c r="O411" t="s">
        <v>1249</v>
      </c>
      <c r="P411">
        <v>-1</v>
      </c>
      <c r="Q411" t="s">
        <v>645</v>
      </c>
      <c r="R411">
        <v>-2</v>
      </c>
      <c r="S411" t="s">
        <v>262</v>
      </c>
      <c r="T411">
        <v>-25</v>
      </c>
      <c r="U411" t="s">
        <v>645</v>
      </c>
      <c r="V411">
        <v>-6</v>
      </c>
      <c r="W411" t="s">
        <v>325</v>
      </c>
      <c r="X411">
        <v>-6</v>
      </c>
      <c r="Y411" t="s">
        <v>555</v>
      </c>
      <c r="Z411">
        <v>-173</v>
      </c>
      <c r="AA411" t="s">
        <v>557</v>
      </c>
      <c r="AB411">
        <v>-10</v>
      </c>
      <c r="AC411" t="s">
        <v>1303</v>
      </c>
      <c r="AD411">
        <v>-13</v>
      </c>
      <c r="AE411" t="s">
        <v>263</v>
      </c>
      <c r="AF411">
        <v>-29</v>
      </c>
      <c r="AG411" t="s">
        <v>175</v>
      </c>
      <c r="AH411">
        <v>-25</v>
      </c>
      <c r="AI411" t="s">
        <v>876</v>
      </c>
      <c r="AJ411">
        <v>-2</v>
      </c>
      <c r="AK411" t="s">
        <v>743</v>
      </c>
      <c r="AL411">
        <v>-17</v>
      </c>
      <c r="AM411" t="s">
        <v>1908</v>
      </c>
      <c r="AN411">
        <v>-19</v>
      </c>
    </row>
    <row r="412" spans="2:40" x14ac:dyDescent="0.25">
      <c r="B412" t="s">
        <v>246</v>
      </c>
      <c r="C412">
        <v>-112</v>
      </c>
      <c r="E412" t="s">
        <v>207</v>
      </c>
      <c r="F412">
        <v>-14</v>
      </c>
      <c r="H412" t="s">
        <v>834</v>
      </c>
      <c r="I412">
        <v>-1</v>
      </c>
      <c r="J412" t="s">
        <v>140</v>
      </c>
      <c r="K412">
        <v>-2</v>
      </c>
      <c r="L412" t="s">
        <v>425</v>
      </c>
      <c r="M412">
        <v>-86</v>
      </c>
      <c r="O412" t="s">
        <v>324</v>
      </c>
      <c r="P412">
        <v>-6</v>
      </c>
      <c r="Q412" t="s">
        <v>1477</v>
      </c>
      <c r="R412">
        <v>-5</v>
      </c>
      <c r="S412" t="s">
        <v>263</v>
      </c>
      <c r="T412">
        <v>-10</v>
      </c>
      <c r="U412" t="s">
        <v>56</v>
      </c>
      <c r="V412">
        <v>-27</v>
      </c>
      <c r="W412" t="s">
        <v>726</v>
      </c>
      <c r="X412">
        <v>-8</v>
      </c>
      <c r="Y412" t="s">
        <v>929</v>
      </c>
      <c r="Z412">
        <v>-1</v>
      </c>
      <c r="AA412" t="s">
        <v>651</v>
      </c>
      <c r="AB412">
        <v>-5</v>
      </c>
      <c r="AC412" t="s">
        <v>2012</v>
      </c>
      <c r="AD412">
        <v>-2</v>
      </c>
      <c r="AE412" t="s">
        <v>261</v>
      </c>
      <c r="AF412">
        <v>-20</v>
      </c>
      <c r="AG412" t="s">
        <v>579</v>
      </c>
      <c r="AH412">
        <v>-8</v>
      </c>
      <c r="AI412" t="s">
        <v>280</v>
      </c>
      <c r="AJ412">
        <v>-98</v>
      </c>
      <c r="AK412" t="s">
        <v>1267</v>
      </c>
      <c r="AL412">
        <v>-4</v>
      </c>
      <c r="AM412" t="s">
        <v>512</v>
      </c>
      <c r="AN412">
        <v>-10</v>
      </c>
    </row>
    <row r="413" spans="2:40" x14ac:dyDescent="0.25">
      <c r="B413" t="s">
        <v>139</v>
      </c>
      <c r="C413">
        <v>-1</v>
      </c>
      <c r="E413" t="s">
        <v>282</v>
      </c>
      <c r="F413">
        <v>-32</v>
      </c>
      <c r="H413" t="s">
        <v>681</v>
      </c>
      <c r="I413">
        <v>-280</v>
      </c>
      <c r="J413" t="s">
        <v>1083</v>
      </c>
      <c r="K413">
        <v>-6</v>
      </c>
      <c r="L413" t="s">
        <v>440</v>
      </c>
      <c r="M413">
        <v>-225</v>
      </c>
      <c r="O413" t="s">
        <v>1451</v>
      </c>
      <c r="P413">
        <v>-2</v>
      </c>
      <c r="Q413" t="s">
        <v>1479</v>
      </c>
      <c r="R413">
        <v>-20</v>
      </c>
      <c r="S413" t="s">
        <v>261</v>
      </c>
      <c r="T413">
        <v>-10</v>
      </c>
      <c r="U413" t="s">
        <v>887</v>
      </c>
      <c r="V413">
        <v>-20</v>
      </c>
      <c r="W413" t="s">
        <v>193</v>
      </c>
      <c r="X413">
        <v>-2</v>
      </c>
      <c r="Y413" t="s">
        <v>1932</v>
      </c>
      <c r="Z413">
        <v>-300</v>
      </c>
      <c r="AA413" t="s">
        <v>559</v>
      </c>
      <c r="AB413">
        <v>-10</v>
      </c>
      <c r="AC413" t="s">
        <v>892</v>
      </c>
      <c r="AD413">
        <v>-14</v>
      </c>
      <c r="AE413" t="s">
        <v>1044</v>
      </c>
      <c r="AF413">
        <v>-8</v>
      </c>
      <c r="AG413" t="s">
        <v>177</v>
      </c>
      <c r="AH413">
        <v>-8</v>
      </c>
      <c r="AI413" t="s">
        <v>878</v>
      </c>
      <c r="AJ413">
        <v>-8</v>
      </c>
      <c r="AK413" t="s">
        <v>1268</v>
      </c>
      <c r="AL413">
        <v>-1</v>
      </c>
      <c r="AM413" t="s">
        <v>2425</v>
      </c>
      <c r="AN413">
        <v>-5</v>
      </c>
    </row>
    <row r="414" spans="2:40" x14ac:dyDescent="0.25">
      <c r="B414" t="s">
        <v>481</v>
      </c>
      <c r="C414">
        <v>-35.619999999999997</v>
      </c>
      <c r="E414" t="s">
        <v>215</v>
      </c>
      <c r="F414">
        <v>-15</v>
      </c>
      <c r="H414" t="s">
        <v>733</v>
      </c>
      <c r="I414">
        <v>-416</v>
      </c>
      <c r="J414" t="s">
        <v>906</v>
      </c>
      <c r="K414">
        <v>-12</v>
      </c>
      <c r="L414" t="s">
        <v>439</v>
      </c>
      <c r="M414">
        <v>-37.5</v>
      </c>
      <c r="O414" t="s">
        <v>301</v>
      </c>
      <c r="P414">
        <v>-2</v>
      </c>
      <c r="Q414" t="s">
        <v>75</v>
      </c>
      <c r="R414">
        <v>-118</v>
      </c>
      <c r="S414" t="s">
        <v>151</v>
      </c>
      <c r="T414">
        <v>-10</v>
      </c>
      <c r="U414" t="s">
        <v>75</v>
      </c>
      <c r="V414">
        <v>-24</v>
      </c>
      <c r="W414" t="s">
        <v>194</v>
      </c>
      <c r="X414">
        <v>-54</v>
      </c>
      <c r="Y414" t="s">
        <v>586</v>
      </c>
      <c r="Z414">
        <v>-3738.0000000000005</v>
      </c>
      <c r="AA414" t="s">
        <v>927</v>
      </c>
      <c r="AB414">
        <v>-2</v>
      </c>
      <c r="AC414" t="s">
        <v>1305</v>
      </c>
      <c r="AD414">
        <v>-1</v>
      </c>
      <c r="AE414" t="s">
        <v>2102</v>
      </c>
      <c r="AF414">
        <v>-4</v>
      </c>
      <c r="AG414" t="s">
        <v>550</v>
      </c>
      <c r="AH414">
        <v>-1</v>
      </c>
      <c r="AI414" t="s">
        <v>32</v>
      </c>
      <c r="AJ414">
        <v>-67</v>
      </c>
      <c r="AK414" t="s">
        <v>279</v>
      </c>
      <c r="AL414">
        <v>-1</v>
      </c>
      <c r="AM414" t="s">
        <v>2074</v>
      </c>
      <c r="AN414">
        <v>-3</v>
      </c>
    </row>
    <row r="415" spans="2:40" x14ac:dyDescent="0.25">
      <c r="B415" t="s">
        <v>614</v>
      </c>
      <c r="C415">
        <v>-3</v>
      </c>
      <c r="E415" t="s">
        <v>77</v>
      </c>
      <c r="F415">
        <v>-29</v>
      </c>
      <c r="H415" t="s">
        <v>835</v>
      </c>
      <c r="I415">
        <v>-234</v>
      </c>
      <c r="J415" t="s">
        <v>1084</v>
      </c>
      <c r="K415">
        <v>-1</v>
      </c>
      <c r="L415" t="s">
        <v>438</v>
      </c>
      <c r="M415">
        <v>-15.600000000000001</v>
      </c>
      <c r="O415" t="s">
        <v>345</v>
      </c>
      <c r="P415">
        <v>-47.04</v>
      </c>
      <c r="Q415" t="s">
        <v>1608</v>
      </c>
      <c r="R415">
        <v>-2</v>
      </c>
      <c r="S415" t="s">
        <v>1686</v>
      </c>
      <c r="T415">
        <v>-10</v>
      </c>
      <c r="U415" t="s">
        <v>57</v>
      </c>
      <c r="V415">
        <v>-30</v>
      </c>
      <c r="W415" t="s">
        <v>1295</v>
      </c>
      <c r="X415">
        <v>-3</v>
      </c>
      <c r="Y415" t="s">
        <v>659</v>
      </c>
      <c r="Z415">
        <v>-125</v>
      </c>
      <c r="AA415" t="s">
        <v>929</v>
      </c>
      <c r="AB415">
        <v>-6</v>
      </c>
      <c r="AC415" t="s">
        <v>605</v>
      </c>
      <c r="AD415">
        <v>-24</v>
      </c>
      <c r="AE415" t="s">
        <v>151</v>
      </c>
      <c r="AF415">
        <v>-16</v>
      </c>
      <c r="AG415" t="s">
        <v>2162</v>
      </c>
      <c r="AH415">
        <v>-5</v>
      </c>
      <c r="AI415" t="s">
        <v>51</v>
      </c>
      <c r="AJ415">
        <v>-26</v>
      </c>
      <c r="AK415" t="s">
        <v>592</v>
      </c>
      <c r="AL415">
        <v>-5656</v>
      </c>
      <c r="AM415" t="s">
        <v>1250</v>
      </c>
      <c r="AN415">
        <v>-5</v>
      </c>
    </row>
    <row r="416" spans="2:40" x14ac:dyDescent="0.25">
      <c r="B416" t="s">
        <v>94</v>
      </c>
      <c r="C416">
        <v>-7</v>
      </c>
      <c r="E416" t="s">
        <v>63</v>
      </c>
      <c r="F416">
        <v>-20</v>
      </c>
      <c r="H416" t="s">
        <v>441</v>
      </c>
      <c r="I416">
        <v>-128.57</v>
      </c>
      <c r="J416" t="s">
        <v>290</v>
      </c>
      <c r="K416">
        <v>-6</v>
      </c>
      <c r="L416" t="s">
        <v>1254</v>
      </c>
      <c r="M416">
        <v>-8</v>
      </c>
      <c r="O416" t="s">
        <v>603</v>
      </c>
      <c r="P416">
        <v>-3.2</v>
      </c>
      <c r="Q416" t="s">
        <v>1609</v>
      </c>
      <c r="R416">
        <v>-3</v>
      </c>
      <c r="S416" t="s">
        <v>258</v>
      </c>
      <c r="T416">
        <v>-5</v>
      </c>
      <c r="U416" t="s">
        <v>58</v>
      </c>
      <c r="V416">
        <v>-42</v>
      </c>
      <c r="W416" t="s">
        <v>220</v>
      </c>
      <c r="X416">
        <v>-4</v>
      </c>
      <c r="Y416" t="s">
        <v>163</v>
      </c>
      <c r="Z416">
        <v>-30</v>
      </c>
      <c r="AA416" t="s">
        <v>586</v>
      </c>
      <c r="AB416">
        <v>-200</v>
      </c>
      <c r="AC416" t="s">
        <v>893</v>
      </c>
      <c r="AD416">
        <v>-2</v>
      </c>
      <c r="AE416" t="s">
        <v>2103</v>
      </c>
      <c r="AF416">
        <v>-3</v>
      </c>
      <c r="AG416" t="s">
        <v>2163</v>
      </c>
      <c r="AH416">
        <v>-16</v>
      </c>
      <c r="AI416" t="s">
        <v>33</v>
      </c>
      <c r="AJ416">
        <v>-57</v>
      </c>
      <c r="AK416" t="s">
        <v>1271</v>
      </c>
      <c r="AL416">
        <v>-4</v>
      </c>
      <c r="AM416" t="s">
        <v>1741</v>
      </c>
      <c r="AN416">
        <v>-2</v>
      </c>
    </row>
    <row r="417" spans="2:40" x14ac:dyDescent="0.25">
      <c r="B417" t="s">
        <v>770</v>
      </c>
      <c r="C417">
        <v>-1</v>
      </c>
      <c r="E417" t="s">
        <v>355</v>
      </c>
      <c r="F417">
        <v>-3150</v>
      </c>
      <c r="H417" t="s">
        <v>341</v>
      </c>
      <c r="I417">
        <v>-487.99939999999998</v>
      </c>
      <c r="J417" t="s">
        <v>288</v>
      </c>
      <c r="K417">
        <v>-12</v>
      </c>
      <c r="L417" t="s">
        <v>549</v>
      </c>
      <c r="M417">
        <v>-66</v>
      </c>
      <c r="O417" t="s">
        <v>1452</v>
      </c>
      <c r="P417">
        <v>-0.75</v>
      </c>
      <c r="Q417" t="s">
        <v>216</v>
      </c>
      <c r="R417">
        <v>-4</v>
      </c>
      <c r="S417" t="s">
        <v>1278</v>
      </c>
      <c r="T417">
        <v>-1</v>
      </c>
      <c r="U417" t="s">
        <v>216</v>
      </c>
      <c r="V417">
        <v>-16</v>
      </c>
      <c r="W417" t="s">
        <v>1844</v>
      </c>
      <c r="X417">
        <v>-26</v>
      </c>
      <c r="Y417" t="s">
        <v>89</v>
      </c>
      <c r="Z417">
        <v>-4.0000000000000009</v>
      </c>
      <c r="AA417" t="s">
        <v>659</v>
      </c>
      <c r="AB417">
        <v>-100</v>
      </c>
      <c r="AC417" t="s">
        <v>1063</v>
      </c>
      <c r="AD417">
        <v>-4</v>
      </c>
      <c r="AE417" t="s">
        <v>258</v>
      </c>
      <c r="AF417">
        <v>-9</v>
      </c>
      <c r="AG417" t="s">
        <v>654</v>
      </c>
      <c r="AH417">
        <v>-9</v>
      </c>
      <c r="AI417" t="s">
        <v>34</v>
      </c>
      <c r="AJ417">
        <v>-64</v>
      </c>
      <c r="AK417" t="s">
        <v>1750</v>
      </c>
      <c r="AL417">
        <v>-4</v>
      </c>
      <c r="AM417" t="s">
        <v>2426</v>
      </c>
      <c r="AN417">
        <v>-4</v>
      </c>
    </row>
    <row r="418" spans="2:40" x14ac:dyDescent="0.25">
      <c r="B418" t="s">
        <v>325</v>
      </c>
      <c r="C418">
        <v>-17</v>
      </c>
      <c r="E418" t="s">
        <v>834</v>
      </c>
      <c r="F418">
        <v>-15</v>
      </c>
      <c r="H418" t="s">
        <v>916</v>
      </c>
      <c r="I418">
        <v>-63.999000000000002</v>
      </c>
      <c r="J418" t="s">
        <v>47</v>
      </c>
      <c r="K418">
        <v>-3</v>
      </c>
      <c r="L418" t="s">
        <v>424</v>
      </c>
      <c r="M418">
        <v>-26</v>
      </c>
      <c r="O418" t="s">
        <v>425</v>
      </c>
      <c r="P418">
        <v>-150</v>
      </c>
      <c r="Q418" t="s">
        <v>1276</v>
      </c>
      <c r="R418">
        <v>-42</v>
      </c>
      <c r="S418" t="s">
        <v>382</v>
      </c>
      <c r="T418">
        <v>-20</v>
      </c>
      <c r="U418" t="s">
        <v>673</v>
      </c>
      <c r="V418">
        <v>-20</v>
      </c>
      <c r="W418" t="s">
        <v>79</v>
      </c>
      <c r="X418">
        <v>-1700.0000000000016</v>
      </c>
      <c r="Y418" t="s">
        <v>415</v>
      </c>
      <c r="Z418">
        <v>-2</v>
      </c>
      <c r="AA418" t="s">
        <v>415</v>
      </c>
      <c r="AB418">
        <v>-9</v>
      </c>
      <c r="AC418" t="s">
        <v>894</v>
      </c>
      <c r="AD418">
        <v>-1</v>
      </c>
      <c r="AE418" t="s">
        <v>382</v>
      </c>
      <c r="AF418">
        <v>-12</v>
      </c>
      <c r="AG418" t="s">
        <v>136</v>
      </c>
      <c r="AH418">
        <v>-6</v>
      </c>
      <c r="AI418" t="s">
        <v>35</v>
      </c>
      <c r="AJ418">
        <v>-19</v>
      </c>
      <c r="AK418" t="s">
        <v>129</v>
      </c>
      <c r="AL418">
        <v>-88</v>
      </c>
      <c r="AM418" t="s">
        <v>2427</v>
      </c>
      <c r="AN418">
        <v>-2</v>
      </c>
    </row>
    <row r="419" spans="2:40" x14ac:dyDescent="0.25">
      <c r="B419" t="s">
        <v>193</v>
      </c>
      <c r="C419">
        <v>-20</v>
      </c>
      <c r="E419" t="s">
        <v>384</v>
      </c>
      <c r="F419">
        <v>-120</v>
      </c>
      <c r="H419" t="s">
        <v>917</v>
      </c>
      <c r="I419">
        <v>-28</v>
      </c>
      <c r="J419" t="s">
        <v>1085</v>
      </c>
      <c r="K419">
        <v>-3</v>
      </c>
      <c r="L419" t="s">
        <v>1255</v>
      </c>
      <c r="M419">
        <v>-8</v>
      </c>
      <c r="O419" t="s">
        <v>440</v>
      </c>
      <c r="P419">
        <v>-225</v>
      </c>
      <c r="Q419" t="s">
        <v>673</v>
      </c>
      <c r="R419">
        <v>-8</v>
      </c>
      <c r="S419" t="s">
        <v>1687</v>
      </c>
      <c r="T419">
        <v>-60</v>
      </c>
      <c r="U419" t="s">
        <v>470</v>
      </c>
      <c r="V419">
        <v>-8</v>
      </c>
      <c r="W419" t="s">
        <v>383</v>
      </c>
      <c r="X419">
        <v>-48</v>
      </c>
      <c r="Y419" t="s">
        <v>103</v>
      </c>
      <c r="Z419">
        <v>-34.999999999999993</v>
      </c>
      <c r="AA419" t="s">
        <v>103</v>
      </c>
      <c r="AB419">
        <v>-14</v>
      </c>
      <c r="AC419" t="s">
        <v>372</v>
      </c>
      <c r="AD419">
        <v>-2</v>
      </c>
      <c r="AE419" t="s">
        <v>2104</v>
      </c>
      <c r="AF419">
        <v>-4</v>
      </c>
      <c r="AG419" t="s">
        <v>15</v>
      </c>
      <c r="AH419">
        <v>-1046</v>
      </c>
      <c r="AI419" t="s">
        <v>36</v>
      </c>
      <c r="AJ419">
        <v>-22</v>
      </c>
      <c r="AK419" t="s">
        <v>390</v>
      </c>
      <c r="AL419">
        <v>-21</v>
      </c>
      <c r="AM419" t="s">
        <v>2077</v>
      </c>
      <c r="AN419">
        <v>-3</v>
      </c>
    </row>
    <row r="420" spans="2:40" x14ac:dyDescent="0.25">
      <c r="B420" t="s">
        <v>194</v>
      </c>
      <c r="C420">
        <v>-37</v>
      </c>
      <c r="E420" t="s">
        <v>835</v>
      </c>
      <c r="F420">
        <v>-169</v>
      </c>
      <c r="H420" t="s">
        <v>443</v>
      </c>
      <c r="I420">
        <v>-70.61</v>
      </c>
      <c r="J420" t="s">
        <v>911</v>
      </c>
      <c r="K420">
        <v>-16</v>
      </c>
      <c r="L420" t="s">
        <v>159</v>
      </c>
      <c r="M420">
        <v>-28</v>
      </c>
      <c r="O420" t="s">
        <v>752</v>
      </c>
      <c r="P420">
        <v>-61.624999999999993</v>
      </c>
      <c r="Q420" t="s">
        <v>1610</v>
      </c>
      <c r="R420">
        <v>-5</v>
      </c>
      <c r="S420" t="s">
        <v>1688</v>
      </c>
      <c r="T420">
        <v>-16</v>
      </c>
      <c r="U420" t="s">
        <v>68</v>
      </c>
      <c r="V420">
        <v>-1</v>
      </c>
      <c r="W420" t="s">
        <v>1296</v>
      </c>
      <c r="X420">
        <v>-6</v>
      </c>
      <c r="Y420" t="s">
        <v>587</v>
      </c>
      <c r="Z420">
        <v>-329.99999999999994</v>
      </c>
      <c r="AA420" t="s">
        <v>597</v>
      </c>
      <c r="AB420">
        <v>-1</v>
      </c>
      <c r="AC420" t="s">
        <v>2013</v>
      </c>
      <c r="AD420">
        <v>-3</v>
      </c>
      <c r="AE420" t="s">
        <v>246</v>
      </c>
      <c r="AF420">
        <v>-24</v>
      </c>
      <c r="AG420" t="s">
        <v>394</v>
      </c>
      <c r="AH420">
        <v>-44</v>
      </c>
      <c r="AI420" t="s">
        <v>666</v>
      </c>
      <c r="AJ420">
        <v>-2</v>
      </c>
      <c r="AK420" t="s">
        <v>175</v>
      </c>
      <c r="AL420">
        <v>-9</v>
      </c>
      <c r="AM420" t="s">
        <v>2078</v>
      </c>
      <c r="AN420">
        <v>-2</v>
      </c>
    </row>
    <row r="421" spans="2:40" x14ac:dyDescent="0.25">
      <c r="B421" t="s">
        <v>220</v>
      </c>
      <c r="C421">
        <v>-8</v>
      </c>
      <c r="E421" t="s">
        <v>441</v>
      </c>
      <c r="F421">
        <v>-166.60049999999995</v>
      </c>
      <c r="H421" t="s">
        <v>442</v>
      </c>
      <c r="I421">
        <v>-138.32999999999998</v>
      </c>
      <c r="J421" t="s">
        <v>1086</v>
      </c>
      <c r="K421">
        <v>-1</v>
      </c>
      <c r="L421" t="s">
        <v>1256</v>
      </c>
      <c r="M421">
        <v>-4</v>
      </c>
      <c r="O421" t="s">
        <v>438</v>
      </c>
      <c r="P421">
        <v>-10.4</v>
      </c>
      <c r="Q421" t="s">
        <v>1611</v>
      </c>
      <c r="R421">
        <v>-10</v>
      </c>
      <c r="S421" t="s">
        <v>481</v>
      </c>
      <c r="T421">
        <v>-57</v>
      </c>
      <c r="U421" t="s">
        <v>1610</v>
      </c>
      <c r="V421">
        <v>-6</v>
      </c>
      <c r="W421" t="s">
        <v>416</v>
      </c>
      <c r="X421">
        <v>-9</v>
      </c>
      <c r="Y421" t="s">
        <v>101</v>
      </c>
      <c r="Z421">
        <v>-1</v>
      </c>
      <c r="AA421" t="s">
        <v>1970</v>
      </c>
      <c r="AB421">
        <v>-1</v>
      </c>
      <c r="AC421" t="s">
        <v>232</v>
      </c>
      <c r="AD421">
        <v>-6</v>
      </c>
      <c r="AE421" t="s">
        <v>481</v>
      </c>
      <c r="AF421">
        <v>-19</v>
      </c>
      <c r="AG421" t="s">
        <v>883</v>
      </c>
      <c r="AH421">
        <v>-1</v>
      </c>
      <c r="AI421" t="s">
        <v>66</v>
      </c>
      <c r="AJ421">
        <v>-10</v>
      </c>
      <c r="AK421" t="s">
        <v>579</v>
      </c>
      <c r="AL421">
        <v>-2</v>
      </c>
      <c r="AM421" t="s">
        <v>324</v>
      </c>
      <c r="AN421">
        <v>-50</v>
      </c>
    </row>
    <row r="422" spans="2:40" x14ac:dyDescent="0.25">
      <c r="B422" t="s">
        <v>79</v>
      </c>
      <c r="C422">
        <v>-3400</v>
      </c>
      <c r="E422" t="s">
        <v>341</v>
      </c>
      <c r="F422">
        <v>-556.50059999999996</v>
      </c>
      <c r="H422" t="s">
        <v>1</v>
      </c>
      <c r="I422">
        <v>-10</v>
      </c>
      <c r="J422" t="s">
        <v>62</v>
      </c>
      <c r="K422">
        <v>-9</v>
      </c>
      <c r="L422" t="s">
        <v>1257</v>
      </c>
      <c r="M422">
        <v>-3</v>
      </c>
      <c r="O422" t="s">
        <v>426</v>
      </c>
      <c r="P422">
        <v>-12.065</v>
      </c>
      <c r="Q422" t="s">
        <v>1612</v>
      </c>
      <c r="R422">
        <v>-26</v>
      </c>
      <c r="S422" t="s">
        <v>325</v>
      </c>
      <c r="T422">
        <v>-46</v>
      </c>
      <c r="U422" t="s">
        <v>1612</v>
      </c>
      <c r="V422">
        <v>-40</v>
      </c>
      <c r="W422" t="s">
        <v>447</v>
      </c>
      <c r="X422">
        <v>-3.0000000000000018</v>
      </c>
      <c r="Y422" t="s">
        <v>1091</v>
      </c>
      <c r="Z422">
        <v>-4.0000000000000009</v>
      </c>
      <c r="AA422" t="s">
        <v>1971</v>
      </c>
      <c r="AB422">
        <v>-1</v>
      </c>
      <c r="AC422" t="s">
        <v>150</v>
      </c>
      <c r="AD422">
        <v>-20</v>
      </c>
      <c r="AE422" t="s">
        <v>614</v>
      </c>
      <c r="AF422">
        <v>-1</v>
      </c>
      <c r="AG422" t="s">
        <v>2096</v>
      </c>
      <c r="AH422">
        <v>-1</v>
      </c>
      <c r="AI422" t="s">
        <v>1262</v>
      </c>
      <c r="AJ422">
        <v>-46</v>
      </c>
      <c r="AK422" t="s">
        <v>177</v>
      </c>
      <c r="AL422">
        <v>-2</v>
      </c>
      <c r="AM422" t="s">
        <v>2428</v>
      </c>
      <c r="AN422">
        <v>-16</v>
      </c>
    </row>
    <row r="423" spans="2:40" x14ac:dyDescent="0.25">
      <c r="B423" t="s">
        <v>383</v>
      </c>
      <c r="C423">
        <v>-79</v>
      </c>
      <c r="E423" t="s">
        <v>590</v>
      </c>
      <c r="F423">
        <v>-33.1432</v>
      </c>
      <c r="H423" t="s">
        <v>739</v>
      </c>
      <c r="I423">
        <v>-17</v>
      </c>
      <c r="J423" t="s">
        <v>282</v>
      </c>
      <c r="K423">
        <v>-6</v>
      </c>
      <c r="L423" t="s">
        <v>141</v>
      </c>
      <c r="M423">
        <v>-7</v>
      </c>
      <c r="O423" t="s">
        <v>1254</v>
      </c>
      <c r="P423">
        <v>-62</v>
      </c>
      <c r="Q423" t="s">
        <v>1613</v>
      </c>
      <c r="R423">
        <v>-14</v>
      </c>
      <c r="S423" t="s">
        <v>726</v>
      </c>
      <c r="T423">
        <v>-24</v>
      </c>
      <c r="U423" t="s">
        <v>201</v>
      </c>
      <c r="V423">
        <v>-6</v>
      </c>
      <c r="W423" t="s">
        <v>445</v>
      </c>
      <c r="X423">
        <v>-12</v>
      </c>
      <c r="Y423" t="s">
        <v>1518</v>
      </c>
      <c r="Z423">
        <v>-20</v>
      </c>
      <c r="AA423" t="s">
        <v>935</v>
      </c>
      <c r="AB423">
        <v>-23</v>
      </c>
      <c r="AC423" t="s">
        <v>92</v>
      </c>
      <c r="AD423">
        <v>-203</v>
      </c>
      <c r="AE423" t="s">
        <v>94</v>
      </c>
      <c r="AF423">
        <v>-11</v>
      </c>
      <c r="AG423" t="s">
        <v>242</v>
      </c>
      <c r="AH423">
        <v>-6.5</v>
      </c>
      <c r="AI423" t="s">
        <v>65</v>
      </c>
      <c r="AJ423">
        <v>-49</v>
      </c>
      <c r="AK423" t="s">
        <v>654</v>
      </c>
      <c r="AL423">
        <v>-5</v>
      </c>
      <c r="AM423" t="s">
        <v>345</v>
      </c>
      <c r="AN423">
        <v>-60.17</v>
      </c>
    </row>
    <row r="424" spans="2:40" x14ac:dyDescent="0.25">
      <c r="B424" t="s">
        <v>416</v>
      </c>
      <c r="C424">
        <v>-1</v>
      </c>
      <c r="E424" t="s">
        <v>443</v>
      </c>
      <c r="F424">
        <v>-72.000399999999999</v>
      </c>
      <c r="H424" t="s">
        <v>944</v>
      </c>
      <c r="I424">
        <v>-60</v>
      </c>
      <c r="J424" t="s">
        <v>77</v>
      </c>
      <c r="K424">
        <v>-6</v>
      </c>
      <c r="L424" t="s">
        <v>819</v>
      </c>
      <c r="M424">
        <v>-6</v>
      </c>
      <c r="O424" t="s">
        <v>549</v>
      </c>
      <c r="P424">
        <v>-82.989499999999992</v>
      </c>
      <c r="Q424" t="s">
        <v>201</v>
      </c>
      <c r="R424">
        <v>-14</v>
      </c>
      <c r="S424" t="s">
        <v>193</v>
      </c>
      <c r="T424">
        <v>-6</v>
      </c>
      <c r="U424" t="s">
        <v>148</v>
      </c>
      <c r="V424">
        <v>-118</v>
      </c>
      <c r="W424" t="s">
        <v>639</v>
      </c>
      <c r="X424">
        <v>-6</v>
      </c>
      <c r="Y424" t="s">
        <v>661</v>
      </c>
      <c r="Z424">
        <v>-71</v>
      </c>
      <c r="AA424" t="s">
        <v>937</v>
      </c>
      <c r="AB424">
        <v>-3</v>
      </c>
      <c r="AC424" t="s">
        <v>174</v>
      </c>
      <c r="AD424">
        <v>-50</v>
      </c>
      <c r="AE424" t="s">
        <v>325</v>
      </c>
      <c r="AF424">
        <v>-28</v>
      </c>
      <c r="AG424" t="s">
        <v>645</v>
      </c>
      <c r="AH424">
        <v>-6.8100000000000005</v>
      </c>
      <c r="AI424" t="s">
        <v>26</v>
      </c>
      <c r="AJ424">
        <v>-17</v>
      </c>
      <c r="AK424" t="s">
        <v>136</v>
      </c>
      <c r="AL424">
        <v>-5</v>
      </c>
      <c r="AM424" t="s">
        <v>2220</v>
      </c>
      <c r="AN424">
        <v>-27.849999999999998</v>
      </c>
    </row>
    <row r="425" spans="2:40" x14ac:dyDescent="0.25">
      <c r="B425" t="s">
        <v>682</v>
      </c>
      <c r="C425">
        <v>-3</v>
      </c>
      <c r="E425" t="s">
        <v>442</v>
      </c>
      <c r="F425">
        <v>-288.40010000000007</v>
      </c>
      <c r="H425" t="s">
        <v>947</v>
      </c>
      <c r="I425">
        <v>-3</v>
      </c>
      <c r="J425" t="s">
        <v>63</v>
      </c>
      <c r="K425">
        <v>-3</v>
      </c>
      <c r="L425" t="s">
        <v>1258</v>
      </c>
      <c r="M425">
        <v>-3</v>
      </c>
      <c r="O425" t="s">
        <v>424</v>
      </c>
      <c r="P425">
        <v>-16</v>
      </c>
      <c r="Q425" t="s">
        <v>148</v>
      </c>
      <c r="R425">
        <v>-38</v>
      </c>
      <c r="S425" t="s">
        <v>194</v>
      </c>
      <c r="T425">
        <v>-40</v>
      </c>
      <c r="U425" t="s">
        <v>262</v>
      </c>
      <c r="V425">
        <v>-35</v>
      </c>
      <c r="W425" t="s">
        <v>446</v>
      </c>
      <c r="X425">
        <v>-6.0002000000000004</v>
      </c>
      <c r="Y425" t="s">
        <v>935</v>
      </c>
      <c r="Z425">
        <v>-96.999999999999972</v>
      </c>
      <c r="AA425" t="s">
        <v>104</v>
      </c>
      <c r="AB425">
        <v>-8</v>
      </c>
      <c r="AC425" t="s">
        <v>154</v>
      </c>
      <c r="AD425">
        <v>-118</v>
      </c>
      <c r="AE425" t="s">
        <v>2105</v>
      </c>
      <c r="AF425">
        <v>-1</v>
      </c>
      <c r="AG425" t="s">
        <v>887</v>
      </c>
      <c r="AH425">
        <v>-15</v>
      </c>
      <c r="AI425" t="s">
        <v>225</v>
      </c>
      <c r="AJ425">
        <v>-1</v>
      </c>
      <c r="AK425" t="s">
        <v>152</v>
      </c>
      <c r="AL425">
        <v>-2</v>
      </c>
      <c r="AM425" t="s">
        <v>603</v>
      </c>
      <c r="AN425">
        <v>-3.2399999999999998</v>
      </c>
    </row>
    <row r="426" spans="2:40" x14ac:dyDescent="0.25">
      <c r="B426" t="s">
        <v>671</v>
      </c>
      <c r="C426">
        <v>-4.25</v>
      </c>
      <c r="E426" t="s">
        <v>156</v>
      </c>
      <c r="F426">
        <v>-6.616500000000002</v>
      </c>
      <c r="H426" t="s">
        <v>505</v>
      </c>
      <c r="I426">
        <v>-1</v>
      </c>
      <c r="J426" t="s">
        <v>195</v>
      </c>
      <c r="K426">
        <v>-6</v>
      </c>
      <c r="L426" t="s">
        <v>1259</v>
      </c>
      <c r="M426">
        <v>-15</v>
      </c>
      <c r="O426" t="s">
        <v>1453</v>
      </c>
      <c r="P426">
        <v>-2</v>
      </c>
      <c r="Q426" t="s">
        <v>262</v>
      </c>
      <c r="R426">
        <v>-11</v>
      </c>
      <c r="S426" t="s">
        <v>1295</v>
      </c>
      <c r="T426">
        <v>-4</v>
      </c>
      <c r="U426" t="s">
        <v>263</v>
      </c>
      <c r="V426">
        <v>-15</v>
      </c>
      <c r="W426" t="s">
        <v>685</v>
      </c>
      <c r="X426">
        <v>-8.5004999999999988</v>
      </c>
      <c r="Y426" t="s">
        <v>72</v>
      </c>
      <c r="Z426">
        <v>-7</v>
      </c>
      <c r="AA426" t="s">
        <v>1093</v>
      </c>
      <c r="AB426">
        <v>-2</v>
      </c>
      <c r="AC426" t="s">
        <v>477</v>
      </c>
      <c r="AD426">
        <v>-4</v>
      </c>
      <c r="AE426" t="s">
        <v>726</v>
      </c>
      <c r="AF426">
        <v>-26</v>
      </c>
      <c r="AG426" t="s">
        <v>75</v>
      </c>
      <c r="AH426">
        <v>-33</v>
      </c>
      <c r="AI426" t="s">
        <v>27</v>
      </c>
      <c r="AJ426">
        <v>-25</v>
      </c>
      <c r="AK426" t="s">
        <v>15</v>
      </c>
      <c r="AL426">
        <v>-1129</v>
      </c>
      <c r="AM426" t="s">
        <v>1452</v>
      </c>
      <c r="AN426">
        <v>-0.86</v>
      </c>
    </row>
    <row r="427" spans="2:40" x14ac:dyDescent="0.25">
      <c r="B427" t="s">
        <v>672</v>
      </c>
      <c r="C427">
        <v>-4</v>
      </c>
      <c r="E427" t="s">
        <v>155</v>
      </c>
      <c r="F427">
        <v>-59.5</v>
      </c>
      <c r="H427" t="s">
        <v>156</v>
      </c>
      <c r="I427">
        <v>-2.8400000000000003</v>
      </c>
      <c r="J427" t="s">
        <v>915</v>
      </c>
      <c r="K427">
        <v>-1</v>
      </c>
      <c r="L427" t="s">
        <v>874</v>
      </c>
      <c r="M427">
        <v>-4</v>
      </c>
      <c r="O427" t="s">
        <v>159</v>
      </c>
      <c r="P427">
        <v>-33</v>
      </c>
      <c r="Q427" t="s">
        <v>263</v>
      </c>
      <c r="R427">
        <v>-4</v>
      </c>
      <c r="S427" t="s">
        <v>220</v>
      </c>
      <c r="T427">
        <v>-4</v>
      </c>
      <c r="U427" t="s">
        <v>261</v>
      </c>
      <c r="V427">
        <v>-15</v>
      </c>
      <c r="W427" t="s">
        <v>686</v>
      </c>
      <c r="X427">
        <v>-7</v>
      </c>
      <c r="Y427" t="s">
        <v>937</v>
      </c>
      <c r="Z427">
        <v>-5</v>
      </c>
      <c r="AA427" t="s">
        <v>1972</v>
      </c>
      <c r="AB427">
        <v>-2</v>
      </c>
      <c r="AC427" t="s">
        <v>149</v>
      </c>
      <c r="AD427">
        <v>-60</v>
      </c>
      <c r="AE427" t="s">
        <v>193</v>
      </c>
      <c r="AF427">
        <v>-12</v>
      </c>
      <c r="AG427" t="s">
        <v>216</v>
      </c>
      <c r="AH427">
        <v>-20</v>
      </c>
      <c r="AI427" t="s">
        <v>28</v>
      </c>
      <c r="AJ427">
        <v>-10</v>
      </c>
      <c r="AK427" t="s">
        <v>394</v>
      </c>
      <c r="AL427">
        <v>-46</v>
      </c>
      <c r="AM427" t="s">
        <v>754</v>
      </c>
      <c r="AN427">
        <v>-3</v>
      </c>
    </row>
    <row r="428" spans="2:40" x14ac:dyDescent="0.25">
      <c r="B428" t="s">
        <v>447</v>
      </c>
      <c r="C428">
        <v>-6.4423999999999992</v>
      </c>
      <c r="E428" t="s">
        <v>157</v>
      </c>
      <c r="F428">
        <v>-26.886999999999997</v>
      </c>
      <c r="H428" t="s">
        <v>155</v>
      </c>
      <c r="I428">
        <v>-15</v>
      </c>
      <c r="J428" t="s">
        <v>355</v>
      </c>
      <c r="K428">
        <v>-656</v>
      </c>
      <c r="L428" t="s">
        <v>1260</v>
      </c>
      <c r="M428">
        <v>-3</v>
      </c>
      <c r="O428" t="s">
        <v>1256</v>
      </c>
      <c r="P428">
        <v>-4</v>
      </c>
      <c r="Q428" t="s">
        <v>261</v>
      </c>
      <c r="R428">
        <v>-5</v>
      </c>
      <c r="S428" t="s">
        <v>79</v>
      </c>
      <c r="T428">
        <v>-927.99990000000025</v>
      </c>
      <c r="U428" t="s">
        <v>151</v>
      </c>
      <c r="V428">
        <v>-14</v>
      </c>
      <c r="W428" t="s">
        <v>1845</v>
      </c>
      <c r="X428">
        <v>-4</v>
      </c>
      <c r="Y428" t="s">
        <v>109</v>
      </c>
      <c r="Z428">
        <v>-1.9999999999999998</v>
      </c>
      <c r="AA428" t="s">
        <v>493</v>
      </c>
      <c r="AB428">
        <v>-50</v>
      </c>
      <c r="AC428" t="s">
        <v>1310</v>
      </c>
      <c r="AD428">
        <v>-12</v>
      </c>
      <c r="AE428" t="s">
        <v>194</v>
      </c>
      <c r="AF428">
        <v>-23</v>
      </c>
      <c r="AG428" t="s">
        <v>673</v>
      </c>
      <c r="AH428">
        <v>-41</v>
      </c>
      <c r="AI428" t="s">
        <v>29</v>
      </c>
      <c r="AJ428">
        <v>-16</v>
      </c>
      <c r="AK428" t="s">
        <v>748</v>
      </c>
      <c r="AL428">
        <v>-15</v>
      </c>
      <c r="AM428" t="s">
        <v>439</v>
      </c>
      <c r="AN428">
        <v>-72.39</v>
      </c>
    </row>
    <row r="429" spans="2:40" x14ac:dyDescent="0.25">
      <c r="B429" t="s">
        <v>445</v>
      </c>
      <c r="C429">
        <v>-24</v>
      </c>
      <c r="E429" t="s">
        <v>604</v>
      </c>
      <c r="F429">
        <v>-1.6110000000000002</v>
      </c>
      <c r="H429" t="s">
        <v>157</v>
      </c>
      <c r="I429">
        <v>-7.3336999999999977</v>
      </c>
      <c r="J429" t="s">
        <v>384</v>
      </c>
      <c r="K429">
        <v>-24</v>
      </c>
      <c r="L429" t="s">
        <v>286</v>
      </c>
      <c r="M429">
        <v>-32</v>
      </c>
      <c r="O429" t="s">
        <v>1454</v>
      </c>
      <c r="P429">
        <v>-1</v>
      </c>
      <c r="Q429" t="s">
        <v>151</v>
      </c>
      <c r="R429">
        <v>-4</v>
      </c>
      <c r="S429" t="s">
        <v>383</v>
      </c>
      <c r="T429">
        <v>-112</v>
      </c>
      <c r="U429" t="s">
        <v>258</v>
      </c>
      <c r="V429">
        <v>-7</v>
      </c>
      <c r="W429" t="s">
        <v>1846</v>
      </c>
      <c r="X429">
        <v>-1</v>
      </c>
      <c r="Y429" t="s">
        <v>104</v>
      </c>
      <c r="Z429">
        <v>-19.000000000000007</v>
      </c>
      <c r="AA429" t="s">
        <v>357</v>
      </c>
      <c r="AB429">
        <v>-100</v>
      </c>
      <c r="AC429" t="s">
        <v>339</v>
      </c>
      <c r="AD429">
        <v>-86</v>
      </c>
      <c r="AE429" t="s">
        <v>1295</v>
      </c>
      <c r="AF429">
        <v>-4</v>
      </c>
      <c r="AG429" t="s">
        <v>68</v>
      </c>
      <c r="AH429">
        <v>-8</v>
      </c>
      <c r="AI429" t="s">
        <v>64</v>
      </c>
      <c r="AJ429">
        <v>-6</v>
      </c>
      <c r="AK429" t="s">
        <v>242</v>
      </c>
      <c r="AL429">
        <v>-4.5</v>
      </c>
      <c r="AM429" t="s">
        <v>1254</v>
      </c>
      <c r="AN429">
        <v>-14</v>
      </c>
    </row>
    <row r="430" spans="2:40" x14ac:dyDescent="0.25">
      <c r="B430" t="s">
        <v>639</v>
      </c>
      <c r="C430">
        <v>-12.5</v>
      </c>
      <c r="E430" t="s">
        <v>565</v>
      </c>
      <c r="F430">
        <v>-2.25</v>
      </c>
      <c r="H430" t="s">
        <v>604</v>
      </c>
      <c r="I430">
        <v>-0.09</v>
      </c>
      <c r="J430" t="s">
        <v>733</v>
      </c>
      <c r="K430">
        <v>-64</v>
      </c>
      <c r="L430" t="s">
        <v>665</v>
      </c>
      <c r="M430">
        <v>-61</v>
      </c>
      <c r="O430" t="s">
        <v>1455</v>
      </c>
      <c r="P430">
        <v>-12</v>
      </c>
      <c r="Q430" t="s">
        <v>258</v>
      </c>
      <c r="R430">
        <v>-3</v>
      </c>
      <c r="S430" t="s">
        <v>1296</v>
      </c>
      <c r="T430">
        <v>-9</v>
      </c>
      <c r="U430" t="s">
        <v>382</v>
      </c>
      <c r="V430">
        <v>-24</v>
      </c>
      <c r="W430" t="s">
        <v>772</v>
      </c>
      <c r="X430">
        <v>-9</v>
      </c>
      <c r="Y430" t="s">
        <v>160</v>
      </c>
      <c r="Z430">
        <v>-1</v>
      </c>
      <c r="AA430" t="s">
        <v>403</v>
      </c>
      <c r="AB430">
        <v>-150</v>
      </c>
      <c r="AC430" t="s">
        <v>231</v>
      </c>
      <c r="AD430">
        <v>-118</v>
      </c>
      <c r="AE430" t="s">
        <v>220</v>
      </c>
      <c r="AF430">
        <v>-4</v>
      </c>
      <c r="AG430" t="s">
        <v>201</v>
      </c>
      <c r="AH430">
        <v>-10</v>
      </c>
      <c r="AI430" t="s">
        <v>2084</v>
      </c>
      <c r="AJ430">
        <v>-6</v>
      </c>
      <c r="AK430" t="s">
        <v>645</v>
      </c>
      <c r="AL430">
        <v>-7.5</v>
      </c>
      <c r="AM430" t="s">
        <v>549</v>
      </c>
      <c r="AN430">
        <v>-18</v>
      </c>
    </row>
    <row r="431" spans="2:40" x14ac:dyDescent="0.25">
      <c r="B431" t="s">
        <v>446</v>
      </c>
      <c r="C431">
        <v>-8.0007999999999999</v>
      </c>
      <c r="E431" t="s">
        <v>371</v>
      </c>
      <c r="F431">
        <v>-23</v>
      </c>
      <c r="H431" t="s">
        <v>371</v>
      </c>
      <c r="I431">
        <v>-3</v>
      </c>
      <c r="J431" t="s">
        <v>835</v>
      </c>
      <c r="K431">
        <v>-13</v>
      </c>
      <c r="L431" t="s">
        <v>332</v>
      </c>
      <c r="M431">
        <v>-143</v>
      </c>
      <c r="O431" t="s">
        <v>1456</v>
      </c>
      <c r="P431">
        <v>-18</v>
      </c>
      <c r="Q431" t="s">
        <v>1278</v>
      </c>
      <c r="R431">
        <v>-6</v>
      </c>
      <c r="S431" t="s">
        <v>1051</v>
      </c>
      <c r="T431">
        <v>-1</v>
      </c>
      <c r="U431" t="s">
        <v>246</v>
      </c>
      <c r="V431">
        <v>-16</v>
      </c>
      <c r="W431" t="s">
        <v>773</v>
      </c>
      <c r="X431">
        <v>-2.0004</v>
      </c>
      <c r="Y431" t="s">
        <v>1356</v>
      </c>
      <c r="Z431">
        <v>-10.999999999999996</v>
      </c>
      <c r="AA431" t="s">
        <v>408</v>
      </c>
      <c r="AB431">
        <v>-392</v>
      </c>
      <c r="AC431" t="s">
        <v>2014</v>
      </c>
      <c r="AD431">
        <v>-1</v>
      </c>
      <c r="AE431" t="s">
        <v>79</v>
      </c>
      <c r="AF431">
        <v>-43</v>
      </c>
      <c r="AG431" t="s">
        <v>148</v>
      </c>
      <c r="AH431">
        <v>-185</v>
      </c>
      <c r="AI431" t="s">
        <v>2007</v>
      </c>
      <c r="AJ431">
        <v>-8</v>
      </c>
      <c r="AK431" t="s">
        <v>56</v>
      </c>
      <c r="AL431">
        <v>-18</v>
      </c>
      <c r="AM431" t="s">
        <v>424</v>
      </c>
      <c r="AN431">
        <v>-4</v>
      </c>
    </row>
    <row r="432" spans="2:40" x14ac:dyDescent="0.25">
      <c r="B432" t="s">
        <v>683</v>
      </c>
      <c r="C432">
        <v>-6</v>
      </c>
      <c r="E432" t="s">
        <v>343</v>
      </c>
      <c r="F432">
        <v>-23.259999999999998</v>
      </c>
      <c r="H432" t="s">
        <v>343</v>
      </c>
      <c r="I432">
        <v>-3.4699999999999998</v>
      </c>
      <c r="J432" t="s">
        <v>441</v>
      </c>
      <c r="K432">
        <v>-90.4</v>
      </c>
      <c r="L432" t="s">
        <v>269</v>
      </c>
      <c r="M432">
        <v>-30</v>
      </c>
      <c r="O432" t="s">
        <v>141</v>
      </c>
      <c r="P432">
        <v>-4</v>
      </c>
      <c r="Q432" t="s">
        <v>382</v>
      </c>
      <c r="R432">
        <v>-20</v>
      </c>
      <c r="S432" t="s">
        <v>416</v>
      </c>
      <c r="T432">
        <v>-5</v>
      </c>
      <c r="U432" t="s">
        <v>481</v>
      </c>
      <c r="V432">
        <v>-19</v>
      </c>
      <c r="W432" t="s">
        <v>1847</v>
      </c>
      <c r="X432">
        <v>-2</v>
      </c>
      <c r="Y432" t="s">
        <v>1093</v>
      </c>
      <c r="Z432">
        <v>-2</v>
      </c>
      <c r="AA432" t="s">
        <v>359</v>
      </c>
      <c r="AB432">
        <v>-80</v>
      </c>
      <c r="AC432" t="s">
        <v>542</v>
      </c>
      <c r="AD432">
        <v>-1</v>
      </c>
      <c r="AE432" t="s">
        <v>383</v>
      </c>
      <c r="AF432">
        <v>-96</v>
      </c>
      <c r="AG432" t="s">
        <v>262</v>
      </c>
      <c r="AH432">
        <v>-61</v>
      </c>
      <c r="AI432" t="s">
        <v>1469</v>
      </c>
      <c r="AJ432">
        <v>-7</v>
      </c>
      <c r="AK432" t="s">
        <v>75</v>
      </c>
      <c r="AL432">
        <v>-18</v>
      </c>
      <c r="AM432" t="s">
        <v>2429</v>
      </c>
      <c r="AN432">
        <v>-2</v>
      </c>
    </row>
    <row r="433" spans="2:40" x14ac:dyDescent="0.25">
      <c r="B433" t="s">
        <v>684</v>
      </c>
      <c r="C433">
        <v>-3</v>
      </c>
      <c r="E433" t="s">
        <v>419</v>
      </c>
      <c r="F433">
        <v>-21.5</v>
      </c>
      <c r="H433" t="s">
        <v>419</v>
      </c>
      <c r="I433">
        <v>-1</v>
      </c>
      <c r="J433" t="s">
        <v>341</v>
      </c>
      <c r="K433">
        <v>-191.20000000000002</v>
      </c>
      <c r="L433" t="s">
        <v>820</v>
      </c>
      <c r="M433">
        <v>-12</v>
      </c>
      <c r="O433" t="s">
        <v>1457</v>
      </c>
      <c r="P433">
        <v>-1</v>
      </c>
      <c r="Q433" t="s">
        <v>139</v>
      </c>
      <c r="R433">
        <v>-1</v>
      </c>
      <c r="S433" t="s">
        <v>447</v>
      </c>
      <c r="T433">
        <v>-3.1997000000000009</v>
      </c>
      <c r="U433" t="s">
        <v>94</v>
      </c>
      <c r="V433">
        <v>-3</v>
      </c>
      <c r="W433" t="s">
        <v>1848</v>
      </c>
      <c r="X433">
        <v>-1</v>
      </c>
      <c r="Y433" t="s">
        <v>1708</v>
      </c>
      <c r="Z433">
        <v>-1</v>
      </c>
      <c r="AA433" t="s">
        <v>402</v>
      </c>
      <c r="AB433">
        <v>-150</v>
      </c>
      <c r="AC433" t="s">
        <v>158</v>
      </c>
      <c r="AD433">
        <v>-3</v>
      </c>
      <c r="AE433" t="s">
        <v>1296</v>
      </c>
      <c r="AF433">
        <v>-7</v>
      </c>
      <c r="AG433" t="s">
        <v>263</v>
      </c>
      <c r="AH433">
        <v>-27</v>
      </c>
      <c r="AI433" t="s">
        <v>1263</v>
      </c>
      <c r="AJ433">
        <v>-2</v>
      </c>
      <c r="AK433" t="s">
        <v>57</v>
      </c>
      <c r="AL433">
        <v>-48</v>
      </c>
      <c r="AM433" t="s">
        <v>2430</v>
      </c>
      <c r="AN433">
        <v>-12</v>
      </c>
    </row>
    <row r="434" spans="2:40" x14ac:dyDescent="0.25">
      <c r="B434" t="s">
        <v>685</v>
      </c>
      <c r="C434">
        <v>-6</v>
      </c>
      <c r="E434" t="s">
        <v>428</v>
      </c>
      <c r="F434">
        <v>-9</v>
      </c>
      <c r="H434" t="s">
        <v>428</v>
      </c>
      <c r="I434">
        <v>-2</v>
      </c>
      <c r="J434" t="s">
        <v>590</v>
      </c>
      <c r="K434">
        <v>-9</v>
      </c>
      <c r="L434" t="s">
        <v>284</v>
      </c>
      <c r="M434">
        <v>-16</v>
      </c>
      <c r="O434" t="s">
        <v>819</v>
      </c>
      <c r="P434">
        <v>-4</v>
      </c>
      <c r="Q434" t="s">
        <v>481</v>
      </c>
      <c r="R434">
        <v>-38</v>
      </c>
      <c r="S434" t="s">
        <v>445</v>
      </c>
      <c r="T434">
        <v>-7</v>
      </c>
      <c r="U434" t="s">
        <v>325</v>
      </c>
      <c r="V434">
        <v>-12</v>
      </c>
      <c r="W434" t="s">
        <v>1303</v>
      </c>
      <c r="X434">
        <v>-2</v>
      </c>
      <c r="Y434" t="s">
        <v>1628</v>
      </c>
      <c r="Z434">
        <v>-10</v>
      </c>
      <c r="AA434" t="s">
        <v>406</v>
      </c>
      <c r="AB434">
        <v>-133</v>
      </c>
      <c r="AC434" t="s">
        <v>2015</v>
      </c>
      <c r="AD434">
        <v>-1</v>
      </c>
      <c r="AE434" t="s">
        <v>447</v>
      </c>
      <c r="AF434">
        <v>-3</v>
      </c>
      <c r="AG434" t="s">
        <v>261</v>
      </c>
      <c r="AH434">
        <v>-24</v>
      </c>
      <c r="AI434" t="s">
        <v>1264</v>
      </c>
      <c r="AJ434">
        <v>-9</v>
      </c>
      <c r="AK434" t="s">
        <v>58</v>
      </c>
      <c r="AL434">
        <v>-24</v>
      </c>
      <c r="AM434" t="s">
        <v>2431</v>
      </c>
      <c r="AN434">
        <v>-12</v>
      </c>
    </row>
    <row r="435" spans="2:40" x14ac:dyDescent="0.25">
      <c r="B435" t="s">
        <v>686</v>
      </c>
      <c r="C435">
        <v>-22</v>
      </c>
      <c r="E435" t="s">
        <v>430</v>
      </c>
      <c r="F435">
        <v>-2</v>
      </c>
      <c r="H435" t="s">
        <v>430</v>
      </c>
      <c r="I435">
        <v>-3</v>
      </c>
      <c r="J435" t="s">
        <v>442</v>
      </c>
      <c r="K435">
        <v>-27</v>
      </c>
      <c r="L435" t="s">
        <v>285</v>
      </c>
      <c r="M435">
        <v>-33</v>
      </c>
      <c r="O435" t="s">
        <v>1258</v>
      </c>
      <c r="P435">
        <v>-2</v>
      </c>
      <c r="Q435" t="s">
        <v>1288</v>
      </c>
      <c r="R435">
        <v>-5</v>
      </c>
      <c r="S435" t="s">
        <v>639</v>
      </c>
      <c r="T435">
        <v>-5.0000000000000009</v>
      </c>
      <c r="U435" t="s">
        <v>726</v>
      </c>
      <c r="V435">
        <v>-14</v>
      </c>
      <c r="W435" t="s">
        <v>1849</v>
      </c>
      <c r="X435">
        <v>-1</v>
      </c>
      <c r="Y435" t="s">
        <v>1933</v>
      </c>
      <c r="Z435">
        <v>-9</v>
      </c>
      <c r="AA435" t="s">
        <v>363</v>
      </c>
      <c r="AB435">
        <v>-128</v>
      </c>
      <c r="AC435" t="s">
        <v>130</v>
      </c>
      <c r="AD435">
        <v>-2</v>
      </c>
      <c r="AE435" t="s">
        <v>445</v>
      </c>
      <c r="AF435">
        <v>-11</v>
      </c>
      <c r="AG435" t="s">
        <v>151</v>
      </c>
      <c r="AH435">
        <v>-20</v>
      </c>
      <c r="AI435" t="s">
        <v>674</v>
      </c>
      <c r="AJ435">
        <v>-18</v>
      </c>
      <c r="AK435" t="s">
        <v>2097</v>
      </c>
      <c r="AL435">
        <v>-2</v>
      </c>
      <c r="AM435" t="s">
        <v>2432</v>
      </c>
      <c r="AN435">
        <v>-8</v>
      </c>
    </row>
    <row r="436" spans="2:40" x14ac:dyDescent="0.25">
      <c r="B436" t="s">
        <v>712</v>
      </c>
      <c r="C436">
        <v>-7.4004000000000003</v>
      </c>
      <c r="E436" t="s">
        <v>432</v>
      </c>
      <c r="F436">
        <v>-7.7509000000000023</v>
      </c>
      <c r="H436" t="s">
        <v>432</v>
      </c>
      <c r="I436">
        <v>-3.03</v>
      </c>
      <c r="J436" t="s">
        <v>739</v>
      </c>
      <c r="K436">
        <v>-12</v>
      </c>
      <c r="L436" t="s">
        <v>1261</v>
      </c>
      <c r="M436">
        <v>-4</v>
      </c>
      <c r="O436" t="s">
        <v>874</v>
      </c>
      <c r="P436">
        <v>-8</v>
      </c>
      <c r="Q436" t="s">
        <v>325</v>
      </c>
      <c r="R436">
        <v>-60</v>
      </c>
      <c r="S436" t="s">
        <v>446</v>
      </c>
      <c r="T436">
        <v>-5.0002000000000004</v>
      </c>
      <c r="U436" t="s">
        <v>888</v>
      </c>
      <c r="V436">
        <v>-3</v>
      </c>
      <c r="W436" t="s">
        <v>326</v>
      </c>
      <c r="X436">
        <v>-1</v>
      </c>
      <c r="Y436" t="s">
        <v>1934</v>
      </c>
      <c r="Z436">
        <v>-2</v>
      </c>
      <c r="AA436" t="s">
        <v>157</v>
      </c>
      <c r="AB436">
        <v>-2.5499999999999998</v>
      </c>
      <c r="AC436" t="s">
        <v>898</v>
      </c>
      <c r="AD436">
        <v>-20</v>
      </c>
      <c r="AE436" t="s">
        <v>639</v>
      </c>
      <c r="AF436">
        <v>-4</v>
      </c>
      <c r="AG436" t="s">
        <v>2164</v>
      </c>
      <c r="AH436">
        <v>-32</v>
      </c>
      <c r="AI436" t="s">
        <v>30</v>
      </c>
      <c r="AJ436">
        <v>-12</v>
      </c>
      <c r="AK436" t="s">
        <v>2294</v>
      </c>
      <c r="AL436">
        <v>-1</v>
      </c>
      <c r="AM436" t="s">
        <v>2433</v>
      </c>
      <c r="AN436">
        <v>-48</v>
      </c>
    </row>
    <row r="437" spans="2:40" x14ac:dyDescent="0.25">
      <c r="B437" t="s">
        <v>687</v>
      </c>
      <c r="C437">
        <v>-10</v>
      </c>
      <c r="E437" t="s">
        <v>434</v>
      </c>
      <c r="F437">
        <v>-1.29</v>
      </c>
      <c r="H437" t="s">
        <v>434</v>
      </c>
      <c r="I437">
        <v>-1</v>
      </c>
      <c r="J437" t="s">
        <v>918</v>
      </c>
      <c r="K437">
        <v>-37</v>
      </c>
      <c r="L437" t="s">
        <v>212</v>
      </c>
      <c r="M437">
        <v>-40</v>
      </c>
      <c r="O437" t="s">
        <v>286</v>
      </c>
      <c r="P437">
        <v>-30</v>
      </c>
      <c r="Q437" t="s">
        <v>726</v>
      </c>
      <c r="R437">
        <v>-8</v>
      </c>
      <c r="S437" t="s">
        <v>712</v>
      </c>
      <c r="T437">
        <v>-2</v>
      </c>
      <c r="U437" t="s">
        <v>193</v>
      </c>
      <c r="V437">
        <v>-8</v>
      </c>
      <c r="W437" t="s">
        <v>1850</v>
      </c>
      <c r="X437">
        <v>-89.000000000000028</v>
      </c>
      <c r="Y437" t="s">
        <v>621</v>
      </c>
      <c r="Z437">
        <v>-100</v>
      </c>
      <c r="AA437" t="s">
        <v>343</v>
      </c>
      <c r="AB437">
        <v>-0.1</v>
      </c>
      <c r="AC437" t="s">
        <v>675</v>
      </c>
      <c r="AD437">
        <v>-1</v>
      </c>
      <c r="AE437" t="s">
        <v>446</v>
      </c>
      <c r="AF437">
        <v>-4</v>
      </c>
      <c r="AG437" t="s">
        <v>2165</v>
      </c>
      <c r="AH437">
        <v>-4</v>
      </c>
      <c r="AI437" t="s">
        <v>1030</v>
      </c>
      <c r="AJ437">
        <v>-2</v>
      </c>
      <c r="AK437" t="s">
        <v>216</v>
      </c>
      <c r="AL437">
        <v>-12</v>
      </c>
      <c r="AM437" t="s">
        <v>159</v>
      </c>
      <c r="AN437">
        <v>-43</v>
      </c>
    </row>
    <row r="438" spans="2:40" x14ac:dyDescent="0.25">
      <c r="B438" t="s">
        <v>368</v>
      </c>
      <c r="C438">
        <v>-1</v>
      </c>
      <c r="E438" t="s">
        <v>610</v>
      </c>
      <c r="F438">
        <v>-6</v>
      </c>
      <c r="H438" t="s">
        <v>431</v>
      </c>
      <c r="I438">
        <v>-4</v>
      </c>
      <c r="J438" t="s">
        <v>629</v>
      </c>
      <c r="K438">
        <v>-12.000000000000002</v>
      </c>
      <c r="L438" t="s">
        <v>875</v>
      </c>
      <c r="M438">
        <v>-6</v>
      </c>
      <c r="O438" t="s">
        <v>665</v>
      </c>
      <c r="P438">
        <v>-36</v>
      </c>
      <c r="Q438" t="s">
        <v>193</v>
      </c>
      <c r="R438">
        <v>-42</v>
      </c>
      <c r="S438" t="s">
        <v>368</v>
      </c>
      <c r="T438">
        <v>-2</v>
      </c>
      <c r="U438" t="s">
        <v>194</v>
      </c>
      <c r="V438">
        <v>-44</v>
      </c>
      <c r="W438" t="s">
        <v>892</v>
      </c>
      <c r="X438">
        <v>-2</v>
      </c>
      <c r="Y438" t="s">
        <v>1095</v>
      </c>
      <c r="Z438">
        <v>-800</v>
      </c>
      <c r="AA438" t="s">
        <v>419</v>
      </c>
      <c r="AB438">
        <v>-1.25</v>
      </c>
      <c r="AC438" t="s">
        <v>144</v>
      </c>
      <c r="AD438">
        <v>-16</v>
      </c>
      <c r="AE438" t="s">
        <v>685</v>
      </c>
      <c r="AF438">
        <v>-3</v>
      </c>
      <c r="AG438" t="s">
        <v>258</v>
      </c>
      <c r="AH438">
        <v>-13</v>
      </c>
      <c r="AI438" t="s">
        <v>1031</v>
      </c>
      <c r="AJ438">
        <v>-4</v>
      </c>
      <c r="AK438" t="s">
        <v>673</v>
      </c>
      <c r="AL438">
        <v>-18</v>
      </c>
      <c r="AM438" t="s">
        <v>2434</v>
      </c>
      <c r="AN438">
        <v>-24</v>
      </c>
    </row>
    <row r="439" spans="2:40" x14ac:dyDescent="0.25">
      <c r="B439" t="s">
        <v>326</v>
      </c>
      <c r="C439">
        <v>-8</v>
      </c>
      <c r="E439" t="s">
        <v>431</v>
      </c>
      <c r="F439">
        <v>-4</v>
      </c>
      <c r="H439" t="s">
        <v>583</v>
      </c>
      <c r="I439">
        <v>-12</v>
      </c>
      <c r="J439" t="s">
        <v>630</v>
      </c>
      <c r="K439">
        <v>-22.999999999999996</v>
      </c>
      <c r="L439" t="s">
        <v>876</v>
      </c>
      <c r="M439">
        <v>-4</v>
      </c>
      <c r="O439" t="s">
        <v>332</v>
      </c>
      <c r="P439">
        <v>-83</v>
      </c>
      <c r="Q439" t="s">
        <v>194</v>
      </c>
      <c r="R439">
        <v>-28</v>
      </c>
      <c r="S439" t="s">
        <v>1689</v>
      </c>
      <c r="T439">
        <v>-60</v>
      </c>
      <c r="U439" t="s">
        <v>1295</v>
      </c>
      <c r="V439">
        <v>-6</v>
      </c>
      <c r="W439" t="s">
        <v>605</v>
      </c>
      <c r="X439">
        <v>-10</v>
      </c>
      <c r="Y439" t="s">
        <v>944</v>
      </c>
      <c r="Z439">
        <v>-12</v>
      </c>
      <c r="AA439" t="s">
        <v>430</v>
      </c>
      <c r="AB439">
        <v>-2</v>
      </c>
      <c r="AC439" t="s">
        <v>648</v>
      </c>
      <c r="AD439">
        <v>-24</v>
      </c>
      <c r="AE439" t="s">
        <v>686</v>
      </c>
      <c r="AF439">
        <v>-7</v>
      </c>
      <c r="AG439" t="s">
        <v>139</v>
      </c>
      <c r="AH439">
        <v>-1</v>
      </c>
      <c r="AI439" t="s">
        <v>205</v>
      </c>
      <c r="AJ439">
        <v>-10</v>
      </c>
      <c r="AK439" t="s">
        <v>470</v>
      </c>
      <c r="AL439">
        <v>-8</v>
      </c>
      <c r="AM439" t="s">
        <v>2435</v>
      </c>
      <c r="AN439">
        <v>-4</v>
      </c>
    </row>
    <row r="440" spans="2:40" x14ac:dyDescent="0.25">
      <c r="B440" t="s">
        <v>513</v>
      </c>
      <c r="C440">
        <v>-50</v>
      </c>
      <c r="E440" t="s">
        <v>342</v>
      </c>
      <c r="F440">
        <v>-6</v>
      </c>
      <c r="H440" t="s">
        <v>417</v>
      </c>
      <c r="I440">
        <v>-6.0002000000000013</v>
      </c>
      <c r="J440" t="s">
        <v>641</v>
      </c>
      <c r="K440">
        <v>-44</v>
      </c>
      <c r="L440" t="s">
        <v>280</v>
      </c>
      <c r="M440">
        <v>-104</v>
      </c>
      <c r="O440" t="s">
        <v>269</v>
      </c>
      <c r="P440">
        <v>-48</v>
      </c>
      <c r="Q440" t="s">
        <v>1295</v>
      </c>
      <c r="R440">
        <v>-2</v>
      </c>
      <c r="S440" t="s">
        <v>1690</v>
      </c>
      <c r="T440">
        <v>-1</v>
      </c>
      <c r="U440" t="s">
        <v>220</v>
      </c>
      <c r="V440">
        <v>-4</v>
      </c>
      <c r="W440" t="s">
        <v>1063</v>
      </c>
      <c r="X440">
        <v>-17</v>
      </c>
      <c r="Y440" t="s">
        <v>494</v>
      </c>
      <c r="Z440">
        <v>-200</v>
      </c>
      <c r="AA440" t="s">
        <v>432</v>
      </c>
      <c r="AB440">
        <v>-3</v>
      </c>
      <c r="AC440" t="s">
        <v>388</v>
      </c>
      <c r="AD440">
        <v>-32</v>
      </c>
      <c r="AE440" t="s">
        <v>772</v>
      </c>
      <c r="AF440">
        <v>-7</v>
      </c>
      <c r="AG440" t="s">
        <v>481</v>
      </c>
      <c r="AH440">
        <v>-133</v>
      </c>
      <c r="AI440" t="s">
        <v>87</v>
      </c>
      <c r="AJ440">
        <v>-16</v>
      </c>
      <c r="AK440" t="s">
        <v>68</v>
      </c>
      <c r="AL440">
        <v>-7</v>
      </c>
      <c r="AM440" t="s">
        <v>141</v>
      </c>
      <c r="AN440">
        <v>-8</v>
      </c>
    </row>
    <row r="441" spans="2:40" x14ac:dyDescent="0.25">
      <c r="B441" t="s">
        <v>372</v>
      </c>
      <c r="C441">
        <v>-1</v>
      </c>
      <c r="E441" t="s">
        <v>836</v>
      </c>
      <c r="F441">
        <v>-4</v>
      </c>
      <c r="H441" t="s">
        <v>347</v>
      </c>
      <c r="I441">
        <v>-0.41000000000000003</v>
      </c>
      <c r="J441" t="s">
        <v>1087</v>
      </c>
      <c r="K441">
        <v>-6</v>
      </c>
      <c r="L441" t="s">
        <v>878</v>
      </c>
      <c r="M441">
        <v>-12</v>
      </c>
      <c r="O441" t="s">
        <v>820</v>
      </c>
      <c r="P441">
        <v>-32</v>
      </c>
      <c r="Q441" t="s">
        <v>79</v>
      </c>
      <c r="R441">
        <v>-1690.0001</v>
      </c>
      <c r="S441" t="s">
        <v>326</v>
      </c>
      <c r="T441">
        <v>-5</v>
      </c>
      <c r="U441" t="s">
        <v>79</v>
      </c>
      <c r="V441">
        <v>-1500</v>
      </c>
      <c r="W441" t="s">
        <v>894</v>
      </c>
      <c r="X441">
        <v>-1</v>
      </c>
      <c r="Y441" t="s">
        <v>625</v>
      </c>
      <c r="Z441">
        <v>-200</v>
      </c>
      <c r="AA441" t="s">
        <v>434</v>
      </c>
      <c r="AB441">
        <v>-1</v>
      </c>
      <c r="AC441" t="s">
        <v>247</v>
      </c>
      <c r="AD441">
        <v>-1</v>
      </c>
      <c r="AE441" t="s">
        <v>773</v>
      </c>
      <c r="AF441">
        <v>-3</v>
      </c>
      <c r="AG441" t="s">
        <v>325</v>
      </c>
      <c r="AH441">
        <v>-28</v>
      </c>
      <c r="AI441" t="s">
        <v>1265</v>
      </c>
      <c r="AJ441">
        <v>-10</v>
      </c>
      <c r="AK441" t="s">
        <v>2295</v>
      </c>
      <c r="AL441">
        <v>-3</v>
      </c>
      <c r="AM441" t="s">
        <v>2436</v>
      </c>
      <c r="AN441">
        <v>-1</v>
      </c>
    </row>
    <row r="442" spans="2:40" x14ac:dyDescent="0.25">
      <c r="B442" t="s">
        <v>232</v>
      </c>
      <c r="C442">
        <v>-8</v>
      </c>
      <c r="E442" t="s">
        <v>837</v>
      </c>
      <c r="F442">
        <v>-4</v>
      </c>
      <c r="H442" t="s">
        <v>483</v>
      </c>
      <c r="I442">
        <v>-0.05</v>
      </c>
      <c r="J442" t="s">
        <v>738</v>
      </c>
      <c r="K442">
        <v>-10</v>
      </c>
      <c r="L442" t="s">
        <v>32</v>
      </c>
      <c r="M442">
        <v>-45</v>
      </c>
      <c r="O442" t="s">
        <v>1458</v>
      </c>
      <c r="P442">
        <v>-1</v>
      </c>
      <c r="Q442" t="s">
        <v>383</v>
      </c>
      <c r="R442">
        <v>-16</v>
      </c>
      <c r="S442" t="s">
        <v>605</v>
      </c>
      <c r="T442">
        <v>-14</v>
      </c>
      <c r="U442" t="s">
        <v>383</v>
      </c>
      <c r="V442">
        <v>-160</v>
      </c>
      <c r="W442" t="s">
        <v>232</v>
      </c>
      <c r="X442">
        <v>-1</v>
      </c>
      <c r="Y442" t="s">
        <v>404</v>
      </c>
      <c r="Z442">
        <v>-339</v>
      </c>
      <c r="AA442" t="s">
        <v>431</v>
      </c>
      <c r="AB442">
        <v>-3</v>
      </c>
      <c r="AC442" t="s">
        <v>1691</v>
      </c>
      <c r="AD442">
        <v>-1</v>
      </c>
      <c r="AE442" t="s">
        <v>2106</v>
      </c>
      <c r="AF442">
        <v>-7</v>
      </c>
      <c r="AG442" t="s">
        <v>726</v>
      </c>
      <c r="AH442">
        <v>-49</v>
      </c>
      <c r="AI442" t="s">
        <v>86</v>
      </c>
      <c r="AJ442">
        <v>-28</v>
      </c>
      <c r="AK442" t="s">
        <v>2296</v>
      </c>
      <c r="AL442">
        <v>-1</v>
      </c>
      <c r="AM442" t="s">
        <v>1028</v>
      </c>
      <c r="AN442">
        <v>-6</v>
      </c>
    </row>
    <row r="443" spans="2:40" x14ac:dyDescent="0.25">
      <c r="B443" t="s">
        <v>150</v>
      </c>
      <c r="C443">
        <v>-32</v>
      </c>
      <c r="E443" t="s">
        <v>436</v>
      </c>
      <c r="F443">
        <v>-14</v>
      </c>
      <c r="H443" t="s">
        <v>370</v>
      </c>
      <c r="I443">
        <v>-3</v>
      </c>
      <c r="J443" t="s">
        <v>640</v>
      </c>
      <c r="K443">
        <v>-10</v>
      </c>
      <c r="L443" t="s">
        <v>51</v>
      </c>
      <c r="M443">
        <v>-13</v>
      </c>
      <c r="O443" t="s">
        <v>284</v>
      </c>
      <c r="P443">
        <v>-20</v>
      </c>
      <c r="Q443" t="s">
        <v>1297</v>
      </c>
      <c r="R443">
        <v>-6</v>
      </c>
      <c r="S443" t="s">
        <v>893</v>
      </c>
      <c r="T443">
        <v>-10</v>
      </c>
      <c r="U443" t="s">
        <v>619</v>
      </c>
      <c r="V443">
        <v>-2</v>
      </c>
      <c r="W443" t="s">
        <v>150</v>
      </c>
      <c r="X443">
        <v>-12</v>
      </c>
      <c r="Y443" t="s">
        <v>354</v>
      </c>
      <c r="Z443">
        <v>-2000</v>
      </c>
      <c r="AA443" t="s">
        <v>347</v>
      </c>
      <c r="AB443">
        <v>-0.5</v>
      </c>
      <c r="AC443" t="s">
        <v>717</v>
      </c>
      <c r="AD443">
        <v>-10</v>
      </c>
      <c r="AE443" t="s">
        <v>1303</v>
      </c>
      <c r="AF443">
        <v>-6</v>
      </c>
      <c r="AG443" t="s">
        <v>193</v>
      </c>
      <c r="AH443">
        <v>-10</v>
      </c>
      <c r="AI443" t="s">
        <v>1032</v>
      </c>
      <c r="AJ443">
        <v>-2</v>
      </c>
      <c r="AK443" t="s">
        <v>2297</v>
      </c>
      <c r="AL443">
        <v>-1</v>
      </c>
      <c r="AM443" t="s">
        <v>2437</v>
      </c>
      <c r="AN443">
        <v>-11</v>
      </c>
    </row>
    <row r="444" spans="2:40" x14ac:dyDescent="0.25">
      <c r="B444" t="s">
        <v>92</v>
      </c>
      <c r="C444">
        <v>-294</v>
      </c>
      <c r="E444" t="s">
        <v>437</v>
      </c>
      <c r="F444">
        <v>-6</v>
      </c>
      <c r="H444" t="s">
        <v>429</v>
      </c>
      <c r="I444">
        <v>-8</v>
      </c>
      <c r="J444" t="s">
        <v>777</v>
      </c>
      <c r="K444">
        <v>-5</v>
      </c>
      <c r="L444" t="s">
        <v>33</v>
      </c>
      <c r="M444">
        <v>-24</v>
      </c>
      <c r="O444" t="s">
        <v>779</v>
      </c>
      <c r="P444">
        <v>-16</v>
      </c>
      <c r="Q444" t="s">
        <v>1298</v>
      </c>
      <c r="R444">
        <v>-6</v>
      </c>
      <c r="S444" t="s">
        <v>1063</v>
      </c>
      <c r="T444">
        <v>-26</v>
      </c>
      <c r="U444" t="s">
        <v>1296</v>
      </c>
      <c r="V444">
        <v>-1</v>
      </c>
      <c r="W444" t="s">
        <v>92</v>
      </c>
      <c r="X444">
        <v>-98</v>
      </c>
      <c r="Y444" t="s">
        <v>732</v>
      </c>
      <c r="Z444">
        <v>-73.000000000000014</v>
      </c>
      <c r="AA444" t="s">
        <v>483</v>
      </c>
      <c r="AB444">
        <v>-0.7</v>
      </c>
      <c r="AC444" t="s">
        <v>716</v>
      </c>
      <c r="AD444">
        <v>-6</v>
      </c>
      <c r="AE444" t="s">
        <v>826</v>
      </c>
      <c r="AF444">
        <v>-3</v>
      </c>
      <c r="AG444" t="s">
        <v>194</v>
      </c>
      <c r="AH444">
        <v>-38</v>
      </c>
      <c r="AI444" t="s">
        <v>1033</v>
      </c>
      <c r="AJ444">
        <v>-5</v>
      </c>
      <c r="AK444" t="s">
        <v>201</v>
      </c>
      <c r="AL444">
        <v>-6</v>
      </c>
      <c r="AM444" t="s">
        <v>2438</v>
      </c>
      <c r="AN444">
        <v>-4</v>
      </c>
    </row>
    <row r="445" spans="2:40" x14ac:dyDescent="0.25">
      <c r="B445" t="s">
        <v>174</v>
      </c>
      <c r="C445">
        <v>-73.5</v>
      </c>
      <c r="E445" t="s">
        <v>583</v>
      </c>
      <c r="F445">
        <v>-4</v>
      </c>
      <c r="H445" t="s">
        <v>435</v>
      </c>
      <c r="I445">
        <v>-3</v>
      </c>
      <c r="J445" t="s">
        <v>553</v>
      </c>
      <c r="K445">
        <v>-45</v>
      </c>
      <c r="L445" t="s">
        <v>34</v>
      </c>
      <c r="M445">
        <v>-39</v>
      </c>
      <c r="O445" t="s">
        <v>285</v>
      </c>
      <c r="P445">
        <v>-28</v>
      </c>
      <c r="Q445" t="s">
        <v>1299</v>
      </c>
      <c r="R445">
        <v>-24</v>
      </c>
      <c r="S445" t="s">
        <v>894</v>
      </c>
      <c r="T445">
        <v>-2</v>
      </c>
      <c r="U445" t="s">
        <v>416</v>
      </c>
      <c r="V445">
        <v>-5</v>
      </c>
      <c r="W445" t="s">
        <v>174</v>
      </c>
      <c r="X445">
        <v>-18</v>
      </c>
      <c r="Y445" t="s">
        <v>493</v>
      </c>
      <c r="Z445">
        <v>-400</v>
      </c>
      <c r="AA445" t="s">
        <v>715</v>
      </c>
      <c r="AB445">
        <v>-0.24</v>
      </c>
      <c r="AC445" t="s">
        <v>76</v>
      </c>
      <c r="AD445">
        <v>-18</v>
      </c>
      <c r="AE445" t="s">
        <v>326</v>
      </c>
      <c r="AF445">
        <v>-7</v>
      </c>
      <c r="AG445" t="s">
        <v>1295</v>
      </c>
      <c r="AH445">
        <v>-9</v>
      </c>
      <c r="AI445" t="s">
        <v>1266</v>
      </c>
      <c r="AJ445">
        <v>-2</v>
      </c>
      <c r="AK445" t="s">
        <v>148</v>
      </c>
      <c r="AL445">
        <v>-146</v>
      </c>
      <c r="AM445" t="s">
        <v>2439</v>
      </c>
      <c r="AN445">
        <v>-8</v>
      </c>
    </row>
    <row r="446" spans="2:40" x14ac:dyDescent="0.25">
      <c r="B446" t="s">
        <v>154</v>
      </c>
      <c r="C446">
        <v>-285</v>
      </c>
      <c r="E446" t="s">
        <v>417</v>
      </c>
      <c r="F446">
        <v>-19.480899999999966</v>
      </c>
      <c r="H446" t="s">
        <v>950</v>
      </c>
      <c r="I446">
        <v>-0.11</v>
      </c>
      <c r="J446" t="s">
        <v>650</v>
      </c>
      <c r="K446">
        <v>-4</v>
      </c>
      <c r="L446" t="s">
        <v>35</v>
      </c>
      <c r="M446">
        <v>-18</v>
      </c>
      <c r="O446" t="s">
        <v>1261</v>
      </c>
      <c r="P446">
        <v>-3</v>
      </c>
      <c r="Q446" t="s">
        <v>1300</v>
      </c>
      <c r="R446">
        <v>-7</v>
      </c>
      <c r="S446" t="s">
        <v>372</v>
      </c>
      <c r="T446">
        <v>-2</v>
      </c>
      <c r="U446" t="s">
        <v>671</v>
      </c>
      <c r="V446">
        <v>-2</v>
      </c>
      <c r="W446" t="s">
        <v>154</v>
      </c>
      <c r="X446">
        <v>-12</v>
      </c>
      <c r="Y446" t="s">
        <v>1629</v>
      </c>
      <c r="Z446">
        <v>-300</v>
      </c>
      <c r="AA446" t="s">
        <v>344</v>
      </c>
      <c r="AB446">
        <v>-44</v>
      </c>
      <c r="AC446" t="s">
        <v>2016</v>
      </c>
      <c r="AD446">
        <v>-4</v>
      </c>
      <c r="AE446" t="s">
        <v>2107</v>
      </c>
      <c r="AF446">
        <v>-3</v>
      </c>
      <c r="AG446" t="s">
        <v>220</v>
      </c>
      <c r="AH446">
        <v>-5</v>
      </c>
      <c r="AI446" t="s">
        <v>1748</v>
      </c>
      <c r="AJ446">
        <v>-6</v>
      </c>
      <c r="AK446" t="s">
        <v>262</v>
      </c>
      <c r="AL446">
        <v>-34</v>
      </c>
      <c r="AM446" t="s">
        <v>2440</v>
      </c>
      <c r="AN446">
        <v>-8</v>
      </c>
    </row>
    <row r="447" spans="2:40" x14ac:dyDescent="0.25">
      <c r="B447" t="s">
        <v>477</v>
      </c>
      <c r="C447">
        <v>-2</v>
      </c>
      <c r="E447" t="s">
        <v>347</v>
      </c>
      <c r="F447">
        <v>-9.8999000000000041</v>
      </c>
      <c r="H447" t="s">
        <v>576</v>
      </c>
      <c r="I447">
        <v>-228</v>
      </c>
      <c r="J447" t="s">
        <v>114</v>
      </c>
      <c r="K447">
        <v>-1</v>
      </c>
      <c r="L447" t="s">
        <v>36</v>
      </c>
      <c r="M447">
        <v>-36</v>
      </c>
      <c r="O447" t="s">
        <v>1459</v>
      </c>
      <c r="P447">
        <v>-17</v>
      </c>
      <c r="Q447" t="s">
        <v>682</v>
      </c>
      <c r="R447">
        <v>-8</v>
      </c>
      <c r="S447" t="s">
        <v>232</v>
      </c>
      <c r="T447">
        <v>-4</v>
      </c>
      <c r="U447" t="s">
        <v>672</v>
      </c>
      <c r="V447">
        <v>-2</v>
      </c>
      <c r="W447" t="s">
        <v>149</v>
      </c>
      <c r="X447">
        <v>-22</v>
      </c>
      <c r="Y447" t="s">
        <v>357</v>
      </c>
      <c r="Z447">
        <v>-300</v>
      </c>
      <c r="AA447" t="s">
        <v>561</v>
      </c>
      <c r="AB447">
        <v>-12</v>
      </c>
      <c r="AC447" t="s">
        <v>1074</v>
      </c>
      <c r="AD447">
        <v>-3</v>
      </c>
      <c r="AE447" t="s">
        <v>892</v>
      </c>
      <c r="AF447">
        <v>-6</v>
      </c>
      <c r="AG447" t="s">
        <v>79</v>
      </c>
      <c r="AH447">
        <v>-260</v>
      </c>
      <c r="AI447" t="s">
        <v>2222</v>
      </c>
      <c r="AJ447">
        <v>-1</v>
      </c>
      <c r="AK447" t="s">
        <v>2298</v>
      </c>
      <c r="AL447">
        <v>-2</v>
      </c>
      <c r="AM447" t="s">
        <v>2441</v>
      </c>
      <c r="AN447">
        <v>-2</v>
      </c>
    </row>
    <row r="448" spans="2:40" x14ac:dyDescent="0.25">
      <c r="B448" t="s">
        <v>149</v>
      </c>
      <c r="C448">
        <v>-88</v>
      </c>
      <c r="E448" t="s">
        <v>483</v>
      </c>
      <c r="F448">
        <v>-28.170599999999972</v>
      </c>
      <c r="H448" t="s">
        <v>715</v>
      </c>
      <c r="I448">
        <v>-120</v>
      </c>
      <c r="J448" t="s">
        <v>920</v>
      </c>
      <c r="K448">
        <v>-1.9999999999999998</v>
      </c>
      <c r="L448" t="s">
        <v>666</v>
      </c>
      <c r="M448">
        <v>-30</v>
      </c>
      <c r="O448" t="s">
        <v>1460</v>
      </c>
      <c r="P448">
        <v>-17</v>
      </c>
      <c r="Q448" t="s">
        <v>447</v>
      </c>
      <c r="R448">
        <v>-0.99960000000000016</v>
      </c>
      <c r="S448" t="s">
        <v>78</v>
      </c>
      <c r="T448">
        <v>-2</v>
      </c>
      <c r="U448" t="s">
        <v>445</v>
      </c>
      <c r="V448">
        <v>-14.000300000000003</v>
      </c>
      <c r="W448" t="s">
        <v>1310</v>
      </c>
      <c r="X448">
        <v>-20</v>
      </c>
      <c r="Y448" t="s">
        <v>403</v>
      </c>
      <c r="Z448">
        <v>-917</v>
      </c>
      <c r="AA448" t="s">
        <v>482</v>
      </c>
      <c r="AB448">
        <v>-6</v>
      </c>
      <c r="AC448" t="s">
        <v>1075</v>
      </c>
      <c r="AD448">
        <v>-1</v>
      </c>
      <c r="AE448" t="s">
        <v>1305</v>
      </c>
      <c r="AF448">
        <v>-4</v>
      </c>
      <c r="AG448" t="s">
        <v>383</v>
      </c>
      <c r="AH448">
        <v>-206</v>
      </c>
      <c r="AI448" t="s">
        <v>879</v>
      </c>
      <c r="AJ448">
        <v>-2</v>
      </c>
      <c r="AK448" t="s">
        <v>263</v>
      </c>
      <c r="AL448">
        <v>-15</v>
      </c>
      <c r="AM448" t="s">
        <v>2442</v>
      </c>
      <c r="AN448">
        <v>-18</v>
      </c>
    </row>
    <row r="449" spans="2:40" x14ac:dyDescent="0.25">
      <c r="B449" t="s">
        <v>722</v>
      </c>
      <c r="C449">
        <v>-21</v>
      </c>
      <c r="E449" t="s">
        <v>370</v>
      </c>
      <c r="F449">
        <v>-18</v>
      </c>
      <c r="H449" t="s">
        <v>344</v>
      </c>
      <c r="I449">
        <v>-532</v>
      </c>
      <c r="J449" t="s">
        <v>164</v>
      </c>
      <c r="K449">
        <v>-7</v>
      </c>
      <c r="L449" t="s">
        <v>66</v>
      </c>
      <c r="M449">
        <v>-36</v>
      </c>
      <c r="O449" t="s">
        <v>1461</v>
      </c>
      <c r="P449">
        <v>-37</v>
      </c>
      <c r="Q449" t="s">
        <v>445</v>
      </c>
      <c r="R449">
        <v>-8.3999999999999986</v>
      </c>
      <c r="S449" t="s">
        <v>150</v>
      </c>
      <c r="T449">
        <v>-12</v>
      </c>
      <c r="U449" t="s">
        <v>639</v>
      </c>
      <c r="V449">
        <v>-1</v>
      </c>
      <c r="W449" t="s">
        <v>339</v>
      </c>
      <c r="X449">
        <v>-2</v>
      </c>
      <c r="Y449" t="s">
        <v>408</v>
      </c>
      <c r="Z449">
        <v>-2758</v>
      </c>
      <c r="AA449" t="s">
        <v>566</v>
      </c>
      <c r="AB449">
        <v>-3</v>
      </c>
      <c r="AC449" t="s">
        <v>254</v>
      </c>
      <c r="AD449">
        <v>-2</v>
      </c>
      <c r="AE449" t="s">
        <v>1063</v>
      </c>
      <c r="AF449">
        <v>-24</v>
      </c>
      <c r="AG449" t="s">
        <v>619</v>
      </c>
      <c r="AH449">
        <v>-1</v>
      </c>
      <c r="AI449" t="s">
        <v>249</v>
      </c>
      <c r="AJ449">
        <v>-142</v>
      </c>
      <c r="AK449" t="s">
        <v>2299</v>
      </c>
      <c r="AL449">
        <v>-2</v>
      </c>
      <c r="AM449" t="s">
        <v>708</v>
      </c>
      <c r="AN449">
        <v>-3</v>
      </c>
    </row>
    <row r="450" spans="2:40" x14ac:dyDescent="0.25">
      <c r="B450" t="s">
        <v>339</v>
      </c>
      <c r="C450">
        <v>-172</v>
      </c>
      <c r="E450" t="s">
        <v>429</v>
      </c>
      <c r="F450">
        <v>-20</v>
      </c>
      <c r="H450" t="s">
        <v>561</v>
      </c>
      <c r="I450">
        <v>-150</v>
      </c>
      <c r="J450" t="s">
        <v>923</v>
      </c>
      <c r="K450">
        <v>-113</v>
      </c>
      <c r="L450" t="s">
        <v>1262</v>
      </c>
      <c r="M450">
        <v>-15</v>
      </c>
      <c r="O450" t="s">
        <v>1462</v>
      </c>
      <c r="P450">
        <v>-7</v>
      </c>
      <c r="Q450" t="s">
        <v>639</v>
      </c>
      <c r="R450">
        <v>-2</v>
      </c>
      <c r="S450" t="s">
        <v>92</v>
      </c>
      <c r="T450">
        <v>-162</v>
      </c>
      <c r="U450" t="s">
        <v>446</v>
      </c>
      <c r="V450">
        <v>-3.9998000000000005</v>
      </c>
      <c r="W450" t="s">
        <v>231</v>
      </c>
      <c r="X450">
        <v>-89</v>
      </c>
      <c r="Y450" t="s">
        <v>358</v>
      </c>
      <c r="Z450">
        <v>-591</v>
      </c>
      <c r="AA450" t="s">
        <v>412</v>
      </c>
      <c r="AB450">
        <v>-4.5220000000000002</v>
      </c>
      <c r="AC450" t="s">
        <v>256</v>
      </c>
      <c r="AD450">
        <v>-1</v>
      </c>
      <c r="AE450" t="s">
        <v>894</v>
      </c>
      <c r="AF450">
        <v>-6</v>
      </c>
      <c r="AG450" t="s">
        <v>1296</v>
      </c>
      <c r="AH450">
        <v>-6</v>
      </c>
      <c r="AI450" t="s">
        <v>250</v>
      </c>
      <c r="AJ450">
        <v>-167</v>
      </c>
      <c r="AK450" t="s">
        <v>261</v>
      </c>
      <c r="AL450">
        <v>-14</v>
      </c>
      <c r="AM450" t="s">
        <v>286</v>
      </c>
      <c r="AN450">
        <v>-28</v>
      </c>
    </row>
    <row r="451" spans="2:40" x14ac:dyDescent="0.25">
      <c r="B451" t="s">
        <v>231</v>
      </c>
      <c r="C451">
        <v>-232</v>
      </c>
      <c r="E451" t="s">
        <v>435</v>
      </c>
      <c r="F451">
        <v>-70</v>
      </c>
      <c r="H451" t="s">
        <v>482</v>
      </c>
      <c r="I451">
        <v>-22.5</v>
      </c>
      <c r="J451" t="s">
        <v>146</v>
      </c>
      <c r="K451">
        <v>-7.0000000000000018</v>
      </c>
      <c r="L451" t="s">
        <v>65</v>
      </c>
      <c r="M451">
        <v>-39</v>
      </c>
      <c r="O451" t="s">
        <v>212</v>
      </c>
      <c r="P451">
        <v>-24</v>
      </c>
      <c r="Q451" t="s">
        <v>446</v>
      </c>
      <c r="R451">
        <v>-5.9995999999999992</v>
      </c>
      <c r="S451" t="s">
        <v>154</v>
      </c>
      <c r="T451">
        <v>-53</v>
      </c>
      <c r="U451" t="s">
        <v>1751</v>
      </c>
      <c r="V451">
        <v>-3</v>
      </c>
      <c r="W451" t="s">
        <v>24</v>
      </c>
      <c r="X451">
        <v>-2</v>
      </c>
      <c r="Y451" t="s">
        <v>359</v>
      </c>
      <c r="Z451">
        <v>-655</v>
      </c>
      <c r="AA451" t="s">
        <v>578</v>
      </c>
      <c r="AB451">
        <v>-3</v>
      </c>
      <c r="AC451" t="s">
        <v>46</v>
      </c>
      <c r="AD451">
        <v>-7</v>
      </c>
      <c r="AE451" t="s">
        <v>2108</v>
      </c>
      <c r="AF451">
        <v>-5</v>
      </c>
      <c r="AG451" t="s">
        <v>416</v>
      </c>
      <c r="AH451">
        <v>-5</v>
      </c>
      <c r="AI451" t="s">
        <v>743</v>
      </c>
      <c r="AJ451">
        <v>-11</v>
      </c>
      <c r="AK451" t="s">
        <v>2010</v>
      </c>
      <c r="AL451">
        <v>-2</v>
      </c>
      <c r="AM451" t="s">
        <v>665</v>
      </c>
      <c r="AN451">
        <v>-56</v>
      </c>
    </row>
    <row r="452" spans="2:40" x14ac:dyDescent="0.25">
      <c r="B452" t="s">
        <v>24</v>
      </c>
      <c r="C452">
        <v>-8</v>
      </c>
      <c r="E452" t="s">
        <v>838</v>
      </c>
      <c r="F452">
        <v>-2.1059999999999994</v>
      </c>
      <c r="H452" t="s">
        <v>566</v>
      </c>
      <c r="I452">
        <v>-57</v>
      </c>
      <c r="J452" t="s">
        <v>162</v>
      </c>
      <c r="K452">
        <v>-139</v>
      </c>
      <c r="L452" t="s">
        <v>26</v>
      </c>
      <c r="M452">
        <v>-36</v>
      </c>
      <c r="O452" t="s">
        <v>1463</v>
      </c>
      <c r="P452">
        <v>-6</v>
      </c>
      <c r="Q452" t="s">
        <v>684</v>
      </c>
      <c r="R452">
        <v>-3.0002</v>
      </c>
      <c r="S452" t="s">
        <v>477</v>
      </c>
      <c r="T452">
        <v>-2</v>
      </c>
      <c r="U452" t="s">
        <v>712</v>
      </c>
      <c r="V452">
        <v>-1.9956999999999998</v>
      </c>
      <c r="W452" t="s">
        <v>1851</v>
      </c>
      <c r="X452">
        <v>-6</v>
      </c>
      <c r="Y452" t="s">
        <v>356</v>
      </c>
      <c r="Z452">
        <v>-3200</v>
      </c>
      <c r="AA452" t="s">
        <v>567</v>
      </c>
      <c r="AB452">
        <v>-1.1200000000000001</v>
      </c>
      <c r="AC452" t="s">
        <v>2017</v>
      </c>
      <c r="AD452">
        <v>-3</v>
      </c>
      <c r="AE452" t="s">
        <v>232</v>
      </c>
      <c r="AF452">
        <v>-7</v>
      </c>
      <c r="AG452" t="s">
        <v>2166</v>
      </c>
      <c r="AH452">
        <v>-1</v>
      </c>
      <c r="AI452" t="s">
        <v>1267</v>
      </c>
      <c r="AJ452">
        <v>-7</v>
      </c>
      <c r="AK452" t="s">
        <v>1044</v>
      </c>
      <c r="AL452">
        <v>-2</v>
      </c>
      <c r="AM452" t="s">
        <v>332</v>
      </c>
      <c r="AN452">
        <v>-152</v>
      </c>
    </row>
    <row r="453" spans="2:40" x14ac:dyDescent="0.25">
      <c r="B453" t="s">
        <v>709</v>
      </c>
      <c r="C453">
        <v>-1</v>
      </c>
      <c r="E453" t="s">
        <v>576</v>
      </c>
      <c r="F453">
        <v>-636</v>
      </c>
      <c r="H453" t="s">
        <v>412</v>
      </c>
      <c r="I453">
        <v>-27</v>
      </c>
      <c r="J453" t="s">
        <v>646</v>
      </c>
      <c r="K453">
        <v>-2</v>
      </c>
      <c r="L453" t="s">
        <v>225</v>
      </c>
      <c r="M453">
        <v>-3</v>
      </c>
      <c r="O453" t="s">
        <v>1464</v>
      </c>
      <c r="P453">
        <v>-8</v>
      </c>
      <c r="Q453" t="s">
        <v>685</v>
      </c>
      <c r="R453">
        <v>-3.9995000000000007</v>
      </c>
      <c r="S453" t="s">
        <v>149</v>
      </c>
      <c r="T453">
        <v>-38</v>
      </c>
      <c r="U453" t="s">
        <v>772</v>
      </c>
      <c r="V453">
        <v>-2.0002</v>
      </c>
      <c r="W453" t="s">
        <v>1852</v>
      </c>
      <c r="X453">
        <v>-23</v>
      </c>
      <c r="Y453" t="s">
        <v>402</v>
      </c>
      <c r="Z453">
        <v>-3835.9999999999986</v>
      </c>
      <c r="AA453" t="s">
        <v>568</v>
      </c>
      <c r="AB453">
        <v>-10</v>
      </c>
      <c r="AC453" t="s">
        <v>137</v>
      </c>
      <c r="AD453">
        <v>-3</v>
      </c>
      <c r="AE453" t="s">
        <v>150</v>
      </c>
      <c r="AF453">
        <v>-26</v>
      </c>
      <c r="AG453" t="s">
        <v>1052</v>
      </c>
      <c r="AH453">
        <v>-1</v>
      </c>
      <c r="AI453" t="s">
        <v>1268</v>
      </c>
      <c r="AJ453">
        <v>-7</v>
      </c>
      <c r="AK453" t="s">
        <v>2102</v>
      </c>
      <c r="AL453">
        <v>-4</v>
      </c>
      <c r="AM453" t="s">
        <v>269</v>
      </c>
      <c r="AN453">
        <v>-54</v>
      </c>
    </row>
    <row r="454" spans="2:40" x14ac:dyDescent="0.25">
      <c r="B454" t="s">
        <v>710</v>
      </c>
      <c r="C454">
        <v>-5</v>
      </c>
      <c r="E454" t="s">
        <v>344</v>
      </c>
      <c r="F454">
        <v>-1158.2</v>
      </c>
      <c r="H454" t="s">
        <v>578</v>
      </c>
      <c r="I454">
        <v>-21</v>
      </c>
      <c r="J454" t="s">
        <v>468</v>
      </c>
      <c r="K454">
        <v>-2</v>
      </c>
      <c r="L454" t="s">
        <v>27</v>
      </c>
      <c r="M454">
        <v>-48</v>
      </c>
      <c r="O454" t="s">
        <v>1465</v>
      </c>
      <c r="P454">
        <v>-2</v>
      </c>
      <c r="Q454" t="s">
        <v>686</v>
      </c>
      <c r="R454">
        <v>-10</v>
      </c>
      <c r="S454" t="s">
        <v>1310</v>
      </c>
      <c r="T454">
        <v>-48</v>
      </c>
      <c r="U454" t="s">
        <v>368</v>
      </c>
      <c r="V454">
        <v>-2</v>
      </c>
      <c r="W454" t="s">
        <v>1853</v>
      </c>
      <c r="X454">
        <v>-4</v>
      </c>
      <c r="Y454" t="s">
        <v>490</v>
      </c>
      <c r="Z454">
        <v>-50</v>
      </c>
      <c r="AA454" t="s">
        <v>609</v>
      </c>
      <c r="AB454">
        <v>-14.723000000000001</v>
      </c>
      <c r="AC454" t="s">
        <v>340</v>
      </c>
      <c r="AD454">
        <v>-65</v>
      </c>
      <c r="AE454" t="s">
        <v>92</v>
      </c>
      <c r="AF454">
        <v>-103</v>
      </c>
      <c r="AG454" t="s">
        <v>671</v>
      </c>
      <c r="AH454">
        <v>-8.75</v>
      </c>
      <c r="AI454" t="s">
        <v>279</v>
      </c>
      <c r="AJ454">
        <v>-1</v>
      </c>
      <c r="AK454" t="s">
        <v>151</v>
      </c>
      <c r="AL454">
        <v>-12</v>
      </c>
      <c r="AM454" t="s">
        <v>2443</v>
      </c>
      <c r="AN454">
        <v>-4</v>
      </c>
    </row>
    <row r="455" spans="2:40" x14ac:dyDescent="0.25">
      <c r="B455" t="s">
        <v>542</v>
      </c>
      <c r="C455">
        <v>-2</v>
      </c>
      <c r="E455" t="s">
        <v>561</v>
      </c>
      <c r="F455">
        <v>-230.5</v>
      </c>
      <c r="H455" t="s">
        <v>567</v>
      </c>
      <c r="I455">
        <v>-17.580000000000002</v>
      </c>
      <c r="J455" t="s">
        <v>642</v>
      </c>
      <c r="K455">
        <v>-10</v>
      </c>
      <c r="L455" t="s">
        <v>28</v>
      </c>
      <c r="M455">
        <v>-6</v>
      </c>
      <c r="O455" t="s">
        <v>875</v>
      </c>
      <c r="P455">
        <v>-2</v>
      </c>
      <c r="Q455" t="s">
        <v>687</v>
      </c>
      <c r="R455">
        <v>-8</v>
      </c>
      <c r="S455" t="s">
        <v>231</v>
      </c>
      <c r="T455">
        <v>-64</v>
      </c>
      <c r="U455" t="s">
        <v>1752</v>
      </c>
      <c r="V455">
        <v>-1</v>
      </c>
      <c r="W455" t="s">
        <v>1854</v>
      </c>
      <c r="X455">
        <v>-15</v>
      </c>
      <c r="Y455" t="s">
        <v>409</v>
      </c>
      <c r="Z455">
        <v>-596.00000000000011</v>
      </c>
      <c r="AA455" t="s">
        <v>478</v>
      </c>
      <c r="AB455">
        <v>-20.98</v>
      </c>
      <c r="AC455" t="s">
        <v>1078</v>
      </c>
      <c r="AD455">
        <v>-8</v>
      </c>
      <c r="AE455" t="s">
        <v>174</v>
      </c>
      <c r="AF455">
        <v>-88</v>
      </c>
      <c r="AG455" t="s">
        <v>672</v>
      </c>
      <c r="AH455">
        <v>-8</v>
      </c>
      <c r="AI455" t="s">
        <v>2223</v>
      </c>
      <c r="AJ455">
        <v>-1</v>
      </c>
      <c r="AK455" t="s">
        <v>2300</v>
      </c>
      <c r="AL455">
        <v>-4</v>
      </c>
      <c r="AM455" t="s">
        <v>820</v>
      </c>
      <c r="AN455">
        <v>-10</v>
      </c>
    </row>
    <row r="456" spans="2:40" x14ac:dyDescent="0.25">
      <c r="B456" t="s">
        <v>158</v>
      </c>
      <c r="C456">
        <v>-64</v>
      </c>
      <c r="E456" t="s">
        <v>482</v>
      </c>
      <c r="F456">
        <v>-4</v>
      </c>
      <c r="H456" t="s">
        <v>568</v>
      </c>
      <c r="I456">
        <v>-248</v>
      </c>
      <c r="J456" t="s">
        <v>1088</v>
      </c>
      <c r="K456">
        <v>-1</v>
      </c>
      <c r="L456" t="s">
        <v>29</v>
      </c>
      <c r="M456">
        <v>-30</v>
      </c>
      <c r="O456" t="s">
        <v>876</v>
      </c>
      <c r="P456">
        <v>-4</v>
      </c>
      <c r="Q456" t="s">
        <v>772</v>
      </c>
      <c r="R456">
        <v>-5.9998000000000005</v>
      </c>
      <c r="S456" t="s">
        <v>130</v>
      </c>
      <c r="T456">
        <v>-1</v>
      </c>
      <c r="U456" t="s">
        <v>1753</v>
      </c>
      <c r="V456">
        <v>-1</v>
      </c>
      <c r="W456" t="s">
        <v>1855</v>
      </c>
      <c r="X456">
        <v>-13</v>
      </c>
      <c r="Y456" t="s">
        <v>492</v>
      </c>
      <c r="Z456">
        <v>-318</v>
      </c>
      <c r="AA456" t="s">
        <v>346</v>
      </c>
      <c r="AB456">
        <v>-0.17</v>
      </c>
      <c r="AC456" t="s">
        <v>1079</v>
      </c>
      <c r="AD456">
        <v>-10</v>
      </c>
      <c r="AE456" t="s">
        <v>154</v>
      </c>
      <c r="AF456">
        <v>-84</v>
      </c>
      <c r="AG456" t="s">
        <v>445</v>
      </c>
      <c r="AH456">
        <v>-1</v>
      </c>
      <c r="AI456" t="s">
        <v>592</v>
      </c>
      <c r="AJ456">
        <v>-5042.8950000000004</v>
      </c>
      <c r="AK456" t="s">
        <v>2301</v>
      </c>
      <c r="AL456">
        <v>-1</v>
      </c>
      <c r="AM456" t="s">
        <v>284</v>
      </c>
      <c r="AN456">
        <v>-12</v>
      </c>
    </row>
    <row r="457" spans="2:40" x14ac:dyDescent="0.25">
      <c r="B457" t="s">
        <v>130</v>
      </c>
      <c r="C457">
        <v>-1</v>
      </c>
      <c r="E457" t="s">
        <v>566</v>
      </c>
      <c r="F457">
        <v>-65.5</v>
      </c>
      <c r="H457" t="s">
        <v>609</v>
      </c>
      <c r="I457">
        <v>-83.87</v>
      </c>
      <c r="J457" t="s">
        <v>122</v>
      </c>
      <c r="K457">
        <v>-1</v>
      </c>
      <c r="L457" t="s">
        <v>64</v>
      </c>
      <c r="M457">
        <v>-24</v>
      </c>
      <c r="O457" t="s">
        <v>1466</v>
      </c>
      <c r="P457">
        <v>-16</v>
      </c>
      <c r="Q457" t="s">
        <v>773</v>
      </c>
      <c r="R457">
        <v>-0.99960000000000016</v>
      </c>
      <c r="S457" t="s">
        <v>898</v>
      </c>
      <c r="T457">
        <v>-12</v>
      </c>
      <c r="U457" t="s">
        <v>326</v>
      </c>
      <c r="V457">
        <v>-4</v>
      </c>
      <c r="W457" t="s">
        <v>1856</v>
      </c>
      <c r="X457">
        <v>-1</v>
      </c>
      <c r="Y457" t="s">
        <v>407</v>
      </c>
      <c r="Z457">
        <v>-1472.9999999999998</v>
      </c>
      <c r="AA457" t="s">
        <v>679</v>
      </c>
      <c r="AB457">
        <v>-6</v>
      </c>
      <c r="AC457" t="s">
        <v>1333</v>
      </c>
      <c r="AD457">
        <v>-6</v>
      </c>
      <c r="AE457" t="s">
        <v>477</v>
      </c>
      <c r="AF457">
        <v>-4</v>
      </c>
      <c r="AG457" t="s">
        <v>639</v>
      </c>
      <c r="AH457">
        <v>-5.9999999999999991</v>
      </c>
      <c r="AI457" t="s">
        <v>1271</v>
      </c>
      <c r="AJ457">
        <v>-8</v>
      </c>
      <c r="AK457" t="s">
        <v>258</v>
      </c>
      <c r="AL457">
        <v>-34</v>
      </c>
      <c r="AM457" t="s">
        <v>285</v>
      </c>
      <c r="AN457">
        <v>-18</v>
      </c>
    </row>
    <row r="458" spans="2:40" x14ac:dyDescent="0.25">
      <c r="B458" t="s">
        <v>675</v>
      </c>
      <c r="C458">
        <v>-1</v>
      </c>
      <c r="E458" t="s">
        <v>412</v>
      </c>
      <c r="F458">
        <v>-85.41</v>
      </c>
      <c r="H458" t="s">
        <v>478</v>
      </c>
      <c r="I458">
        <v>-291</v>
      </c>
      <c r="J458" t="s">
        <v>557</v>
      </c>
      <c r="K458">
        <v>-10</v>
      </c>
      <c r="L458" t="s">
        <v>1263</v>
      </c>
      <c r="M458">
        <v>-3</v>
      </c>
      <c r="O458" t="s">
        <v>280</v>
      </c>
      <c r="P458">
        <v>-150</v>
      </c>
      <c r="Q458" t="s">
        <v>1301</v>
      </c>
      <c r="R458">
        <v>-41</v>
      </c>
      <c r="S458" t="s">
        <v>675</v>
      </c>
      <c r="T458">
        <v>-1</v>
      </c>
      <c r="U458" t="s">
        <v>891</v>
      </c>
      <c r="V458">
        <v>-13</v>
      </c>
      <c r="W458" t="s">
        <v>1857</v>
      </c>
      <c r="X458">
        <v>-7</v>
      </c>
      <c r="Y458" t="s">
        <v>1784</v>
      </c>
      <c r="Z458">
        <v>-170</v>
      </c>
      <c r="AA458" t="s">
        <v>451</v>
      </c>
      <c r="AB458">
        <v>-0.5</v>
      </c>
      <c r="AC458" t="s">
        <v>2018</v>
      </c>
      <c r="AD458">
        <v>-10</v>
      </c>
      <c r="AE458" t="s">
        <v>149</v>
      </c>
      <c r="AF458">
        <v>-76</v>
      </c>
      <c r="AG458" t="s">
        <v>446</v>
      </c>
      <c r="AH458">
        <v>-6.9999999999999991</v>
      </c>
      <c r="AI458" t="s">
        <v>1750</v>
      </c>
      <c r="AJ458">
        <v>-4</v>
      </c>
      <c r="AK458" t="s">
        <v>2302</v>
      </c>
      <c r="AL458">
        <v>-4</v>
      </c>
      <c r="AM458" t="s">
        <v>212</v>
      </c>
      <c r="AN458">
        <v>-2</v>
      </c>
    </row>
    <row r="459" spans="2:40" x14ac:dyDescent="0.25">
      <c r="B459" t="s">
        <v>292</v>
      </c>
      <c r="C459">
        <v>-9</v>
      </c>
      <c r="E459" t="s">
        <v>585</v>
      </c>
      <c r="F459">
        <v>-1.5</v>
      </c>
      <c r="H459" t="s">
        <v>346</v>
      </c>
      <c r="I459">
        <v>-96.040000000000049</v>
      </c>
      <c r="J459" t="s">
        <v>558</v>
      </c>
      <c r="K459">
        <v>-10</v>
      </c>
      <c r="L459" t="s">
        <v>1264</v>
      </c>
      <c r="M459">
        <v>-12</v>
      </c>
      <c r="O459" t="s">
        <v>1467</v>
      </c>
      <c r="P459">
        <v>-40</v>
      </c>
      <c r="Q459" t="s">
        <v>1614</v>
      </c>
      <c r="R459">
        <v>-30</v>
      </c>
      <c r="S459" t="s">
        <v>648</v>
      </c>
      <c r="T459">
        <v>-32</v>
      </c>
      <c r="U459" t="s">
        <v>892</v>
      </c>
      <c r="V459">
        <v>-2</v>
      </c>
      <c r="W459" t="s">
        <v>292</v>
      </c>
      <c r="X459">
        <v>-1</v>
      </c>
      <c r="Y459" t="s">
        <v>744</v>
      </c>
      <c r="Z459">
        <v>-400</v>
      </c>
      <c r="AA459" t="s">
        <v>691</v>
      </c>
      <c r="AB459">
        <v>-0.6</v>
      </c>
      <c r="AC459" t="s">
        <v>1692</v>
      </c>
      <c r="AD459">
        <v>-20</v>
      </c>
      <c r="AE459" t="s">
        <v>1310</v>
      </c>
      <c r="AF459">
        <v>-16</v>
      </c>
      <c r="AG459" t="s">
        <v>685</v>
      </c>
      <c r="AH459">
        <v>-2</v>
      </c>
      <c r="AI459" t="s">
        <v>2224</v>
      </c>
      <c r="AJ459">
        <v>-1</v>
      </c>
      <c r="AK459" t="s">
        <v>246</v>
      </c>
      <c r="AL459">
        <v>-24</v>
      </c>
      <c r="AM459" t="s">
        <v>280</v>
      </c>
      <c r="AN459">
        <v>-84</v>
      </c>
    </row>
    <row r="460" spans="2:40" x14ac:dyDescent="0.25">
      <c r="B460" t="s">
        <v>761</v>
      </c>
      <c r="C460">
        <v>-1</v>
      </c>
      <c r="E460" t="s">
        <v>578</v>
      </c>
      <c r="F460">
        <v>-38</v>
      </c>
      <c r="H460" t="s">
        <v>679</v>
      </c>
      <c r="I460">
        <v>-23.14</v>
      </c>
      <c r="J460" t="s">
        <v>466</v>
      </c>
      <c r="K460">
        <v>-250</v>
      </c>
      <c r="L460" t="s">
        <v>674</v>
      </c>
      <c r="M460">
        <v>-24</v>
      </c>
      <c r="O460" t="s">
        <v>32</v>
      </c>
      <c r="P460">
        <v>-37</v>
      </c>
      <c r="Q460" t="s">
        <v>326</v>
      </c>
      <c r="R460">
        <v>-5</v>
      </c>
      <c r="S460" t="s">
        <v>388</v>
      </c>
      <c r="T460">
        <v>-44</v>
      </c>
      <c r="U460" t="s">
        <v>605</v>
      </c>
      <c r="V460">
        <v>-8</v>
      </c>
      <c r="W460" t="s">
        <v>1858</v>
      </c>
      <c r="X460">
        <v>-4</v>
      </c>
      <c r="Y460" t="s">
        <v>622</v>
      </c>
      <c r="Z460">
        <v>-300</v>
      </c>
      <c r="AA460" t="s">
        <v>500</v>
      </c>
      <c r="AB460">
        <v>-4.5999999999999996</v>
      </c>
      <c r="AC460" t="s">
        <v>678</v>
      </c>
      <c r="AD460">
        <v>-0.53</v>
      </c>
      <c r="AE460" t="s">
        <v>339</v>
      </c>
      <c r="AF460">
        <v>-130</v>
      </c>
      <c r="AG460" t="s">
        <v>686</v>
      </c>
      <c r="AH460">
        <v>-3</v>
      </c>
      <c r="AI460" t="s">
        <v>129</v>
      </c>
      <c r="AJ460">
        <v>-62</v>
      </c>
      <c r="AK460" t="s">
        <v>2303</v>
      </c>
      <c r="AL460">
        <v>-30</v>
      </c>
      <c r="AM460" t="s">
        <v>32</v>
      </c>
      <c r="AN460">
        <v>-7</v>
      </c>
    </row>
    <row r="461" spans="2:40" x14ac:dyDescent="0.25">
      <c r="B461" t="s">
        <v>144</v>
      </c>
      <c r="C461">
        <v>-2</v>
      </c>
      <c r="E461" t="s">
        <v>714</v>
      </c>
      <c r="F461">
        <v>-2</v>
      </c>
      <c r="H461" t="s">
        <v>268</v>
      </c>
      <c r="I461">
        <v>-6.9</v>
      </c>
      <c r="J461" t="s">
        <v>1089</v>
      </c>
      <c r="K461">
        <v>-250</v>
      </c>
      <c r="L461" t="s">
        <v>25</v>
      </c>
      <c r="M461">
        <v>-6</v>
      </c>
      <c r="O461" t="s">
        <v>51</v>
      </c>
      <c r="P461">
        <v>-18</v>
      </c>
      <c r="Q461" t="s">
        <v>891</v>
      </c>
      <c r="R461">
        <v>-4</v>
      </c>
      <c r="S461" t="s">
        <v>1691</v>
      </c>
      <c r="T461">
        <v>-1</v>
      </c>
      <c r="U461" t="s">
        <v>893</v>
      </c>
      <c r="V461">
        <v>-23</v>
      </c>
      <c r="W461" t="s">
        <v>761</v>
      </c>
      <c r="X461">
        <v>-1</v>
      </c>
      <c r="Y461" t="s">
        <v>491</v>
      </c>
      <c r="Z461">
        <v>-200</v>
      </c>
      <c r="AA461" t="s">
        <v>572</v>
      </c>
      <c r="AB461">
        <v>-1.73</v>
      </c>
      <c r="AC461" t="s">
        <v>2019</v>
      </c>
      <c r="AD461">
        <v>-85</v>
      </c>
      <c r="AE461" t="s">
        <v>231</v>
      </c>
      <c r="AF461">
        <v>-159</v>
      </c>
      <c r="AG461" t="s">
        <v>2167</v>
      </c>
      <c r="AH461">
        <v>-1</v>
      </c>
      <c r="AI461" t="s">
        <v>390</v>
      </c>
      <c r="AJ461">
        <v>-31</v>
      </c>
      <c r="AK461" t="s">
        <v>2234</v>
      </c>
      <c r="AL461">
        <v>-8</v>
      </c>
      <c r="AM461" t="s">
        <v>51</v>
      </c>
      <c r="AN461">
        <v>-18</v>
      </c>
    </row>
    <row r="462" spans="2:40" x14ac:dyDescent="0.25">
      <c r="B462" t="s">
        <v>227</v>
      </c>
      <c r="C462">
        <v>-112</v>
      </c>
      <c r="E462" t="s">
        <v>567</v>
      </c>
      <c r="F462">
        <v>-5.48</v>
      </c>
      <c r="H462" t="s">
        <v>451</v>
      </c>
      <c r="I462">
        <v>-2.6760000000000002</v>
      </c>
      <c r="J462" t="s">
        <v>651</v>
      </c>
      <c r="K462">
        <v>-37.25</v>
      </c>
      <c r="L462" t="s">
        <v>30</v>
      </c>
      <c r="M462">
        <v>-84</v>
      </c>
      <c r="O462" t="s">
        <v>33</v>
      </c>
      <c r="P462">
        <v>-54</v>
      </c>
      <c r="Q462" t="s">
        <v>892</v>
      </c>
      <c r="R462">
        <v>-20</v>
      </c>
      <c r="S462" t="s">
        <v>476</v>
      </c>
      <c r="T462">
        <v>-3</v>
      </c>
      <c r="U462" t="s">
        <v>1063</v>
      </c>
      <c r="V462">
        <v>-2</v>
      </c>
      <c r="W462" t="s">
        <v>144</v>
      </c>
      <c r="X462">
        <v>-20</v>
      </c>
      <c r="Y462" t="s">
        <v>1935</v>
      </c>
      <c r="Z462">
        <v>-40</v>
      </c>
      <c r="AA462" t="s">
        <v>503</v>
      </c>
      <c r="AB462">
        <v>-18</v>
      </c>
      <c r="AC462" t="s">
        <v>1762</v>
      </c>
      <c r="AD462">
        <v>-2</v>
      </c>
      <c r="AE462" t="s">
        <v>24</v>
      </c>
      <c r="AF462">
        <v>-8</v>
      </c>
      <c r="AG462" t="s">
        <v>2168</v>
      </c>
      <c r="AH462">
        <v>-11</v>
      </c>
      <c r="AI462" t="s">
        <v>175</v>
      </c>
      <c r="AJ462">
        <v>-9</v>
      </c>
      <c r="AK462" t="s">
        <v>481</v>
      </c>
      <c r="AL462">
        <v>-28.5</v>
      </c>
      <c r="AM462" t="s">
        <v>33</v>
      </c>
      <c r="AN462">
        <v>-45</v>
      </c>
    </row>
    <row r="463" spans="2:40" x14ac:dyDescent="0.25">
      <c r="B463" t="s">
        <v>648</v>
      </c>
      <c r="C463">
        <v>-4</v>
      </c>
      <c r="E463" t="s">
        <v>568</v>
      </c>
      <c r="F463">
        <v>-152.50060000000011</v>
      </c>
      <c r="H463" t="s">
        <v>70</v>
      </c>
      <c r="I463">
        <v>-1E-3</v>
      </c>
      <c r="J463" t="s">
        <v>418</v>
      </c>
      <c r="K463">
        <v>-2</v>
      </c>
      <c r="L463" t="s">
        <v>1030</v>
      </c>
      <c r="M463">
        <v>-3</v>
      </c>
      <c r="O463" t="s">
        <v>34</v>
      </c>
      <c r="P463">
        <v>-50</v>
      </c>
      <c r="Q463" t="s">
        <v>605</v>
      </c>
      <c r="R463">
        <v>-8</v>
      </c>
      <c r="S463" t="s">
        <v>1070</v>
      </c>
      <c r="T463">
        <v>-5</v>
      </c>
      <c r="U463" t="s">
        <v>894</v>
      </c>
      <c r="V463">
        <v>-3</v>
      </c>
      <c r="W463" t="s">
        <v>227</v>
      </c>
      <c r="X463">
        <v>-8</v>
      </c>
      <c r="Y463" t="s">
        <v>406</v>
      </c>
      <c r="Z463">
        <v>-466</v>
      </c>
      <c r="AA463" t="s">
        <v>1799</v>
      </c>
      <c r="AB463">
        <v>-1</v>
      </c>
      <c r="AC463" t="s">
        <v>1863</v>
      </c>
      <c r="AD463">
        <v>-1</v>
      </c>
      <c r="AE463" t="s">
        <v>2109</v>
      </c>
      <c r="AF463">
        <v>-2</v>
      </c>
      <c r="AG463" t="s">
        <v>2169</v>
      </c>
      <c r="AH463">
        <v>-2</v>
      </c>
      <c r="AI463" t="s">
        <v>579</v>
      </c>
      <c r="AJ463">
        <v>-8</v>
      </c>
      <c r="AK463" t="s">
        <v>614</v>
      </c>
      <c r="AL463">
        <v>-1</v>
      </c>
      <c r="AM463" t="s">
        <v>34</v>
      </c>
      <c r="AN463">
        <v>-20</v>
      </c>
    </row>
    <row r="464" spans="2:40" x14ac:dyDescent="0.25">
      <c r="B464" t="s">
        <v>388</v>
      </c>
      <c r="C464">
        <v>-66</v>
      </c>
      <c r="E464" t="s">
        <v>609</v>
      </c>
      <c r="F464">
        <v>-21.3</v>
      </c>
      <c r="H464" t="s">
        <v>106</v>
      </c>
      <c r="I464">
        <v>-0.5</v>
      </c>
      <c r="J464" t="s">
        <v>927</v>
      </c>
      <c r="K464">
        <v>-7</v>
      </c>
      <c r="L464" t="s">
        <v>1031</v>
      </c>
      <c r="M464">
        <v>-6</v>
      </c>
      <c r="O464" t="s">
        <v>35</v>
      </c>
      <c r="P464">
        <v>-33</v>
      </c>
      <c r="Q464" t="s">
        <v>893</v>
      </c>
      <c r="R464">
        <v>-6</v>
      </c>
      <c r="S464" t="s">
        <v>76</v>
      </c>
      <c r="T464">
        <v>-12</v>
      </c>
      <c r="U464" t="s">
        <v>372</v>
      </c>
      <c r="V464">
        <v>-2</v>
      </c>
      <c r="W464" t="s">
        <v>648</v>
      </c>
      <c r="X464">
        <v>-16</v>
      </c>
      <c r="Y464" t="s">
        <v>1936</v>
      </c>
      <c r="Z464">
        <v>-10</v>
      </c>
      <c r="AA464" t="s">
        <v>573</v>
      </c>
      <c r="AB464">
        <v>-0.13</v>
      </c>
      <c r="AC464" t="s">
        <v>1864</v>
      </c>
      <c r="AD464">
        <v>-1</v>
      </c>
      <c r="AE464" t="s">
        <v>158</v>
      </c>
      <c r="AF464">
        <v>-12</v>
      </c>
      <c r="AG464" t="s">
        <v>772</v>
      </c>
      <c r="AH464">
        <v>-3</v>
      </c>
      <c r="AI464" t="s">
        <v>2225</v>
      </c>
      <c r="AJ464">
        <v>-1</v>
      </c>
      <c r="AK464" t="s">
        <v>325</v>
      </c>
      <c r="AL464">
        <v>-22</v>
      </c>
      <c r="AM464" t="s">
        <v>35</v>
      </c>
      <c r="AN464">
        <v>-4</v>
      </c>
    </row>
    <row r="465" spans="2:40" x14ac:dyDescent="0.25">
      <c r="B465" t="s">
        <v>247</v>
      </c>
      <c r="C465">
        <v>-8</v>
      </c>
      <c r="E465" t="s">
        <v>478</v>
      </c>
      <c r="F465">
        <v>-183.5</v>
      </c>
      <c r="H465" t="s">
        <v>570</v>
      </c>
      <c r="I465">
        <v>-0.13500000000000001</v>
      </c>
      <c r="J465" t="s">
        <v>737</v>
      </c>
      <c r="K465">
        <v>-444.00000000000011</v>
      </c>
      <c r="L465" t="s">
        <v>205</v>
      </c>
      <c r="M465">
        <v>-6</v>
      </c>
      <c r="O465" t="s">
        <v>36</v>
      </c>
      <c r="P465">
        <v>-66</v>
      </c>
      <c r="Q465" t="s">
        <v>1615</v>
      </c>
      <c r="R465">
        <v>-37</v>
      </c>
      <c r="S465" t="s">
        <v>1074</v>
      </c>
      <c r="T465">
        <v>-24</v>
      </c>
      <c r="U465" t="s">
        <v>232</v>
      </c>
      <c r="V465">
        <v>-4</v>
      </c>
      <c r="W465" t="s">
        <v>1859</v>
      </c>
      <c r="X465">
        <v>-4</v>
      </c>
      <c r="Y465" t="s">
        <v>947</v>
      </c>
      <c r="Z465">
        <v>-9</v>
      </c>
      <c r="AA465" t="s">
        <v>1800</v>
      </c>
      <c r="AB465">
        <v>-0.5</v>
      </c>
      <c r="AC465" t="s">
        <v>769</v>
      </c>
      <c r="AD465">
        <v>-1</v>
      </c>
      <c r="AE465" t="s">
        <v>130</v>
      </c>
      <c r="AF465">
        <v>-2</v>
      </c>
      <c r="AG465" t="s">
        <v>773</v>
      </c>
      <c r="AH465">
        <v>-1</v>
      </c>
      <c r="AI465" t="s">
        <v>550</v>
      </c>
      <c r="AJ465">
        <v>-1</v>
      </c>
      <c r="AK465" t="s">
        <v>726</v>
      </c>
      <c r="AL465">
        <v>-21</v>
      </c>
      <c r="AM465" t="s">
        <v>36</v>
      </c>
      <c r="AN465">
        <v>-6</v>
      </c>
    </row>
    <row r="466" spans="2:40" x14ac:dyDescent="0.25">
      <c r="B466" t="s">
        <v>22</v>
      </c>
      <c r="C466">
        <v>-1</v>
      </c>
      <c r="E466" t="s">
        <v>346</v>
      </c>
      <c r="F466">
        <v>-35.466499999999982</v>
      </c>
      <c r="H466" t="s">
        <v>71</v>
      </c>
      <c r="I466">
        <v>-0.19</v>
      </c>
      <c r="J466" t="s">
        <v>928</v>
      </c>
      <c r="K466">
        <v>-0.99999999999999978</v>
      </c>
      <c r="L466" t="s">
        <v>87</v>
      </c>
      <c r="M466">
        <v>-24</v>
      </c>
      <c r="O466" t="s">
        <v>666</v>
      </c>
      <c r="P466">
        <v>-50</v>
      </c>
      <c r="Q466" t="s">
        <v>1616</v>
      </c>
      <c r="R466">
        <v>-2</v>
      </c>
      <c r="S466" t="s">
        <v>1075</v>
      </c>
      <c r="T466">
        <v>-8.9999999999999964</v>
      </c>
      <c r="U466" t="s">
        <v>78</v>
      </c>
      <c r="V466">
        <v>-4</v>
      </c>
      <c r="W466" t="s">
        <v>388</v>
      </c>
      <c r="X466">
        <v>-32</v>
      </c>
      <c r="Y466" t="s">
        <v>405</v>
      </c>
      <c r="Z466">
        <v>-855</v>
      </c>
      <c r="AA466" t="s">
        <v>504</v>
      </c>
      <c r="AB466">
        <v>-1</v>
      </c>
      <c r="AC466" t="s">
        <v>128</v>
      </c>
      <c r="AD466">
        <v>-5</v>
      </c>
      <c r="AE466" t="s">
        <v>898</v>
      </c>
      <c r="AF466">
        <v>-16</v>
      </c>
      <c r="AG466" t="s">
        <v>2106</v>
      </c>
      <c r="AH466">
        <v>-3</v>
      </c>
      <c r="AI466" t="s">
        <v>2093</v>
      </c>
      <c r="AJ466">
        <v>-12</v>
      </c>
      <c r="AK466" t="s">
        <v>193</v>
      </c>
      <c r="AL466">
        <v>-8</v>
      </c>
      <c r="AM466" t="s">
        <v>666</v>
      </c>
      <c r="AN466">
        <v>-3</v>
      </c>
    </row>
    <row r="467" spans="2:40" x14ac:dyDescent="0.25">
      <c r="B467" t="s">
        <v>76</v>
      </c>
      <c r="C467">
        <v>-32</v>
      </c>
      <c r="E467" t="s">
        <v>679</v>
      </c>
      <c r="F467">
        <v>-106.53400000000001</v>
      </c>
      <c r="H467" t="s">
        <v>638</v>
      </c>
      <c r="I467">
        <v>-29.79999999999999</v>
      </c>
      <c r="J467" t="s">
        <v>555</v>
      </c>
      <c r="K467">
        <v>-100</v>
      </c>
      <c r="L467" t="s">
        <v>1265</v>
      </c>
      <c r="M467">
        <v>-15</v>
      </c>
      <c r="O467" t="s">
        <v>66</v>
      </c>
      <c r="P467">
        <v>-25</v>
      </c>
      <c r="Q467" t="s">
        <v>232</v>
      </c>
      <c r="R467">
        <v>-14</v>
      </c>
      <c r="S467" t="s">
        <v>254</v>
      </c>
      <c r="T467">
        <v>-5</v>
      </c>
      <c r="U467" t="s">
        <v>150</v>
      </c>
      <c r="V467">
        <v>-67</v>
      </c>
      <c r="W467" t="s">
        <v>1691</v>
      </c>
      <c r="X467">
        <v>-3</v>
      </c>
      <c r="Y467" t="s">
        <v>676</v>
      </c>
      <c r="Z467">
        <v>-500</v>
      </c>
      <c r="AA467" t="s">
        <v>766</v>
      </c>
      <c r="AB467">
        <v>-0.06</v>
      </c>
      <c r="AC467" t="s">
        <v>281</v>
      </c>
      <c r="AD467">
        <v>-13</v>
      </c>
      <c r="AE467" t="s">
        <v>675</v>
      </c>
      <c r="AF467">
        <v>-2</v>
      </c>
      <c r="AG467" t="s">
        <v>2170</v>
      </c>
      <c r="AH467">
        <v>-7.9999999999999991</v>
      </c>
      <c r="AI467" t="s">
        <v>2094</v>
      </c>
      <c r="AJ467">
        <v>-2</v>
      </c>
      <c r="AK467" t="s">
        <v>194</v>
      </c>
      <c r="AL467">
        <v>-26</v>
      </c>
      <c r="AM467" t="s">
        <v>66</v>
      </c>
      <c r="AN467">
        <v>-4</v>
      </c>
    </row>
    <row r="468" spans="2:40" x14ac:dyDescent="0.25">
      <c r="B468" t="s">
        <v>131</v>
      </c>
      <c r="C468">
        <v>-2</v>
      </c>
      <c r="E468" t="s">
        <v>268</v>
      </c>
      <c r="F468">
        <v>-13.999999999999995</v>
      </c>
      <c r="H468" t="s">
        <v>608</v>
      </c>
      <c r="I468">
        <v>-40</v>
      </c>
      <c r="J468" t="s">
        <v>586</v>
      </c>
      <c r="K468">
        <v>-4300</v>
      </c>
      <c r="L468" t="s">
        <v>86</v>
      </c>
      <c r="M468">
        <v>-42</v>
      </c>
      <c r="O468" t="s">
        <v>1262</v>
      </c>
      <c r="P468">
        <v>-50</v>
      </c>
      <c r="Q468" t="s">
        <v>150</v>
      </c>
      <c r="R468">
        <v>-14</v>
      </c>
      <c r="S468" t="s">
        <v>256</v>
      </c>
      <c r="T468">
        <v>-4</v>
      </c>
      <c r="U468" t="s">
        <v>92</v>
      </c>
      <c r="V468">
        <v>-125</v>
      </c>
      <c r="W468" t="s">
        <v>717</v>
      </c>
      <c r="X468">
        <v>-5</v>
      </c>
      <c r="Y468" t="s">
        <v>1873</v>
      </c>
      <c r="Z468">
        <v>-15</v>
      </c>
      <c r="AA468" t="s">
        <v>108</v>
      </c>
      <c r="AB468">
        <v>-18</v>
      </c>
      <c r="AC468" t="s">
        <v>140</v>
      </c>
      <c r="AD468">
        <v>-1</v>
      </c>
      <c r="AE468" t="s">
        <v>832</v>
      </c>
      <c r="AF468">
        <v>-9</v>
      </c>
      <c r="AG468" t="s">
        <v>2171</v>
      </c>
      <c r="AH468">
        <v>-7.9999999999999991</v>
      </c>
      <c r="AI468" t="s">
        <v>2095</v>
      </c>
      <c r="AJ468">
        <v>-2</v>
      </c>
      <c r="AK468" t="s">
        <v>1295</v>
      </c>
      <c r="AL468">
        <v>-6</v>
      </c>
      <c r="AM468" t="s">
        <v>1262</v>
      </c>
      <c r="AN468">
        <v>-18</v>
      </c>
    </row>
    <row r="469" spans="2:40" x14ac:dyDescent="0.25">
      <c r="B469" t="s">
        <v>664</v>
      </c>
      <c r="C469">
        <v>-1</v>
      </c>
      <c r="E469" t="s">
        <v>451</v>
      </c>
      <c r="F469">
        <v>-5.3960000000000017</v>
      </c>
      <c r="H469" t="s">
        <v>577</v>
      </c>
      <c r="I469">
        <v>-130</v>
      </c>
      <c r="J469" t="s">
        <v>659</v>
      </c>
      <c r="K469">
        <v>-400</v>
      </c>
      <c r="L469" t="s">
        <v>1032</v>
      </c>
      <c r="M469">
        <v>-3</v>
      </c>
      <c r="O469" t="s">
        <v>65</v>
      </c>
      <c r="P469">
        <v>-38</v>
      </c>
      <c r="Q469" t="s">
        <v>92</v>
      </c>
      <c r="R469">
        <v>-205</v>
      </c>
      <c r="S469" t="s">
        <v>46</v>
      </c>
      <c r="T469">
        <v>-19</v>
      </c>
      <c r="U469" t="s">
        <v>174</v>
      </c>
      <c r="V469">
        <v>-12</v>
      </c>
      <c r="W469" t="s">
        <v>1070</v>
      </c>
      <c r="X469">
        <v>-10</v>
      </c>
      <c r="Y469" t="s">
        <v>628</v>
      </c>
      <c r="Z469">
        <v>-100</v>
      </c>
      <c r="AA469" t="s">
        <v>0</v>
      </c>
      <c r="AB469">
        <v>-42</v>
      </c>
      <c r="AC469" t="s">
        <v>1084</v>
      </c>
      <c r="AD469">
        <v>-1</v>
      </c>
      <c r="AE469" t="s">
        <v>2110</v>
      </c>
      <c r="AF469">
        <v>-4</v>
      </c>
      <c r="AG469" t="s">
        <v>2172</v>
      </c>
      <c r="AH469">
        <v>-1.9999999999999998</v>
      </c>
      <c r="AI469" t="s">
        <v>654</v>
      </c>
      <c r="AJ469">
        <v>-5</v>
      </c>
      <c r="AK469" t="s">
        <v>220</v>
      </c>
      <c r="AL469">
        <v>-3</v>
      </c>
      <c r="AM469" t="s">
        <v>65</v>
      </c>
      <c r="AN469">
        <v>-4</v>
      </c>
    </row>
    <row r="470" spans="2:40" x14ac:dyDescent="0.25">
      <c r="B470" t="s">
        <v>291</v>
      </c>
      <c r="C470">
        <v>-8</v>
      </c>
      <c r="E470" t="s">
        <v>452</v>
      </c>
      <c r="F470">
        <v>-6.0009999999999977</v>
      </c>
      <c r="H470" t="s">
        <v>500</v>
      </c>
      <c r="I470">
        <v>-25.750000000000004</v>
      </c>
      <c r="J470" t="s">
        <v>163</v>
      </c>
      <c r="K470">
        <v>-60</v>
      </c>
      <c r="L470" t="s">
        <v>1033</v>
      </c>
      <c r="M470">
        <v>-3</v>
      </c>
      <c r="O470" t="s">
        <v>26</v>
      </c>
      <c r="P470">
        <v>-63</v>
      </c>
      <c r="Q470" t="s">
        <v>154</v>
      </c>
      <c r="R470">
        <v>-125</v>
      </c>
      <c r="S470" t="s">
        <v>137</v>
      </c>
      <c r="T470">
        <v>-4</v>
      </c>
      <c r="U470" t="s">
        <v>154</v>
      </c>
      <c r="V470">
        <v>-48</v>
      </c>
      <c r="W470" t="s">
        <v>76</v>
      </c>
      <c r="X470">
        <v>-16</v>
      </c>
      <c r="Y470" t="s">
        <v>1524</v>
      </c>
      <c r="Z470">
        <v>-350</v>
      </c>
      <c r="AA470" t="s">
        <v>1544</v>
      </c>
      <c r="AB470">
        <v>-3</v>
      </c>
      <c r="AC470" t="s">
        <v>290</v>
      </c>
      <c r="AD470">
        <v>-7</v>
      </c>
      <c r="AE470" t="s">
        <v>2111</v>
      </c>
      <c r="AF470">
        <v>-2</v>
      </c>
      <c r="AG470" t="s">
        <v>2173</v>
      </c>
      <c r="AH470">
        <v>-1</v>
      </c>
      <c r="AI470" t="s">
        <v>136</v>
      </c>
      <c r="AJ470">
        <v>-8</v>
      </c>
      <c r="AK470" t="s">
        <v>79</v>
      </c>
      <c r="AL470">
        <v>-1750</v>
      </c>
      <c r="AM470" t="s">
        <v>26</v>
      </c>
      <c r="AN470">
        <v>-11</v>
      </c>
    </row>
    <row r="471" spans="2:40" x14ac:dyDescent="0.25">
      <c r="B471" t="s">
        <v>455</v>
      </c>
      <c r="C471">
        <v>-10</v>
      </c>
      <c r="E471" t="s">
        <v>106</v>
      </c>
      <c r="F471">
        <v>-10</v>
      </c>
      <c r="H471" t="s">
        <v>572</v>
      </c>
      <c r="I471">
        <v>-2</v>
      </c>
      <c r="J471" t="s">
        <v>930</v>
      </c>
      <c r="K471">
        <v>-13.999999999999998</v>
      </c>
      <c r="L471" t="s">
        <v>1266</v>
      </c>
      <c r="M471">
        <v>-3</v>
      </c>
      <c r="O471" t="s">
        <v>1468</v>
      </c>
      <c r="P471">
        <v>-9</v>
      </c>
      <c r="Q471" t="s">
        <v>1493</v>
      </c>
      <c r="R471">
        <v>-3</v>
      </c>
      <c r="S471" t="s">
        <v>340</v>
      </c>
      <c r="T471">
        <v>-13</v>
      </c>
      <c r="U471" t="s">
        <v>477</v>
      </c>
      <c r="V471">
        <v>-4</v>
      </c>
      <c r="W471" t="s">
        <v>1860</v>
      </c>
      <c r="X471">
        <v>-22</v>
      </c>
      <c r="Y471" t="s">
        <v>1525</v>
      </c>
      <c r="Z471">
        <v>-120</v>
      </c>
      <c r="AA471" t="s">
        <v>740</v>
      </c>
      <c r="AB471">
        <v>-5</v>
      </c>
      <c r="AC471" t="s">
        <v>288</v>
      </c>
      <c r="AD471">
        <v>-8</v>
      </c>
      <c r="AE471" t="s">
        <v>144</v>
      </c>
      <c r="AF471">
        <v>-1</v>
      </c>
      <c r="AG471" t="s">
        <v>2174</v>
      </c>
      <c r="AH471">
        <v>-54</v>
      </c>
      <c r="AI471" t="s">
        <v>152</v>
      </c>
      <c r="AJ471">
        <v>-1</v>
      </c>
      <c r="AK471" t="s">
        <v>383</v>
      </c>
      <c r="AL471">
        <v>-192</v>
      </c>
      <c r="AM471" t="s">
        <v>225</v>
      </c>
      <c r="AN471">
        <v>-2</v>
      </c>
    </row>
    <row r="472" spans="2:40" x14ac:dyDescent="0.25">
      <c r="B472" t="s">
        <v>254</v>
      </c>
      <c r="C472">
        <v>-8</v>
      </c>
      <c r="E472" t="s">
        <v>570</v>
      </c>
      <c r="F472">
        <v>-1.7060000000000002</v>
      </c>
      <c r="H472" t="s">
        <v>503</v>
      </c>
      <c r="I472">
        <v>-86.807399999999987</v>
      </c>
      <c r="J472" t="s">
        <v>89</v>
      </c>
      <c r="K472">
        <v>-1</v>
      </c>
      <c r="L472" t="s">
        <v>249</v>
      </c>
      <c r="M472">
        <v>-96</v>
      </c>
      <c r="O472" t="s">
        <v>27</v>
      </c>
      <c r="P472">
        <v>-83</v>
      </c>
      <c r="Q472" t="s">
        <v>477</v>
      </c>
      <c r="R472">
        <v>-12</v>
      </c>
      <c r="S472" t="s">
        <v>1078</v>
      </c>
      <c r="T472">
        <v>-52</v>
      </c>
      <c r="U472" t="s">
        <v>149</v>
      </c>
      <c r="V472">
        <v>-34</v>
      </c>
      <c r="W472" t="s">
        <v>1861</v>
      </c>
      <c r="X472">
        <v>-2</v>
      </c>
      <c r="Y472" t="s">
        <v>949</v>
      </c>
      <c r="Z472">
        <v>-4</v>
      </c>
      <c r="AA472" t="s">
        <v>741</v>
      </c>
      <c r="AB472">
        <v>-5</v>
      </c>
      <c r="AC472" t="s">
        <v>2020</v>
      </c>
      <c r="AD472">
        <v>-1</v>
      </c>
      <c r="AE472" t="s">
        <v>648</v>
      </c>
      <c r="AF472">
        <v>-32</v>
      </c>
      <c r="AG472" t="s">
        <v>2175</v>
      </c>
      <c r="AH472">
        <v>-54</v>
      </c>
      <c r="AI472" t="s">
        <v>15</v>
      </c>
      <c r="AJ472">
        <v>-217</v>
      </c>
      <c r="AK472" t="s">
        <v>619</v>
      </c>
      <c r="AL472">
        <v>-1</v>
      </c>
      <c r="AM472" t="s">
        <v>27</v>
      </c>
      <c r="AN472">
        <v>-10</v>
      </c>
    </row>
    <row r="473" spans="2:40" x14ac:dyDescent="0.25">
      <c r="B473" t="s">
        <v>256</v>
      </c>
      <c r="C473">
        <v>-8</v>
      </c>
      <c r="E473" t="s">
        <v>71</v>
      </c>
      <c r="F473">
        <v>-2.2171000000000003</v>
      </c>
      <c r="H473" t="s">
        <v>504</v>
      </c>
      <c r="I473">
        <v>-9.8999999999999968</v>
      </c>
      <c r="J473" t="s">
        <v>415</v>
      </c>
      <c r="K473">
        <v>-21</v>
      </c>
      <c r="L473" t="s">
        <v>250</v>
      </c>
      <c r="M473">
        <v>-167</v>
      </c>
      <c r="O473" t="s">
        <v>28</v>
      </c>
      <c r="P473">
        <v>-12</v>
      </c>
      <c r="Q473" t="s">
        <v>149</v>
      </c>
      <c r="R473">
        <v>-52</v>
      </c>
      <c r="S473" t="s">
        <v>753</v>
      </c>
      <c r="T473">
        <v>-4</v>
      </c>
      <c r="U473" t="s">
        <v>1754</v>
      </c>
      <c r="V473">
        <v>-20</v>
      </c>
      <c r="W473" t="s">
        <v>291</v>
      </c>
      <c r="X473">
        <v>-1</v>
      </c>
      <c r="Y473" t="s">
        <v>505</v>
      </c>
      <c r="Z473">
        <v>-1.1850000000000001</v>
      </c>
      <c r="AA473" t="s">
        <v>742</v>
      </c>
      <c r="AB473">
        <v>-5</v>
      </c>
      <c r="AC473" t="s">
        <v>47</v>
      </c>
      <c r="AD473">
        <v>-3</v>
      </c>
      <c r="AE473" t="s">
        <v>388</v>
      </c>
      <c r="AF473">
        <v>-68</v>
      </c>
      <c r="AG473" t="s">
        <v>326</v>
      </c>
      <c r="AH473">
        <v>-10</v>
      </c>
      <c r="AI473" t="s">
        <v>2226</v>
      </c>
      <c r="AJ473">
        <v>-38</v>
      </c>
      <c r="AK473" t="s">
        <v>1296</v>
      </c>
      <c r="AL473">
        <v>-6</v>
      </c>
      <c r="AM473" t="s">
        <v>28</v>
      </c>
      <c r="AN473">
        <v>-4</v>
      </c>
    </row>
    <row r="474" spans="2:40" x14ac:dyDescent="0.25">
      <c r="B474" t="s">
        <v>46</v>
      </c>
      <c r="C474">
        <v>-45</v>
      </c>
      <c r="E474" t="s">
        <v>638</v>
      </c>
      <c r="F474">
        <v>-25</v>
      </c>
      <c r="H474" t="s">
        <v>839</v>
      </c>
      <c r="I474">
        <v>-6</v>
      </c>
      <c r="J474" t="s">
        <v>931</v>
      </c>
      <c r="K474">
        <v>-1.9999999999999996</v>
      </c>
      <c r="L474" t="s">
        <v>1034</v>
      </c>
      <c r="M474">
        <v>-8</v>
      </c>
      <c r="O474" t="s">
        <v>29</v>
      </c>
      <c r="P474">
        <v>-56</v>
      </c>
      <c r="Q474" t="s">
        <v>1310</v>
      </c>
      <c r="R474">
        <v>-16</v>
      </c>
      <c r="S474" t="s">
        <v>1079</v>
      </c>
      <c r="T474">
        <v>-190</v>
      </c>
      <c r="U474" t="s">
        <v>231</v>
      </c>
      <c r="V474">
        <v>-88</v>
      </c>
      <c r="W474" t="s">
        <v>1862</v>
      </c>
      <c r="X474">
        <v>-9</v>
      </c>
      <c r="Y474" t="s">
        <v>156</v>
      </c>
      <c r="Z474">
        <v>-2.1</v>
      </c>
      <c r="AA474" t="s">
        <v>781</v>
      </c>
      <c r="AC474" t="s">
        <v>1763</v>
      </c>
      <c r="AD474">
        <v>-1</v>
      </c>
      <c r="AE474" t="s">
        <v>247</v>
      </c>
      <c r="AF474">
        <v>-3</v>
      </c>
      <c r="AG474" t="s">
        <v>2176</v>
      </c>
      <c r="AH474">
        <v>-2</v>
      </c>
      <c r="AI474" t="s">
        <v>883</v>
      </c>
      <c r="AJ474">
        <v>-1</v>
      </c>
      <c r="AK474" t="s">
        <v>416</v>
      </c>
      <c r="AL474">
        <v>-14</v>
      </c>
      <c r="AM474" t="s">
        <v>29</v>
      </c>
      <c r="AN474">
        <v>-8</v>
      </c>
    </row>
    <row r="475" spans="2:40" x14ac:dyDescent="0.25">
      <c r="B475" t="s">
        <v>137</v>
      </c>
      <c r="C475">
        <v>-11</v>
      </c>
      <c r="E475" t="s">
        <v>608</v>
      </c>
      <c r="F475">
        <v>-4.2</v>
      </c>
      <c r="H475" t="s">
        <v>840</v>
      </c>
      <c r="I475">
        <v>-0.44999999999999996</v>
      </c>
      <c r="J475" t="s">
        <v>103</v>
      </c>
      <c r="K475">
        <v>-89</v>
      </c>
      <c r="L475" t="s">
        <v>1267</v>
      </c>
      <c r="M475">
        <v>-3</v>
      </c>
      <c r="O475" t="s">
        <v>64</v>
      </c>
      <c r="P475">
        <v>-41</v>
      </c>
      <c r="Q475" t="s">
        <v>231</v>
      </c>
      <c r="R475">
        <v>-70</v>
      </c>
      <c r="S475" t="s">
        <v>1080</v>
      </c>
      <c r="T475">
        <v>-345</v>
      </c>
      <c r="U475" t="s">
        <v>24</v>
      </c>
      <c r="V475">
        <v>-129</v>
      </c>
      <c r="W475" t="s">
        <v>1074</v>
      </c>
      <c r="X475">
        <v>-3</v>
      </c>
      <c r="Y475" t="s">
        <v>155</v>
      </c>
      <c r="Z475">
        <v>-12.035</v>
      </c>
      <c r="AA475" t="s">
        <v>782</v>
      </c>
      <c r="AB475">
        <v>-8913.5130000000008</v>
      </c>
      <c r="AC475" t="s">
        <v>132</v>
      </c>
      <c r="AD475">
        <v>-3</v>
      </c>
      <c r="AE475" t="s">
        <v>476</v>
      </c>
      <c r="AF475">
        <v>-4</v>
      </c>
      <c r="AG475" t="s">
        <v>605</v>
      </c>
      <c r="AH475">
        <v>-17</v>
      </c>
      <c r="AI475" t="s">
        <v>2227</v>
      </c>
      <c r="AJ475">
        <v>-15</v>
      </c>
      <c r="AK475" t="s">
        <v>447</v>
      </c>
      <c r="AL475">
        <v>-3</v>
      </c>
      <c r="AM475" t="s">
        <v>64</v>
      </c>
      <c r="AN475">
        <v>-3</v>
      </c>
    </row>
    <row r="476" spans="2:40" x14ac:dyDescent="0.25">
      <c r="B476" t="s">
        <v>340</v>
      </c>
      <c r="C476">
        <v>-171</v>
      </c>
      <c r="E476" t="s">
        <v>577</v>
      </c>
      <c r="F476">
        <v>-392.5</v>
      </c>
      <c r="H476" t="s">
        <v>108</v>
      </c>
      <c r="I476">
        <v>-9</v>
      </c>
      <c r="J476" t="s">
        <v>161</v>
      </c>
      <c r="K476">
        <v>-20</v>
      </c>
      <c r="L476" t="s">
        <v>1268</v>
      </c>
      <c r="M476">
        <v>-3</v>
      </c>
      <c r="O476" t="s">
        <v>1469</v>
      </c>
      <c r="P476">
        <v>-3</v>
      </c>
      <c r="Q476" t="s">
        <v>1312</v>
      </c>
      <c r="R476">
        <v>-12</v>
      </c>
      <c r="S476" t="s">
        <v>1081</v>
      </c>
      <c r="T476">
        <v>-380</v>
      </c>
      <c r="U476" t="s">
        <v>542</v>
      </c>
      <c r="V476">
        <v>-2</v>
      </c>
      <c r="W476" t="s">
        <v>1075</v>
      </c>
      <c r="X476">
        <v>-1</v>
      </c>
      <c r="Y476" t="s">
        <v>157</v>
      </c>
      <c r="Z476">
        <v>-17.449999999999996</v>
      </c>
      <c r="AC476" t="s">
        <v>617</v>
      </c>
      <c r="AD476">
        <v>-10</v>
      </c>
      <c r="AE476" t="s">
        <v>716</v>
      </c>
      <c r="AF476">
        <v>-7</v>
      </c>
      <c r="AG476" t="s">
        <v>893</v>
      </c>
      <c r="AH476">
        <v>-3</v>
      </c>
      <c r="AI476" t="s">
        <v>2228</v>
      </c>
      <c r="AJ476">
        <v>-12</v>
      </c>
      <c r="AK476" t="s">
        <v>639</v>
      </c>
      <c r="AL476">
        <v>-2</v>
      </c>
      <c r="AM476" t="s">
        <v>2007</v>
      </c>
      <c r="AN476">
        <v>-3</v>
      </c>
    </row>
    <row r="477" spans="2:40" x14ac:dyDescent="0.25">
      <c r="B477" t="s">
        <v>762</v>
      </c>
      <c r="C477">
        <v>-2</v>
      </c>
      <c r="E477" t="s">
        <v>500</v>
      </c>
      <c r="F477">
        <v>-29.900000000000006</v>
      </c>
      <c r="H477" t="s">
        <v>0</v>
      </c>
      <c r="I477">
        <v>-4</v>
      </c>
      <c r="J477" t="s">
        <v>597</v>
      </c>
      <c r="K477">
        <v>-5</v>
      </c>
      <c r="L477" t="s">
        <v>1269</v>
      </c>
      <c r="M477">
        <v>-18</v>
      </c>
      <c r="O477" t="s">
        <v>1264</v>
      </c>
      <c r="P477">
        <v>-20</v>
      </c>
      <c r="Q477" t="s">
        <v>1617</v>
      </c>
      <c r="R477">
        <v>-5</v>
      </c>
      <c r="S477" t="s">
        <v>1333</v>
      </c>
      <c r="T477">
        <v>-40</v>
      </c>
      <c r="U477" t="s">
        <v>1755</v>
      </c>
      <c r="V477">
        <v>-30</v>
      </c>
      <c r="W477" t="s">
        <v>254</v>
      </c>
      <c r="X477">
        <v>-4</v>
      </c>
      <c r="Y477" t="s">
        <v>1787</v>
      </c>
      <c r="Z477">
        <v>-0.30399999999999999</v>
      </c>
      <c r="AC477" t="s">
        <v>88</v>
      </c>
      <c r="AD477">
        <v>-1</v>
      </c>
      <c r="AE477" t="s">
        <v>76</v>
      </c>
      <c r="AF477">
        <v>-32</v>
      </c>
      <c r="AG477" t="s">
        <v>1063</v>
      </c>
      <c r="AH477">
        <v>-40</v>
      </c>
      <c r="AI477" t="s">
        <v>2229</v>
      </c>
      <c r="AJ477">
        <v>-1</v>
      </c>
      <c r="AK477" t="s">
        <v>446</v>
      </c>
      <c r="AL477">
        <v>-1</v>
      </c>
      <c r="AM477" t="s">
        <v>1469</v>
      </c>
      <c r="AN477">
        <v>-6</v>
      </c>
    </row>
    <row r="478" spans="2:40" x14ac:dyDescent="0.25">
      <c r="B478" t="s">
        <v>514</v>
      </c>
      <c r="C478">
        <v>-12</v>
      </c>
      <c r="E478" t="s">
        <v>572</v>
      </c>
      <c r="F478">
        <v>-40</v>
      </c>
      <c r="H478" t="s">
        <v>781</v>
      </c>
      <c r="J478" t="s">
        <v>933</v>
      </c>
      <c r="K478">
        <v>-6</v>
      </c>
      <c r="L478" t="s">
        <v>1270</v>
      </c>
      <c r="M478">
        <v>-1</v>
      </c>
      <c r="O478" t="s">
        <v>25</v>
      </c>
      <c r="P478">
        <v>-16</v>
      </c>
      <c r="Q478" t="s">
        <v>1314</v>
      </c>
      <c r="R478">
        <v>-28</v>
      </c>
      <c r="S478" t="s">
        <v>1082</v>
      </c>
      <c r="T478">
        <v>-190</v>
      </c>
      <c r="U478" t="s">
        <v>158</v>
      </c>
      <c r="V478">
        <v>-8</v>
      </c>
      <c r="W478" t="s">
        <v>46</v>
      </c>
      <c r="X478">
        <v>-16</v>
      </c>
      <c r="Y478" t="s">
        <v>604</v>
      </c>
      <c r="Z478">
        <v>-0.47800000000000009</v>
      </c>
      <c r="AC478" t="s">
        <v>62</v>
      </c>
      <c r="AD478">
        <v>-6</v>
      </c>
      <c r="AE478" t="s">
        <v>131</v>
      </c>
      <c r="AF478">
        <v>-5</v>
      </c>
      <c r="AG478" t="s">
        <v>894</v>
      </c>
      <c r="AH478">
        <v>-11</v>
      </c>
      <c r="AI478" t="s">
        <v>242</v>
      </c>
      <c r="AJ478">
        <v>-6.5</v>
      </c>
      <c r="AK478" t="s">
        <v>686</v>
      </c>
      <c r="AL478">
        <v>-2</v>
      </c>
      <c r="AM478" t="s">
        <v>1264</v>
      </c>
      <c r="AN478">
        <v>-6</v>
      </c>
    </row>
    <row r="479" spans="2:40" x14ac:dyDescent="0.25">
      <c r="B479" t="s">
        <v>113</v>
      </c>
      <c r="C479">
        <v>-96</v>
      </c>
      <c r="E479" t="s">
        <v>503</v>
      </c>
      <c r="F479">
        <v>-34.575600000000009</v>
      </c>
      <c r="H479" t="s">
        <v>782</v>
      </c>
      <c r="I479">
        <v>-47728.113200000022</v>
      </c>
      <c r="J479" t="s">
        <v>1090</v>
      </c>
      <c r="K479">
        <v>-1</v>
      </c>
      <c r="L479" t="s">
        <v>592</v>
      </c>
      <c r="M479">
        <v>-7200</v>
      </c>
      <c r="O479" t="s">
        <v>30</v>
      </c>
      <c r="P479">
        <v>-143</v>
      </c>
      <c r="Q479" t="s">
        <v>1618</v>
      </c>
      <c r="R479">
        <v>-20</v>
      </c>
      <c r="S479" t="s">
        <v>1692</v>
      </c>
      <c r="T479">
        <v>-320</v>
      </c>
      <c r="U479" t="s">
        <v>292</v>
      </c>
      <c r="V479">
        <v>-1</v>
      </c>
      <c r="W479" t="s">
        <v>137</v>
      </c>
      <c r="X479">
        <v>-4</v>
      </c>
      <c r="Y479" t="s">
        <v>1098</v>
      </c>
      <c r="Z479">
        <v>-1.4000000000000004</v>
      </c>
      <c r="AC479" t="s">
        <v>207</v>
      </c>
      <c r="AD479">
        <v>-1</v>
      </c>
      <c r="AE479" t="s">
        <v>1322</v>
      </c>
      <c r="AF479">
        <v>-12</v>
      </c>
      <c r="AG479" t="s">
        <v>1306</v>
      </c>
      <c r="AH479">
        <v>-2</v>
      </c>
      <c r="AI479" t="s">
        <v>645</v>
      </c>
      <c r="AJ479">
        <v>-11.14</v>
      </c>
      <c r="AK479" t="s">
        <v>712</v>
      </c>
      <c r="AL479">
        <v>-4</v>
      </c>
      <c r="AM479" t="s">
        <v>674</v>
      </c>
      <c r="AN479">
        <v>-10</v>
      </c>
    </row>
    <row r="480" spans="2:40" x14ac:dyDescent="0.25">
      <c r="B480" t="s">
        <v>678</v>
      </c>
      <c r="C480">
        <v>-1.75</v>
      </c>
      <c r="E480" t="s">
        <v>574</v>
      </c>
      <c r="F480">
        <v>-3.78</v>
      </c>
      <c r="J480" t="s">
        <v>599</v>
      </c>
      <c r="K480">
        <v>-2</v>
      </c>
      <c r="L480" t="s">
        <v>1271</v>
      </c>
      <c r="M480">
        <v>-3</v>
      </c>
      <c r="O480" t="s">
        <v>249</v>
      </c>
      <c r="P480">
        <v>-93</v>
      </c>
      <c r="Q480" t="s">
        <v>1316</v>
      </c>
      <c r="R480">
        <v>-10</v>
      </c>
      <c r="S480" t="s">
        <v>113</v>
      </c>
      <c r="T480">
        <v>-53</v>
      </c>
      <c r="U480" t="s">
        <v>899</v>
      </c>
      <c r="V480">
        <v>-5</v>
      </c>
      <c r="W480" t="s">
        <v>113</v>
      </c>
      <c r="X480">
        <v>-12</v>
      </c>
      <c r="Y480" t="s">
        <v>1530</v>
      </c>
      <c r="Z480">
        <v>-0.05</v>
      </c>
      <c r="AC480" t="s">
        <v>282</v>
      </c>
      <c r="AD480">
        <v>-4</v>
      </c>
      <c r="AE480" t="s">
        <v>1323</v>
      </c>
      <c r="AF480">
        <v>-4</v>
      </c>
      <c r="AG480" t="s">
        <v>372</v>
      </c>
      <c r="AH480">
        <v>-1</v>
      </c>
      <c r="AI480" t="s">
        <v>56</v>
      </c>
      <c r="AJ480">
        <v>-36</v>
      </c>
      <c r="AK480" t="s">
        <v>772</v>
      </c>
      <c r="AL480">
        <v>-8</v>
      </c>
      <c r="AM480" t="s">
        <v>30</v>
      </c>
      <c r="AN480">
        <v>-6</v>
      </c>
    </row>
    <row r="481" spans="2:40" x14ac:dyDescent="0.25">
      <c r="B481" t="s">
        <v>335</v>
      </c>
      <c r="C481">
        <v>-7</v>
      </c>
      <c r="E481" t="s">
        <v>504</v>
      </c>
      <c r="F481">
        <v>-2.87</v>
      </c>
      <c r="J481" t="s">
        <v>101</v>
      </c>
      <c r="K481">
        <v>-23</v>
      </c>
      <c r="L481" t="s">
        <v>129</v>
      </c>
      <c r="M481">
        <v>-152</v>
      </c>
      <c r="O481" t="s">
        <v>250</v>
      </c>
      <c r="P481">
        <v>-166</v>
      </c>
      <c r="Q481" t="s">
        <v>648</v>
      </c>
      <c r="R481">
        <v>-16</v>
      </c>
      <c r="S481" t="s">
        <v>1502</v>
      </c>
      <c r="T481">
        <v>-20</v>
      </c>
      <c r="U481" t="s">
        <v>227</v>
      </c>
      <c r="V481">
        <v>-36</v>
      </c>
      <c r="W481" t="s">
        <v>1505</v>
      </c>
      <c r="X481">
        <v>-1</v>
      </c>
      <c r="Y481" t="s">
        <v>343</v>
      </c>
      <c r="Z481">
        <v>-0.1</v>
      </c>
      <c r="AC481" t="s">
        <v>215</v>
      </c>
      <c r="AD481">
        <v>-1</v>
      </c>
      <c r="AE481" t="s">
        <v>2112</v>
      </c>
      <c r="AF481">
        <v>-1</v>
      </c>
      <c r="AG481" t="s">
        <v>232</v>
      </c>
      <c r="AH481">
        <v>-10</v>
      </c>
      <c r="AI481" t="s">
        <v>887</v>
      </c>
      <c r="AJ481">
        <v>-15</v>
      </c>
      <c r="AK481" t="s">
        <v>773</v>
      </c>
      <c r="AL481">
        <v>-1.9999999999999998</v>
      </c>
      <c r="AM481" t="s">
        <v>205</v>
      </c>
      <c r="AN481">
        <v>-6</v>
      </c>
    </row>
    <row r="482" spans="2:40" x14ac:dyDescent="0.25">
      <c r="B482" t="s">
        <v>711</v>
      </c>
      <c r="C482">
        <v>-1</v>
      </c>
      <c r="E482" t="s">
        <v>839</v>
      </c>
      <c r="F482">
        <v>-39</v>
      </c>
      <c r="J482" t="s">
        <v>1091</v>
      </c>
      <c r="K482">
        <v>-8</v>
      </c>
      <c r="L482" t="s">
        <v>390</v>
      </c>
      <c r="M482">
        <v>-18</v>
      </c>
      <c r="O482" t="s">
        <v>1470</v>
      </c>
      <c r="P482">
        <v>-10</v>
      </c>
      <c r="Q482" t="s">
        <v>388</v>
      </c>
      <c r="R482">
        <v>-68</v>
      </c>
      <c r="S482" t="s">
        <v>1503</v>
      </c>
      <c r="T482">
        <v>-12</v>
      </c>
      <c r="U482" t="s">
        <v>648</v>
      </c>
      <c r="V482">
        <v>-26</v>
      </c>
      <c r="W482" t="s">
        <v>678</v>
      </c>
      <c r="X482">
        <v>-9.0500000000000007</v>
      </c>
      <c r="Y482" t="s">
        <v>419</v>
      </c>
      <c r="Z482">
        <v>-2.5</v>
      </c>
      <c r="AC482" t="s">
        <v>63</v>
      </c>
      <c r="AD482">
        <v>-6</v>
      </c>
      <c r="AE482" t="s">
        <v>2113</v>
      </c>
      <c r="AF482">
        <v>-1</v>
      </c>
      <c r="AG482" t="s">
        <v>78</v>
      </c>
      <c r="AH482">
        <v>-2</v>
      </c>
      <c r="AI482" t="s">
        <v>75</v>
      </c>
      <c r="AJ482">
        <v>-45</v>
      </c>
      <c r="AK482" t="s">
        <v>2239</v>
      </c>
      <c r="AL482">
        <v>-2</v>
      </c>
      <c r="AM482" t="s">
        <v>1265</v>
      </c>
      <c r="AN482">
        <v>-1</v>
      </c>
    </row>
    <row r="483" spans="2:40" x14ac:dyDescent="0.25">
      <c r="B483" t="s">
        <v>703</v>
      </c>
      <c r="C483">
        <v>-1</v>
      </c>
      <c r="E483" t="s">
        <v>840</v>
      </c>
      <c r="F483">
        <v>-2.81</v>
      </c>
      <c r="J483" t="s">
        <v>661</v>
      </c>
      <c r="K483">
        <v>-244.99999999999972</v>
      </c>
      <c r="L483" t="s">
        <v>175</v>
      </c>
      <c r="M483">
        <v>-20</v>
      </c>
      <c r="O483" t="s">
        <v>1471</v>
      </c>
      <c r="P483">
        <v>-10</v>
      </c>
      <c r="Q483" t="s">
        <v>1318</v>
      </c>
      <c r="R483">
        <v>-7</v>
      </c>
      <c r="S483" t="s">
        <v>678</v>
      </c>
      <c r="T483">
        <v>-7.008</v>
      </c>
      <c r="U483" t="s">
        <v>388</v>
      </c>
      <c r="V483">
        <v>-60</v>
      </c>
      <c r="W483" t="s">
        <v>1762</v>
      </c>
      <c r="X483">
        <v>-2</v>
      </c>
      <c r="Y483" t="s">
        <v>430</v>
      </c>
      <c r="Z483">
        <v>-4</v>
      </c>
      <c r="AC483" t="s">
        <v>195</v>
      </c>
      <c r="AD483">
        <v>-4</v>
      </c>
      <c r="AE483" t="s">
        <v>1074</v>
      </c>
      <c r="AF483">
        <v>-6</v>
      </c>
      <c r="AG483" t="s">
        <v>150</v>
      </c>
      <c r="AH483">
        <v>-28</v>
      </c>
      <c r="AI483" t="s">
        <v>57</v>
      </c>
      <c r="AJ483">
        <v>-40</v>
      </c>
      <c r="AK483" t="s">
        <v>2240</v>
      </c>
      <c r="AL483">
        <v>-3.5</v>
      </c>
      <c r="AM483" t="s">
        <v>1033</v>
      </c>
      <c r="AN483">
        <v>-5</v>
      </c>
    </row>
    <row r="484" spans="2:40" x14ac:dyDescent="0.25">
      <c r="B484" t="s">
        <v>704</v>
      </c>
      <c r="C484">
        <v>-2</v>
      </c>
      <c r="E484" t="s">
        <v>108</v>
      </c>
      <c r="F484">
        <v>-10</v>
      </c>
      <c r="J484" t="s">
        <v>935</v>
      </c>
      <c r="K484">
        <v>-41.222200000000001</v>
      </c>
      <c r="L484" t="s">
        <v>579</v>
      </c>
      <c r="M484">
        <v>-39</v>
      </c>
      <c r="O484" t="s">
        <v>1472</v>
      </c>
      <c r="P484">
        <v>-5</v>
      </c>
      <c r="Q484" t="s">
        <v>476</v>
      </c>
      <c r="R484">
        <v>-2</v>
      </c>
      <c r="S484" t="s">
        <v>85</v>
      </c>
      <c r="T484">
        <v>-50</v>
      </c>
      <c r="U484" t="s">
        <v>247</v>
      </c>
      <c r="V484">
        <v>-1</v>
      </c>
      <c r="W484" t="s">
        <v>1863</v>
      </c>
      <c r="X484">
        <v>-1</v>
      </c>
      <c r="Y484" t="s">
        <v>432</v>
      </c>
      <c r="Z484">
        <v>-6.75</v>
      </c>
      <c r="AC484" t="s">
        <v>727</v>
      </c>
      <c r="AD484">
        <v>-7</v>
      </c>
      <c r="AE484" t="s">
        <v>1075</v>
      </c>
      <c r="AF484">
        <v>-2</v>
      </c>
      <c r="AG484" t="s">
        <v>92</v>
      </c>
      <c r="AH484">
        <v>-253</v>
      </c>
      <c r="AI484" t="s">
        <v>58</v>
      </c>
      <c r="AJ484">
        <v>-54</v>
      </c>
      <c r="AK484" t="s">
        <v>2241</v>
      </c>
      <c r="AL484">
        <v>-5</v>
      </c>
      <c r="AM484" t="s">
        <v>249</v>
      </c>
      <c r="AN484">
        <v>-108</v>
      </c>
    </row>
    <row r="485" spans="2:40" x14ac:dyDescent="0.25">
      <c r="B485" t="s">
        <v>128</v>
      </c>
      <c r="C485">
        <v>-12</v>
      </c>
      <c r="E485" t="s">
        <v>0</v>
      </c>
      <c r="F485">
        <v>-18</v>
      </c>
      <c r="J485" t="s">
        <v>660</v>
      </c>
      <c r="K485">
        <v>-10</v>
      </c>
      <c r="L485" t="s">
        <v>177</v>
      </c>
      <c r="M485">
        <v>-2</v>
      </c>
      <c r="O485" t="s">
        <v>1267</v>
      </c>
      <c r="P485">
        <v>-2</v>
      </c>
      <c r="Q485" t="s">
        <v>717</v>
      </c>
      <c r="R485">
        <v>-6</v>
      </c>
      <c r="S485" t="s">
        <v>769</v>
      </c>
      <c r="T485">
        <v>-9</v>
      </c>
      <c r="U485" t="s">
        <v>1691</v>
      </c>
      <c r="V485">
        <v>-1</v>
      </c>
      <c r="W485" t="s">
        <v>1864</v>
      </c>
      <c r="X485">
        <v>-1</v>
      </c>
      <c r="Y485" t="s">
        <v>434</v>
      </c>
      <c r="Z485">
        <v>-2</v>
      </c>
      <c r="AC485" t="s">
        <v>355</v>
      </c>
      <c r="AD485">
        <v>-1500</v>
      </c>
      <c r="AE485" t="s">
        <v>2114</v>
      </c>
      <c r="AF485">
        <v>-12</v>
      </c>
      <c r="AG485" t="s">
        <v>174</v>
      </c>
      <c r="AH485">
        <v>-26</v>
      </c>
      <c r="AI485" t="s">
        <v>2097</v>
      </c>
      <c r="AJ485">
        <v>-2</v>
      </c>
      <c r="AK485" t="s">
        <v>2170</v>
      </c>
      <c r="AL485">
        <v>-10</v>
      </c>
      <c r="AM485" t="s">
        <v>250</v>
      </c>
      <c r="AN485">
        <v>-148</v>
      </c>
    </row>
    <row r="486" spans="2:40" x14ac:dyDescent="0.25">
      <c r="B486" t="s">
        <v>281</v>
      </c>
      <c r="C486">
        <v>-29</v>
      </c>
      <c r="E486" t="s">
        <v>781</v>
      </c>
      <c r="J486" t="s">
        <v>72</v>
      </c>
      <c r="K486">
        <v>-11</v>
      </c>
      <c r="L486" t="s">
        <v>881</v>
      </c>
      <c r="M486">
        <v>-18</v>
      </c>
      <c r="O486" t="s">
        <v>1268</v>
      </c>
      <c r="P486">
        <v>-2</v>
      </c>
      <c r="Q486" t="s">
        <v>716</v>
      </c>
      <c r="R486">
        <v>-1</v>
      </c>
      <c r="S486" t="s">
        <v>128</v>
      </c>
      <c r="T486">
        <v>-9</v>
      </c>
      <c r="U486" t="s">
        <v>476</v>
      </c>
      <c r="V486">
        <v>-3</v>
      </c>
      <c r="W486" t="s">
        <v>769</v>
      </c>
      <c r="X486">
        <v>-6</v>
      </c>
      <c r="Y486" t="s">
        <v>431</v>
      </c>
      <c r="Z486">
        <v>-2</v>
      </c>
      <c r="AC486" t="s">
        <v>1516</v>
      </c>
      <c r="AD486">
        <v>-13</v>
      </c>
      <c r="AE486" t="s">
        <v>2115</v>
      </c>
      <c r="AF486">
        <v>-2</v>
      </c>
      <c r="AG486" t="s">
        <v>154</v>
      </c>
      <c r="AH486">
        <v>-120</v>
      </c>
      <c r="AI486" t="s">
        <v>216</v>
      </c>
      <c r="AJ486">
        <v>-14</v>
      </c>
      <c r="AK486" t="s">
        <v>2171</v>
      </c>
      <c r="AL486">
        <v>-10</v>
      </c>
      <c r="AM486" t="s">
        <v>1605</v>
      </c>
      <c r="AN486">
        <v>-40</v>
      </c>
    </row>
    <row r="487" spans="2:40" x14ac:dyDescent="0.25">
      <c r="B487" t="s">
        <v>140</v>
      </c>
      <c r="C487">
        <v>-8</v>
      </c>
      <c r="E487" t="s">
        <v>782</v>
      </c>
      <c r="F487">
        <v>-64403.992299999984</v>
      </c>
      <c r="J487" t="s">
        <v>936</v>
      </c>
      <c r="K487">
        <v>-21</v>
      </c>
      <c r="L487" t="s">
        <v>882</v>
      </c>
      <c r="M487">
        <v>-20</v>
      </c>
      <c r="O487" t="s">
        <v>1269</v>
      </c>
      <c r="P487">
        <v>-18</v>
      </c>
      <c r="Q487" t="s">
        <v>1070</v>
      </c>
      <c r="R487">
        <v>-11</v>
      </c>
      <c r="S487" t="s">
        <v>281</v>
      </c>
      <c r="T487">
        <v>-28</v>
      </c>
      <c r="U487" t="s">
        <v>717</v>
      </c>
      <c r="V487">
        <v>-1</v>
      </c>
      <c r="W487" t="s">
        <v>128</v>
      </c>
      <c r="X487">
        <v>-6</v>
      </c>
      <c r="Y487" t="s">
        <v>437</v>
      </c>
      <c r="Z487">
        <v>-1</v>
      </c>
      <c r="AC487" t="s">
        <v>441</v>
      </c>
      <c r="AD487">
        <v>-95.000000000000014</v>
      </c>
      <c r="AE487" t="s">
        <v>254</v>
      </c>
      <c r="AF487">
        <v>-4</v>
      </c>
      <c r="AG487" t="s">
        <v>477</v>
      </c>
      <c r="AH487">
        <v>-2</v>
      </c>
      <c r="AI487" t="s">
        <v>673</v>
      </c>
      <c r="AJ487">
        <v>-20</v>
      </c>
      <c r="AK487" t="s">
        <v>2172</v>
      </c>
      <c r="AL487">
        <v>-2</v>
      </c>
      <c r="AM487" t="s">
        <v>1267</v>
      </c>
      <c r="AN487">
        <v>-2</v>
      </c>
    </row>
    <row r="488" spans="2:40" x14ac:dyDescent="0.25">
      <c r="B488" t="s">
        <v>127</v>
      </c>
      <c r="C488">
        <v>-1</v>
      </c>
      <c r="J488" t="s">
        <v>102</v>
      </c>
      <c r="K488">
        <v>-15.000100000000002</v>
      </c>
      <c r="L488" t="s">
        <v>654</v>
      </c>
      <c r="M488">
        <v>-28</v>
      </c>
      <c r="O488" t="s">
        <v>1270</v>
      </c>
      <c r="P488">
        <v>-1</v>
      </c>
      <c r="Q488" t="s">
        <v>76</v>
      </c>
      <c r="R488">
        <v>-20</v>
      </c>
      <c r="S488" t="s">
        <v>140</v>
      </c>
      <c r="T488">
        <v>-1</v>
      </c>
      <c r="U488" t="s">
        <v>1070</v>
      </c>
      <c r="V488">
        <v>-6</v>
      </c>
      <c r="W488" t="s">
        <v>281</v>
      </c>
      <c r="X488">
        <v>-22</v>
      </c>
      <c r="Y488" t="s">
        <v>1717</v>
      </c>
      <c r="Z488">
        <v>-1</v>
      </c>
      <c r="AC488" t="s">
        <v>341</v>
      </c>
      <c r="AD488">
        <v>-36</v>
      </c>
      <c r="AE488" t="s">
        <v>256</v>
      </c>
      <c r="AF488">
        <v>-4</v>
      </c>
      <c r="AG488" t="s">
        <v>149</v>
      </c>
      <c r="AH488">
        <v>-106</v>
      </c>
      <c r="AI488" t="s">
        <v>470</v>
      </c>
      <c r="AJ488">
        <v>-5</v>
      </c>
      <c r="AK488" t="s">
        <v>368</v>
      </c>
      <c r="AL488">
        <v>-2</v>
      </c>
      <c r="AM488" t="s">
        <v>1606</v>
      </c>
      <c r="AN488">
        <v>-40</v>
      </c>
    </row>
    <row r="489" spans="2:40" x14ac:dyDescent="0.25">
      <c r="B489" t="s">
        <v>705</v>
      </c>
      <c r="C489">
        <v>-1</v>
      </c>
      <c r="J489" t="s">
        <v>1092</v>
      </c>
      <c r="K489">
        <v>-2</v>
      </c>
      <c r="L489" t="s">
        <v>136</v>
      </c>
      <c r="M489">
        <v>-23</v>
      </c>
      <c r="O489" t="s">
        <v>592</v>
      </c>
      <c r="P489">
        <v>-900</v>
      </c>
      <c r="Q489" t="s">
        <v>1321</v>
      </c>
      <c r="R489">
        <v>-80</v>
      </c>
      <c r="S489" t="s">
        <v>127</v>
      </c>
      <c r="T489">
        <v>-1</v>
      </c>
      <c r="U489" t="s">
        <v>76</v>
      </c>
      <c r="V489">
        <v>-30</v>
      </c>
      <c r="W489" t="s">
        <v>1865</v>
      </c>
      <c r="X489">
        <v>-1</v>
      </c>
      <c r="Y489" t="s">
        <v>347</v>
      </c>
      <c r="Z489">
        <v>-0.1</v>
      </c>
      <c r="AC489" t="s">
        <v>442</v>
      </c>
      <c r="AD489">
        <v>-27</v>
      </c>
      <c r="AE489" t="s">
        <v>46</v>
      </c>
      <c r="AF489">
        <v>-18</v>
      </c>
      <c r="AG489" t="s">
        <v>895</v>
      </c>
      <c r="AH489">
        <v>-1</v>
      </c>
      <c r="AI489" t="s">
        <v>2230</v>
      </c>
      <c r="AJ489">
        <v>-1</v>
      </c>
      <c r="AK489" t="s">
        <v>1753</v>
      </c>
      <c r="AL489">
        <v>-1</v>
      </c>
      <c r="AM489" t="s">
        <v>1268</v>
      </c>
      <c r="AN489">
        <v>-5</v>
      </c>
    </row>
    <row r="490" spans="2:40" x14ac:dyDescent="0.25">
      <c r="B490" t="s">
        <v>290</v>
      </c>
      <c r="C490">
        <v>-24</v>
      </c>
      <c r="J490" t="s">
        <v>104</v>
      </c>
      <c r="K490">
        <v>-27.000000000000004</v>
      </c>
      <c r="L490" t="s">
        <v>1037</v>
      </c>
      <c r="M490">
        <v>-45</v>
      </c>
      <c r="O490" t="s">
        <v>880</v>
      </c>
      <c r="P490">
        <v>-15</v>
      </c>
      <c r="Q490" t="s">
        <v>1074</v>
      </c>
      <c r="R490">
        <v>-6</v>
      </c>
      <c r="S490" t="s">
        <v>1693</v>
      </c>
      <c r="T490">
        <v>-20</v>
      </c>
      <c r="U490" t="s">
        <v>291</v>
      </c>
      <c r="V490">
        <v>-1</v>
      </c>
      <c r="W490" t="s">
        <v>290</v>
      </c>
      <c r="X490">
        <v>-10</v>
      </c>
      <c r="Y490" t="s">
        <v>483</v>
      </c>
      <c r="Z490">
        <v>-0.5</v>
      </c>
      <c r="AC490" t="s">
        <v>2021</v>
      </c>
      <c r="AD490">
        <v>-1</v>
      </c>
      <c r="AE490" t="s">
        <v>2116</v>
      </c>
      <c r="AF490">
        <v>-4</v>
      </c>
      <c r="AG490" t="s">
        <v>1310</v>
      </c>
      <c r="AH490">
        <v>-48</v>
      </c>
      <c r="AI490" t="s">
        <v>68</v>
      </c>
      <c r="AJ490">
        <v>-8</v>
      </c>
      <c r="AK490" t="s">
        <v>326</v>
      </c>
      <c r="AL490">
        <v>-5</v>
      </c>
      <c r="AM490" t="s">
        <v>592</v>
      </c>
      <c r="AN490">
        <v>-4054.51</v>
      </c>
    </row>
    <row r="491" spans="2:40" x14ac:dyDescent="0.25">
      <c r="B491" t="s">
        <v>288</v>
      </c>
      <c r="C491">
        <v>-32</v>
      </c>
      <c r="J491" t="s">
        <v>160</v>
      </c>
      <c r="K491">
        <v>-2</v>
      </c>
      <c r="L491" t="s">
        <v>15</v>
      </c>
      <c r="M491">
        <v>-855</v>
      </c>
      <c r="O491" t="s">
        <v>1271</v>
      </c>
      <c r="P491">
        <v>-2</v>
      </c>
      <c r="Q491" t="s">
        <v>1075</v>
      </c>
      <c r="R491">
        <v>-2</v>
      </c>
      <c r="S491" t="s">
        <v>290</v>
      </c>
      <c r="T491">
        <v>-13</v>
      </c>
      <c r="U491" t="s">
        <v>1074</v>
      </c>
      <c r="V491">
        <v>-9</v>
      </c>
      <c r="W491" t="s">
        <v>288</v>
      </c>
      <c r="X491">
        <v>-16</v>
      </c>
      <c r="Y491" t="s">
        <v>370</v>
      </c>
      <c r="Z491">
        <v>-10</v>
      </c>
      <c r="AC491" t="s">
        <v>739</v>
      </c>
      <c r="AD491">
        <v>-3</v>
      </c>
      <c r="AE491" t="s">
        <v>137</v>
      </c>
      <c r="AF491">
        <v>-4</v>
      </c>
      <c r="AG491" t="s">
        <v>896</v>
      </c>
      <c r="AH491">
        <v>-1</v>
      </c>
      <c r="AI491" t="s">
        <v>2231</v>
      </c>
      <c r="AJ491">
        <v>-1</v>
      </c>
      <c r="AK491" t="s">
        <v>892</v>
      </c>
      <c r="AL491">
        <v>-17</v>
      </c>
      <c r="AM491" t="s">
        <v>1271</v>
      </c>
      <c r="AN491">
        <v>-2</v>
      </c>
    </row>
    <row r="492" spans="2:40" x14ac:dyDescent="0.25">
      <c r="B492" t="s">
        <v>47</v>
      </c>
      <c r="C492">
        <v>-14</v>
      </c>
      <c r="J492" t="s">
        <v>941</v>
      </c>
      <c r="K492">
        <v>-2</v>
      </c>
      <c r="L492" t="s">
        <v>394</v>
      </c>
      <c r="M492">
        <v>-16</v>
      </c>
      <c r="O492" t="s">
        <v>129</v>
      </c>
      <c r="P492">
        <v>-192</v>
      </c>
      <c r="Q492" t="s">
        <v>1500</v>
      </c>
      <c r="R492">
        <v>-12</v>
      </c>
      <c r="S492" t="s">
        <v>288</v>
      </c>
      <c r="T492">
        <v>-40</v>
      </c>
      <c r="U492" t="s">
        <v>1075</v>
      </c>
      <c r="V492">
        <v>-3</v>
      </c>
      <c r="W492" t="s">
        <v>1866</v>
      </c>
      <c r="X492">
        <v>-1</v>
      </c>
      <c r="Y492" t="s">
        <v>435</v>
      </c>
      <c r="Z492">
        <v>-2</v>
      </c>
      <c r="AC492" t="s">
        <v>918</v>
      </c>
      <c r="AD492">
        <v>-9</v>
      </c>
      <c r="AE492" t="s">
        <v>340</v>
      </c>
      <c r="AF492">
        <v>-156</v>
      </c>
      <c r="AG492" t="s">
        <v>231</v>
      </c>
      <c r="AH492">
        <v>-132</v>
      </c>
      <c r="AI492" t="s">
        <v>1610</v>
      </c>
      <c r="AJ492">
        <v>-1</v>
      </c>
      <c r="AK492" t="s">
        <v>2304</v>
      </c>
      <c r="AL492">
        <v>-2</v>
      </c>
      <c r="AM492" t="s">
        <v>1750</v>
      </c>
      <c r="AN492">
        <v>-2</v>
      </c>
    </row>
    <row r="493" spans="2:40" x14ac:dyDescent="0.25">
      <c r="B493" t="s">
        <v>724</v>
      </c>
      <c r="C493">
        <v>-1</v>
      </c>
      <c r="J493" t="s">
        <v>942</v>
      </c>
      <c r="K493">
        <v>-1</v>
      </c>
      <c r="L493" t="s">
        <v>1272</v>
      </c>
      <c r="M493">
        <v>-16.999999999999996</v>
      </c>
      <c r="O493" t="s">
        <v>390</v>
      </c>
      <c r="P493">
        <v>-13</v>
      </c>
      <c r="Q493" t="s">
        <v>254</v>
      </c>
      <c r="R493">
        <v>-8</v>
      </c>
      <c r="S493" t="s">
        <v>47</v>
      </c>
      <c r="T493">
        <v>-9</v>
      </c>
      <c r="U493" t="s">
        <v>1756</v>
      </c>
      <c r="V493">
        <v>-1</v>
      </c>
      <c r="W493" t="s">
        <v>47</v>
      </c>
      <c r="X493">
        <v>-6</v>
      </c>
      <c r="Y493" t="s">
        <v>576</v>
      </c>
      <c r="Z493">
        <v>-152.16</v>
      </c>
      <c r="AC493" t="s">
        <v>629</v>
      </c>
      <c r="AD493">
        <v>-2</v>
      </c>
      <c r="AE493" t="s">
        <v>753</v>
      </c>
      <c r="AF493">
        <v>-6</v>
      </c>
      <c r="AG493" t="s">
        <v>24</v>
      </c>
      <c r="AH493">
        <v>-8</v>
      </c>
      <c r="AI493" t="s">
        <v>1611</v>
      </c>
      <c r="AJ493">
        <v>-2</v>
      </c>
      <c r="AK493" t="s">
        <v>1305</v>
      </c>
      <c r="AL493">
        <v>-6</v>
      </c>
      <c r="AM493" t="s">
        <v>2444</v>
      </c>
      <c r="AN493">
        <v>-18</v>
      </c>
    </row>
    <row r="494" spans="2:40" x14ac:dyDescent="0.25">
      <c r="B494" t="s">
        <v>88</v>
      </c>
      <c r="C494">
        <v>-8</v>
      </c>
      <c r="J494" t="s">
        <v>1093</v>
      </c>
      <c r="K494">
        <v>-2</v>
      </c>
      <c r="L494" t="s">
        <v>1038</v>
      </c>
      <c r="M494">
        <v>-34</v>
      </c>
      <c r="O494" t="s">
        <v>175</v>
      </c>
      <c r="P494">
        <v>-15</v>
      </c>
      <c r="Q494" t="s">
        <v>256</v>
      </c>
      <c r="R494">
        <v>-14</v>
      </c>
      <c r="S494" t="s">
        <v>1085</v>
      </c>
      <c r="T494">
        <v>-6</v>
      </c>
      <c r="U494" t="s">
        <v>254</v>
      </c>
      <c r="V494">
        <v>-7</v>
      </c>
      <c r="W494" t="s">
        <v>1085</v>
      </c>
      <c r="X494">
        <v>-10</v>
      </c>
      <c r="Y494" t="s">
        <v>715</v>
      </c>
      <c r="Z494">
        <v>-24</v>
      </c>
      <c r="AC494" t="s">
        <v>499</v>
      </c>
      <c r="AD494">
        <v>-12</v>
      </c>
      <c r="AE494" t="s">
        <v>1080</v>
      </c>
      <c r="AF494">
        <v>-60</v>
      </c>
      <c r="AG494" t="s">
        <v>898</v>
      </c>
      <c r="AH494">
        <v>-36</v>
      </c>
      <c r="AI494" t="s">
        <v>1612</v>
      </c>
      <c r="AJ494">
        <v>-8</v>
      </c>
      <c r="AK494" t="s">
        <v>605</v>
      </c>
      <c r="AL494">
        <v>-2</v>
      </c>
      <c r="AM494" t="s">
        <v>129</v>
      </c>
      <c r="AN494">
        <v>-55</v>
      </c>
    </row>
    <row r="495" spans="2:40" x14ac:dyDescent="0.25">
      <c r="B495" t="s">
        <v>62</v>
      </c>
      <c r="C495">
        <v>-32</v>
      </c>
      <c r="J495" t="s">
        <v>1094</v>
      </c>
      <c r="K495">
        <v>-3</v>
      </c>
      <c r="L495" t="s">
        <v>823</v>
      </c>
      <c r="M495">
        <v>-3</v>
      </c>
      <c r="O495" t="s">
        <v>579</v>
      </c>
      <c r="P495">
        <v>-15</v>
      </c>
      <c r="Q495" t="s">
        <v>137</v>
      </c>
      <c r="R495">
        <v>-8</v>
      </c>
      <c r="S495" t="s">
        <v>617</v>
      </c>
      <c r="T495">
        <v>-19</v>
      </c>
      <c r="U495" t="s">
        <v>256</v>
      </c>
      <c r="V495">
        <v>-4</v>
      </c>
      <c r="W495" t="s">
        <v>910</v>
      </c>
      <c r="X495">
        <v>-3</v>
      </c>
      <c r="Y495" t="s">
        <v>344</v>
      </c>
      <c r="Z495">
        <v>-388.66</v>
      </c>
      <c r="AC495" t="s">
        <v>641</v>
      </c>
      <c r="AD495">
        <v>-44</v>
      </c>
      <c r="AE495" t="s">
        <v>1081</v>
      </c>
      <c r="AF495">
        <v>-60</v>
      </c>
      <c r="AG495" t="s">
        <v>832</v>
      </c>
      <c r="AH495">
        <v>-5</v>
      </c>
      <c r="AI495" t="s">
        <v>2232</v>
      </c>
      <c r="AJ495">
        <v>-1</v>
      </c>
      <c r="AK495" t="s">
        <v>893</v>
      </c>
      <c r="AL495">
        <v>-9</v>
      </c>
      <c r="AM495" t="s">
        <v>2445</v>
      </c>
      <c r="AN495">
        <v>-9</v>
      </c>
    </row>
    <row r="496" spans="2:40" x14ac:dyDescent="0.25">
      <c r="B496" t="s">
        <v>207</v>
      </c>
      <c r="C496">
        <v>-9</v>
      </c>
      <c r="J496" t="s">
        <v>621</v>
      </c>
      <c r="K496">
        <v>-300</v>
      </c>
      <c r="L496" t="s">
        <v>1273</v>
      </c>
      <c r="M496">
        <v>-3</v>
      </c>
      <c r="O496" t="s">
        <v>177</v>
      </c>
      <c r="P496">
        <v>-8</v>
      </c>
      <c r="Q496" t="s">
        <v>340</v>
      </c>
      <c r="R496">
        <v>-1</v>
      </c>
      <c r="S496" t="s">
        <v>62</v>
      </c>
      <c r="T496">
        <v>-9</v>
      </c>
      <c r="U496" t="s">
        <v>46</v>
      </c>
      <c r="V496">
        <v>-6</v>
      </c>
      <c r="W496" t="s">
        <v>1867</v>
      </c>
      <c r="X496">
        <v>-1</v>
      </c>
      <c r="Y496" t="s">
        <v>561</v>
      </c>
      <c r="Z496">
        <v>-21</v>
      </c>
      <c r="AC496" t="s">
        <v>650</v>
      </c>
      <c r="AD496">
        <v>-5.0000000000000009</v>
      </c>
      <c r="AE496" t="s">
        <v>1619</v>
      </c>
      <c r="AF496">
        <v>-8</v>
      </c>
      <c r="AG496" t="s">
        <v>761</v>
      </c>
      <c r="AH496">
        <v>-1</v>
      </c>
      <c r="AI496" t="s">
        <v>2233</v>
      </c>
      <c r="AJ496">
        <v>-2</v>
      </c>
      <c r="AK496" t="s">
        <v>2305</v>
      </c>
      <c r="AL496">
        <v>-1</v>
      </c>
      <c r="AM496" t="s">
        <v>2446</v>
      </c>
      <c r="AN496">
        <v>-3</v>
      </c>
    </row>
    <row r="497" spans="2:40" x14ac:dyDescent="0.25">
      <c r="B497" t="s">
        <v>282</v>
      </c>
      <c r="C497">
        <v>-16</v>
      </c>
      <c r="J497" t="s">
        <v>1095</v>
      </c>
      <c r="K497">
        <v>-350</v>
      </c>
      <c r="L497" t="s">
        <v>242</v>
      </c>
      <c r="M497">
        <v>-69</v>
      </c>
      <c r="O497" t="s">
        <v>881</v>
      </c>
      <c r="P497">
        <v>-17</v>
      </c>
      <c r="Q497" t="s">
        <v>1330</v>
      </c>
      <c r="R497">
        <v>-35</v>
      </c>
      <c r="S497" t="s">
        <v>282</v>
      </c>
      <c r="T497">
        <v>-10</v>
      </c>
      <c r="U497" t="s">
        <v>137</v>
      </c>
      <c r="V497">
        <v>-4</v>
      </c>
      <c r="W497" t="s">
        <v>617</v>
      </c>
      <c r="X497">
        <v>-17</v>
      </c>
      <c r="Y497" t="s">
        <v>482</v>
      </c>
      <c r="Z497">
        <v>-0.13</v>
      </c>
      <c r="AC497" t="s">
        <v>923</v>
      </c>
      <c r="AD497">
        <v>-35</v>
      </c>
      <c r="AE497" t="s">
        <v>113</v>
      </c>
      <c r="AF497">
        <v>-71</v>
      </c>
      <c r="AG497" t="s">
        <v>648</v>
      </c>
      <c r="AH497">
        <v>-72</v>
      </c>
      <c r="AI497" t="s">
        <v>201</v>
      </c>
      <c r="AJ497">
        <v>-7</v>
      </c>
      <c r="AK497" t="s">
        <v>1063</v>
      </c>
      <c r="AL497">
        <v>-18</v>
      </c>
      <c r="AM497" t="s">
        <v>390</v>
      </c>
      <c r="AN497">
        <v>-16</v>
      </c>
    </row>
    <row r="498" spans="2:40" x14ac:dyDescent="0.25">
      <c r="B498" t="s">
        <v>215</v>
      </c>
      <c r="C498">
        <v>-8</v>
      </c>
      <c r="J498" t="s">
        <v>625</v>
      </c>
      <c r="K498">
        <v>-200</v>
      </c>
      <c r="L498" t="s">
        <v>1039</v>
      </c>
      <c r="M498">
        <v>-16</v>
      </c>
      <c r="O498" t="s">
        <v>882</v>
      </c>
      <c r="P498">
        <v>-4</v>
      </c>
      <c r="Q498" t="s">
        <v>1078</v>
      </c>
      <c r="R498">
        <v>-39</v>
      </c>
      <c r="S498" t="s">
        <v>77</v>
      </c>
      <c r="T498">
        <v>-6</v>
      </c>
      <c r="U498" t="s">
        <v>340</v>
      </c>
      <c r="V498">
        <v>-13</v>
      </c>
      <c r="W498" t="s">
        <v>62</v>
      </c>
      <c r="X498">
        <v>-12</v>
      </c>
      <c r="Y498" t="s">
        <v>566</v>
      </c>
      <c r="Z498">
        <v>-33.274999999999999</v>
      </c>
      <c r="AC498" t="s">
        <v>924</v>
      </c>
      <c r="AD498">
        <v>-20</v>
      </c>
      <c r="AE498" t="s">
        <v>678</v>
      </c>
      <c r="AF498">
        <v>-6.84</v>
      </c>
      <c r="AG498" t="s">
        <v>388</v>
      </c>
      <c r="AH498">
        <v>-52</v>
      </c>
      <c r="AI498" t="s">
        <v>148</v>
      </c>
      <c r="AJ498">
        <v>-122</v>
      </c>
      <c r="AK498" t="s">
        <v>372</v>
      </c>
      <c r="AL498">
        <v>-2</v>
      </c>
      <c r="AM498" t="s">
        <v>175</v>
      </c>
      <c r="AN498">
        <v>-6</v>
      </c>
    </row>
    <row r="499" spans="2:40" x14ac:dyDescent="0.25">
      <c r="B499" t="s">
        <v>77</v>
      </c>
      <c r="C499">
        <v>-20</v>
      </c>
      <c r="J499" t="s">
        <v>404</v>
      </c>
      <c r="K499">
        <v>-800.66640000000007</v>
      </c>
      <c r="L499" t="s">
        <v>1274</v>
      </c>
      <c r="M499">
        <v>-18</v>
      </c>
      <c r="O499" t="s">
        <v>136</v>
      </c>
      <c r="P499">
        <v>-5</v>
      </c>
      <c r="Q499" t="s">
        <v>1331</v>
      </c>
      <c r="R499">
        <v>-6</v>
      </c>
      <c r="S499" t="s">
        <v>374</v>
      </c>
      <c r="T499">
        <v>-4</v>
      </c>
      <c r="U499" t="s">
        <v>1757</v>
      </c>
      <c r="V499">
        <v>-6</v>
      </c>
      <c r="W499" t="s">
        <v>282</v>
      </c>
      <c r="X499">
        <v>-6</v>
      </c>
      <c r="Y499" t="s">
        <v>1535</v>
      </c>
      <c r="Z499">
        <v>-0.39999999999999997</v>
      </c>
      <c r="AC499" t="s">
        <v>1347</v>
      </c>
      <c r="AD499">
        <v>-1.9999999999999998</v>
      </c>
      <c r="AE499" t="s">
        <v>769</v>
      </c>
      <c r="AF499">
        <v>-6</v>
      </c>
      <c r="AG499" t="s">
        <v>1691</v>
      </c>
      <c r="AH499">
        <v>-1</v>
      </c>
      <c r="AI499" t="s">
        <v>262</v>
      </c>
      <c r="AJ499">
        <v>-51</v>
      </c>
      <c r="AK499" t="s">
        <v>232</v>
      </c>
      <c r="AL499">
        <v>-8</v>
      </c>
      <c r="AM499" t="s">
        <v>2093</v>
      </c>
      <c r="AN499">
        <v>-6</v>
      </c>
    </row>
    <row r="500" spans="2:40" x14ac:dyDescent="0.25">
      <c r="B500" t="s">
        <v>374</v>
      </c>
      <c r="C500">
        <v>-2</v>
      </c>
      <c r="J500" t="s">
        <v>354</v>
      </c>
      <c r="K500">
        <v>-1400</v>
      </c>
      <c r="L500" t="s">
        <v>885</v>
      </c>
      <c r="M500">
        <v>-4</v>
      </c>
      <c r="O500" t="s">
        <v>1473</v>
      </c>
      <c r="P500">
        <v>-1</v>
      </c>
      <c r="Q500" t="s">
        <v>753</v>
      </c>
      <c r="R500">
        <v>-1</v>
      </c>
      <c r="S500" t="s">
        <v>912</v>
      </c>
      <c r="T500">
        <v>-1</v>
      </c>
      <c r="U500" t="s">
        <v>1758</v>
      </c>
      <c r="V500">
        <v>-30</v>
      </c>
      <c r="W500" t="s">
        <v>77</v>
      </c>
      <c r="X500">
        <v>-18</v>
      </c>
      <c r="Y500" t="s">
        <v>412</v>
      </c>
      <c r="Z500">
        <v>-25.1</v>
      </c>
      <c r="AC500" t="s">
        <v>146</v>
      </c>
      <c r="AD500">
        <v>-9</v>
      </c>
      <c r="AE500" t="s">
        <v>128</v>
      </c>
      <c r="AF500">
        <v>-9</v>
      </c>
      <c r="AG500" t="s">
        <v>476</v>
      </c>
      <c r="AH500">
        <v>-9</v>
      </c>
      <c r="AI500" t="s">
        <v>263</v>
      </c>
      <c r="AJ500">
        <v>-23</v>
      </c>
      <c r="AK500" t="s">
        <v>150</v>
      </c>
      <c r="AL500">
        <v>-22</v>
      </c>
      <c r="AM500" t="s">
        <v>2094</v>
      </c>
      <c r="AN500">
        <v>-1</v>
      </c>
    </row>
    <row r="501" spans="2:40" x14ac:dyDescent="0.25">
      <c r="B501" t="s">
        <v>63</v>
      </c>
      <c r="C501">
        <v>-31</v>
      </c>
      <c r="J501" t="s">
        <v>357</v>
      </c>
      <c r="K501">
        <v>-1000</v>
      </c>
      <c r="L501" t="s">
        <v>645</v>
      </c>
      <c r="M501">
        <v>-3</v>
      </c>
      <c r="O501" t="s">
        <v>1037</v>
      </c>
      <c r="P501">
        <v>-45.2</v>
      </c>
      <c r="Q501" t="s">
        <v>1079</v>
      </c>
      <c r="R501">
        <v>-70</v>
      </c>
      <c r="S501" t="s">
        <v>63</v>
      </c>
      <c r="T501">
        <v>-35</v>
      </c>
      <c r="U501" t="s">
        <v>113</v>
      </c>
      <c r="V501">
        <v>-68</v>
      </c>
      <c r="W501" t="s">
        <v>63</v>
      </c>
      <c r="X501">
        <v>-20</v>
      </c>
      <c r="Y501" t="s">
        <v>585</v>
      </c>
      <c r="Z501">
        <v>-1.92</v>
      </c>
      <c r="AC501" t="s">
        <v>162</v>
      </c>
      <c r="AD501">
        <v>-194</v>
      </c>
      <c r="AE501" t="s">
        <v>281</v>
      </c>
      <c r="AF501">
        <v>-21</v>
      </c>
      <c r="AG501" t="s">
        <v>2177</v>
      </c>
      <c r="AH501">
        <v>-1</v>
      </c>
      <c r="AI501" t="s">
        <v>261</v>
      </c>
      <c r="AJ501">
        <v>-25</v>
      </c>
      <c r="AK501" t="s">
        <v>92</v>
      </c>
      <c r="AL501">
        <v>-175</v>
      </c>
      <c r="AM501" t="s">
        <v>2095</v>
      </c>
      <c r="AN501">
        <v>-1</v>
      </c>
    </row>
    <row r="502" spans="2:40" x14ac:dyDescent="0.25">
      <c r="B502" t="s">
        <v>195</v>
      </c>
      <c r="C502">
        <v>-17</v>
      </c>
      <c r="J502" t="s">
        <v>403</v>
      </c>
      <c r="K502">
        <v>-800</v>
      </c>
      <c r="L502" t="s">
        <v>1275</v>
      </c>
      <c r="M502">
        <v>-15</v>
      </c>
      <c r="O502" t="s">
        <v>15</v>
      </c>
      <c r="P502">
        <v>-464</v>
      </c>
      <c r="Q502" t="s">
        <v>1080</v>
      </c>
      <c r="R502">
        <v>-200</v>
      </c>
      <c r="S502" t="s">
        <v>195</v>
      </c>
      <c r="T502">
        <v>-32</v>
      </c>
      <c r="U502" t="s">
        <v>1759</v>
      </c>
      <c r="V502">
        <v>-10</v>
      </c>
      <c r="W502" t="s">
        <v>195</v>
      </c>
      <c r="X502">
        <v>-50</v>
      </c>
      <c r="Y502" t="s">
        <v>1791</v>
      </c>
      <c r="Z502">
        <v>-1.04</v>
      </c>
      <c r="AC502" t="s">
        <v>468</v>
      </c>
      <c r="AD502">
        <v>-5</v>
      </c>
      <c r="AE502" t="s">
        <v>290</v>
      </c>
      <c r="AF502">
        <v>-12</v>
      </c>
      <c r="AG502" t="s">
        <v>716</v>
      </c>
      <c r="AH502">
        <v>-12</v>
      </c>
      <c r="AI502" t="s">
        <v>1044</v>
      </c>
      <c r="AJ502">
        <v>-2</v>
      </c>
      <c r="AK502" t="s">
        <v>174</v>
      </c>
      <c r="AL502">
        <v>-12</v>
      </c>
      <c r="AM502" t="s">
        <v>654</v>
      </c>
      <c r="AN502">
        <v>-7</v>
      </c>
    </row>
    <row r="503" spans="2:40" x14ac:dyDescent="0.25">
      <c r="B503" t="s">
        <v>615</v>
      </c>
      <c r="C503">
        <v>-2</v>
      </c>
      <c r="J503" t="s">
        <v>408</v>
      </c>
      <c r="K503">
        <v>-1580</v>
      </c>
      <c r="L503" t="s">
        <v>75</v>
      </c>
      <c r="M503">
        <v>-78</v>
      </c>
      <c r="O503" t="s">
        <v>394</v>
      </c>
      <c r="P503">
        <v>-32</v>
      </c>
      <c r="Q503" t="s">
        <v>1081</v>
      </c>
      <c r="R503">
        <v>-200</v>
      </c>
      <c r="S503" t="s">
        <v>727</v>
      </c>
      <c r="T503">
        <v>-16</v>
      </c>
      <c r="U503" t="s">
        <v>1760</v>
      </c>
      <c r="V503">
        <v>-22.4</v>
      </c>
      <c r="W503" t="s">
        <v>1621</v>
      </c>
      <c r="X503">
        <v>-8</v>
      </c>
      <c r="Y503" t="s">
        <v>578</v>
      </c>
      <c r="Z503">
        <v>-13.5</v>
      </c>
      <c r="AC503" t="s">
        <v>122</v>
      </c>
      <c r="AD503">
        <v>-10</v>
      </c>
      <c r="AE503" t="s">
        <v>288</v>
      </c>
      <c r="AF503">
        <v>-16</v>
      </c>
      <c r="AG503" t="s">
        <v>76</v>
      </c>
      <c r="AH503">
        <v>-26</v>
      </c>
      <c r="AI503" t="s">
        <v>151</v>
      </c>
      <c r="AJ503">
        <v>-15</v>
      </c>
      <c r="AK503" t="s">
        <v>154</v>
      </c>
      <c r="AL503">
        <v>-80</v>
      </c>
      <c r="AM503" t="s">
        <v>136</v>
      </c>
      <c r="AN503">
        <v>-7</v>
      </c>
    </row>
    <row r="504" spans="2:40" x14ac:dyDescent="0.25">
      <c r="B504" t="s">
        <v>355</v>
      </c>
      <c r="C504">
        <v>-2862</v>
      </c>
      <c r="J504" t="s">
        <v>358</v>
      </c>
      <c r="K504">
        <v>-101</v>
      </c>
      <c r="L504" t="s">
        <v>1041</v>
      </c>
      <c r="M504">
        <v>-5</v>
      </c>
      <c r="O504" t="s">
        <v>1038</v>
      </c>
      <c r="P504">
        <v>-48</v>
      </c>
      <c r="Q504" t="s">
        <v>1619</v>
      </c>
      <c r="R504">
        <v>-73</v>
      </c>
      <c r="S504" t="s">
        <v>728</v>
      </c>
      <c r="T504">
        <v>-7</v>
      </c>
      <c r="U504" t="s">
        <v>1761</v>
      </c>
      <c r="V504">
        <v>-30</v>
      </c>
      <c r="W504" t="s">
        <v>475</v>
      </c>
      <c r="X504">
        <v>-10</v>
      </c>
      <c r="Y504" t="s">
        <v>567</v>
      </c>
      <c r="Z504">
        <v>-2</v>
      </c>
      <c r="AC504" t="s">
        <v>557</v>
      </c>
      <c r="AD504">
        <v>-10</v>
      </c>
      <c r="AE504" t="s">
        <v>2117</v>
      </c>
      <c r="AF504">
        <v>-1</v>
      </c>
      <c r="AG504" t="s">
        <v>131</v>
      </c>
      <c r="AH504">
        <v>-2</v>
      </c>
      <c r="AI504" t="s">
        <v>258</v>
      </c>
      <c r="AJ504">
        <v>-9</v>
      </c>
      <c r="AK504" t="s">
        <v>477</v>
      </c>
      <c r="AL504">
        <v>-2</v>
      </c>
      <c r="AM504" t="s">
        <v>1840</v>
      </c>
      <c r="AN504">
        <v>-3</v>
      </c>
    </row>
    <row r="505" spans="2:40" x14ac:dyDescent="0.25">
      <c r="B505" t="s">
        <v>384</v>
      </c>
      <c r="C505">
        <v>-288</v>
      </c>
      <c r="J505" t="s">
        <v>359</v>
      </c>
      <c r="K505">
        <v>-529.99939999999992</v>
      </c>
      <c r="L505" t="s">
        <v>1042</v>
      </c>
      <c r="M505">
        <v>-8</v>
      </c>
      <c r="O505" t="s">
        <v>1474</v>
      </c>
      <c r="P505">
        <v>-2</v>
      </c>
      <c r="Q505" t="s">
        <v>1082</v>
      </c>
      <c r="R505">
        <v>-100</v>
      </c>
      <c r="S505" t="s">
        <v>615</v>
      </c>
      <c r="T505">
        <v>-20</v>
      </c>
      <c r="U505" t="s">
        <v>335</v>
      </c>
      <c r="V505">
        <v>-2</v>
      </c>
      <c r="W505" t="s">
        <v>914</v>
      </c>
      <c r="X505">
        <v>-4</v>
      </c>
      <c r="Y505" t="s">
        <v>1937</v>
      </c>
      <c r="Z505">
        <v>-0.56000000000000005</v>
      </c>
      <c r="AC505" t="s">
        <v>93</v>
      </c>
      <c r="AD505">
        <v>-3</v>
      </c>
      <c r="AE505" t="s">
        <v>2118</v>
      </c>
      <c r="AF505">
        <v>-1</v>
      </c>
      <c r="AG505" t="s">
        <v>1861</v>
      </c>
      <c r="AH505">
        <v>-2</v>
      </c>
      <c r="AI505" t="s">
        <v>382</v>
      </c>
      <c r="AJ505">
        <v>-12</v>
      </c>
      <c r="AK505" t="s">
        <v>149</v>
      </c>
      <c r="AL505">
        <v>-82</v>
      </c>
      <c r="AM505" t="s">
        <v>1841</v>
      </c>
      <c r="AN505">
        <v>-3</v>
      </c>
    </row>
    <row r="506" spans="2:40" x14ac:dyDescent="0.25">
      <c r="B506" t="s">
        <v>441</v>
      </c>
      <c r="C506">
        <v>-126</v>
      </c>
      <c r="J506" t="s">
        <v>356</v>
      </c>
      <c r="K506">
        <v>-950</v>
      </c>
      <c r="L506" t="s">
        <v>216</v>
      </c>
      <c r="M506">
        <v>-6</v>
      </c>
      <c r="O506" t="s">
        <v>1475</v>
      </c>
      <c r="P506">
        <v>-1</v>
      </c>
      <c r="Q506" t="s">
        <v>113</v>
      </c>
      <c r="R506">
        <v>-92</v>
      </c>
      <c r="S506" t="s">
        <v>355</v>
      </c>
      <c r="T506">
        <v>-6278.0000000000018</v>
      </c>
      <c r="U506" t="s">
        <v>1762</v>
      </c>
      <c r="V506">
        <v>-1</v>
      </c>
      <c r="W506" t="s">
        <v>727</v>
      </c>
      <c r="X506">
        <v>-8</v>
      </c>
      <c r="Y506" t="s">
        <v>568</v>
      </c>
      <c r="Z506">
        <v>-22</v>
      </c>
      <c r="AC506" t="s">
        <v>651</v>
      </c>
      <c r="AD506">
        <v>-22.000000000000004</v>
      </c>
      <c r="AE506" t="s">
        <v>47</v>
      </c>
      <c r="AF506">
        <v>-6</v>
      </c>
      <c r="AG506" t="s">
        <v>254</v>
      </c>
      <c r="AH506">
        <v>-11</v>
      </c>
      <c r="AI506" t="s">
        <v>246</v>
      </c>
      <c r="AJ506">
        <v>-16</v>
      </c>
      <c r="AK506" t="s">
        <v>1310</v>
      </c>
      <c r="AL506">
        <v>-12</v>
      </c>
      <c r="AM506" t="s">
        <v>152</v>
      </c>
      <c r="AN506">
        <v>-2</v>
      </c>
    </row>
    <row r="507" spans="2:40" x14ac:dyDescent="0.25">
      <c r="B507" t="s">
        <v>341</v>
      </c>
      <c r="C507">
        <v>-516</v>
      </c>
      <c r="J507" t="s">
        <v>402</v>
      </c>
      <c r="K507">
        <v>-3000</v>
      </c>
      <c r="L507" t="s">
        <v>1276</v>
      </c>
      <c r="M507">
        <v>-36</v>
      </c>
      <c r="O507" t="s">
        <v>242</v>
      </c>
      <c r="P507">
        <v>-72</v>
      </c>
      <c r="Q507" t="s">
        <v>1502</v>
      </c>
      <c r="R507">
        <v>-10</v>
      </c>
      <c r="S507" t="s">
        <v>384</v>
      </c>
      <c r="T507">
        <v>-120</v>
      </c>
      <c r="U507" t="s">
        <v>769</v>
      </c>
      <c r="V507">
        <v>-1</v>
      </c>
      <c r="W507" t="s">
        <v>728</v>
      </c>
      <c r="X507">
        <v>-5</v>
      </c>
      <c r="Y507" t="s">
        <v>1792</v>
      </c>
      <c r="Z507">
        <v>-0.96</v>
      </c>
      <c r="AC507" t="s">
        <v>926</v>
      </c>
      <c r="AD507">
        <v>-2</v>
      </c>
      <c r="AE507" t="s">
        <v>1509</v>
      </c>
      <c r="AF507">
        <v>-6</v>
      </c>
      <c r="AG507" t="s">
        <v>900</v>
      </c>
      <c r="AH507">
        <v>-3</v>
      </c>
      <c r="AI507" t="s">
        <v>2234</v>
      </c>
      <c r="AJ507">
        <v>-8</v>
      </c>
      <c r="AK507" t="s">
        <v>2306</v>
      </c>
      <c r="AL507">
        <v>-24</v>
      </c>
      <c r="AM507" t="s">
        <v>15</v>
      </c>
      <c r="AN507">
        <v>-104</v>
      </c>
    </row>
    <row r="508" spans="2:40" x14ac:dyDescent="0.25">
      <c r="B508" t="s">
        <v>590</v>
      </c>
      <c r="C508">
        <v>-45</v>
      </c>
      <c r="J508" t="s">
        <v>490</v>
      </c>
      <c r="K508">
        <v>-200.66649999999998</v>
      </c>
      <c r="L508" t="s">
        <v>673</v>
      </c>
      <c r="M508">
        <v>-28</v>
      </c>
      <c r="O508" t="s">
        <v>1476</v>
      </c>
      <c r="P508">
        <v>-8</v>
      </c>
      <c r="Q508" t="s">
        <v>1503</v>
      </c>
      <c r="R508">
        <v>-30</v>
      </c>
      <c r="S508" t="s">
        <v>733</v>
      </c>
      <c r="T508">
        <v>-160</v>
      </c>
      <c r="U508" t="s">
        <v>128</v>
      </c>
      <c r="V508">
        <v>-12</v>
      </c>
      <c r="W508" t="s">
        <v>1868</v>
      </c>
      <c r="X508">
        <v>-4</v>
      </c>
      <c r="Y508" t="s">
        <v>609</v>
      </c>
      <c r="Z508">
        <v>-30.1</v>
      </c>
      <c r="AC508" t="s">
        <v>559</v>
      </c>
      <c r="AD508">
        <v>-26.999999999999996</v>
      </c>
      <c r="AE508" t="s">
        <v>1085</v>
      </c>
      <c r="AF508">
        <v>-1</v>
      </c>
      <c r="AG508" t="s">
        <v>256</v>
      </c>
      <c r="AH508">
        <v>-5</v>
      </c>
      <c r="AI508" t="s">
        <v>481</v>
      </c>
      <c r="AJ508">
        <v>-95</v>
      </c>
      <c r="AK508" t="s">
        <v>1065</v>
      </c>
      <c r="AL508">
        <v>-25</v>
      </c>
      <c r="AM508" t="s">
        <v>883</v>
      </c>
      <c r="AN508">
        <v>-56</v>
      </c>
    </row>
    <row r="509" spans="2:40" x14ac:dyDescent="0.25">
      <c r="B509" t="s">
        <v>443</v>
      </c>
      <c r="C509">
        <v>-101</v>
      </c>
      <c r="J509" t="s">
        <v>409</v>
      </c>
      <c r="K509">
        <v>-700</v>
      </c>
      <c r="L509" t="s">
        <v>1277</v>
      </c>
      <c r="M509">
        <v>-1</v>
      </c>
      <c r="O509" t="s">
        <v>885</v>
      </c>
      <c r="P509">
        <v>-1</v>
      </c>
      <c r="Q509" t="s">
        <v>678</v>
      </c>
      <c r="R509">
        <v>-7.3</v>
      </c>
      <c r="S509" t="s">
        <v>1516</v>
      </c>
      <c r="T509">
        <v>-39</v>
      </c>
      <c r="U509" t="s">
        <v>281</v>
      </c>
      <c r="V509">
        <v>-29</v>
      </c>
      <c r="W509" t="s">
        <v>615</v>
      </c>
      <c r="X509">
        <v>-4</v>
      </c>
      <c r="Y509" t="s">
        <v>478</v>
      </c>
      <c r="Z509">
        <v>-107.76</v>
      </c>
      <c r="AC509" t="s">
        <v>927</v>
      </c>
      <c r="AD509">
        <v>-3</v>
      </c>
      <c r="AE509" t="s">
        <v>617</v>
      </c>
      <c r="AF509">
        <v>-24</v>
      </c>
      <c r="AG509" t="s">
        <v>901</v>
      </c>
      <c r="AH509">
        <v>-1</v>
      </c>
      <c r="AI509" t="s">
        <v>614</v>
      </c>
      <c r="AJ509">
        <v>-2</v>
      </c>
      <c r="AK509" t="s">
        <v>339</v>
      </c>
      <c r="AL509">
        <v>-1</v>
      </c>
      <c r="AM509" t="s">
        <v>2447</v>
      </c>
      <c r="AN509">
        <v>-1</v>
      </c>
    </row>
    <row r="510" spans="2:40" x14ac:dyDescent="0.25">
      <c r="B510" t="s">
        <v>442</v>
      </c>
      <c r="C510">
        <v>-236</v>
      </c>
      <c r="J510" t="s">
        <v>492</v>
      </c>
      <c r="K510">
        <v>-1100</v>
      </c>
      <c r="L510" t="s">
        <v>201</v>
      </c>
      <c r="M510">
        <v>-9</v>
      </c>
      <c r="O510" t="s">
        <v>723</v>
      </c>
      <c r="P510">
        <v>-1</v>
      </c>
      <c r="Q510" t="s">
        <v>85</v>
      </c>
      <c r="R510">
        <v>-200</v>
      </c>
      <c r="S510" t="s">
        <v>835</v>
      </c>
      <c r="T510">
        <v>-26</v>
      </c>
      <c r="U510" t="s">
        <v>127</v>
      </c>
      <c r="V510">
        <v>-1</v>
      </c>
      <c r="W510" t="s">
        <v>1869</v>
      </c>
      <c r="X510">
        <v>-6</v>
      </c>
      <c r="Y510" t="s">
        <v>346</v>
      </c>
      <c r="Z510">
        <v>-18.450000000000003</v>
      </c>
      <c r="AC510" t="s">
        <v>555</v>
      </c>
      <c r="AD510">
        <v>-100</v>
      </c>
      <c r="AE510" t="s">
        <v>145</v>
      </c>
      <c r="AF510">
        <v>-1</v>
      </c>
      <c r="AG510" t="s">
        <v>46</v>
      </c>
      <c r="AH510">
        <v>-21</v>
      </c>
      <c r="AI510" t="s">
        <v>94</v>
      </c>
      <c r="AJ510">
        <v>-6</v>
      </c>
      <c r="AK510" t="s">
        <v>2307</v>
      </c>
      <c r="AL510">
        <v>-8</v>
      </c>
      <c r="AM510" t="s">
        <v>884</v>
      </c>
      <c r="AN510">
        <v>-5</v>
      </c>
    </row>
    <row r="511" spans="2:40" x14ac:dyDescent="0.25">
      <c r="B511" t="s">
        <v>2</v>
      </c>
      <c r="C511">
        <v>-1</v>
      </c>
      <c r="J511" t="s">
        <v>945</v>
      </c>
      <c r="K511">
        <v>-200</v>
      </c>
      <c r="L511" t="s">
        <v>148</v>
      </c>
      <c r="M511">
        <v>-70</v>
      </c>
      <c r="O511" t="s">
        <v>1477</v>
      </c>
      <c r="P511">
        <v>-2</v>
      </c>
      <c r="Q511" t="s">
        <v>1335</v>
      </c>
      <c r="R511">
        <v>-42</v>
      </c>
      <c r="S511" t="s">
        <v>441</v>
      </c>
      <c r="T511">
        <v>-85.327500000000043</v>
      </c>
      <c r="U511" t="s">
        <v>907</v>
      </c>
      <c r="V511">
        <v>-20</v>
      </c>
      <c r="W511" t="s">
        <v>355</v>
      </c>
      <c r="X511">
        <v>-4162.0000000000009</v>
      </c>
      <c r="Y511" t="s">
        <v>679</v>
      </c>
      <c r="Z511">
        <v>-38.864000000000004</v>
      </c>
      <c r="AC511" t="s">
        <v>929</v>
      </c>
      <c r="AD511">
        <v>-1</v>
      </c>
      <c r="AE511" t="s">
        <v>62</v>
      </c>
      <c r="AF511">
        <v>-20</v>
      </c>
      <c r="AG511" t="s">
        <v>137</v>
      </c>
      <c r="AH511">
        <v>-9</v>
      </c>
      <c r="AI511" t="s">
        <v>2235</v>
      </c>
      <c r="AJ511">
        <v>-1</v>
      </c>
      <c r="AK511" t="s">
        <v>231</v>
      </c>
      <c r="AL511">
        <v>-39</v>
      </c>
      <c r="AM511" t="s">
        <v>2448</v>
      </c>
      <c r="AN511">
        <v>-2</v>
      </c>
    </row>
    <row r="512" spans="2:40" x14ac:dyDescent="0.25">
      <c r="B512" t="s">
        <v>739</v>
      </c>
      <c r="C512">
        <v>-10</v>
      </c>
      <c r="J512" t="s">
        <v>744</v>
      </c>
      <c r="K512">
        <v>-200</v>
      </c>
      <c r="L512" t="s">
        <v>262</v>
      </c>
      <c r="M512">
        <v>-42</v>
      </c>
      <c r="O512" t="s">
        <v>886</v>
      </c>
      <c r="P512">
        <v>-15</v>
      </c>
      <c r="Q512" t="s">
        <v>128</v>
      </c>
      <c r="R512">
        <v>-5</v>
      </c>
      <c r="S512" t="s">
        <v>341</v>
      </c>
      <c r="T512">
        <v>-317.99919999999992</v>
      </c>
      <c r="U512" t="s">
        <v>290</v>
      </c>
      <c r="V512">
        <v>-14</v>
      </c>
      <c r="W512" t="s">
        <v>384</v>
      </c>
      <c r="X512">
        <v>-72</v>
      </c>
      <c r="Y512" t="s">
        <v>1938</v>
      </c>
      <c r="Z512">
        <v>-12</v>
      </c>
      <c r="AC512" t="s">
        <v>586</v>
      </c>
      <c r="AD512">
        <v>-1900</v>
      </c>
      <c r="AE512" t="s">
        <v>2119</v>
      </c>
      <c r="AF512">
        <v>-2</v>
      </c>
      <c r="AG512" t="s">
        <v>340</v>
      </c>
      <c r="AH512">
        <v>-66</v>
      </c>
      <c r="AI512" t="s">
        <v>2236</v>
      </c>
      <c r="AJ512">
        <v>-1</v>
      </c>
      <c r="AK512" t="s">
        <v>24</v>
      </c>
      <c r="AL512">
        <v>-2</v>
      </c>
      <c r="AM512" t="s">
        <v>653</v>
      </c>
      <c r="AN512">
        <v>-2</v>
      </c>
    </row>
    <row r="513" spans="2:40" x14ac:dyDescent="0.25">
      <c r="B513" t="s">
        <v>505</v>
      </c>
      <c r="C513">
        <v>-1.58</v>
      </c>
      <c r="J513" t="s">
        <v>622</v>
      </c>
      <c r="K513">
        <v>-200</v>
      </c>
      <c r="L513" t="s">
        <v>263</v>
      </c>
      <c r="M513">
        <v>-16</v>
      </c>
      <c r="O513" t="s">
        <v>56</v>
      </c>
      <c r="P513">
        <v>-9</v>
      </c>
      <c r="Q513" t="s">
        <v>281</v>
      </c>
      <c r="R513">
        <v>-27</v>
      </c>
      <c r="S513" t="s">
        <v>590</v>
      </c>
      <c r="T513">
        <v>-26.99979999999999</v>
      </c>
      <c r="U513" t="s">
        <v>288</v>
      </c>
      <c r="V513">
        <v>-24</v>
      </c>
      <c r="W513" t="s">
        <v>733</v>
      </c>
      <c r="X513">
        <v>-96</v>
      </c>
      <c r="Y513" t="s">
        <v>268</v>
      </c>
      <c r="Z513">
        <v>-11.499999999999996</v>
      </c>
      <c r="AC513" t="s">
        <v>163</v>
      </c>
      <c r="AD513">
        <v>-5</v>
      </c>
      <c r="AE513" t="s">
        <v>282</v>
      </c>
      <c r="AF513">
        <v>-8</v>
      </c>
      <c r="AG513" t="s">
        <v>903</v>
      </c>
      <c r="AH513">
        <v>-1</v>
      </c>
      <c r="AI513" t="s">
        <v>325</v>
      </c>
      <c r="AJ513">
        <v>-30</v>
      </c>
      <c r="AK513" t="s">
        <v>158</v>
      </c>
      <c r="AL513">
        <v>-12</v>
      </c>
      <c r="AM513" t="s">
        <v>2449</v>
      </c>
      <c r="AN513">
        <v>-1</v>
      </c>
    </row>
    <row r="514" spans="2:40" x14ac:dyDescent="0.25">
      <c r="B514" t="s">
        <v>156</v>
      </c>
      <c r="C514">
        <v>-7.8639999999999972</v>
      </c>
      <c r="J514" t="s">
        <v>491</v>
      </c>
      <c r="K514">
        <v>-80</v>
      </c>
      <c r="L514" t="s">
        <v>261</v>
      </c>
      <c r="M514">
        <v>-26</v>
      </c>
      <c r="O514" t="s">
        <v>1478</v>
      </c>
      <c r="P514">
        <v>-30</v>
      </c>
      <c r="Q514" t="s">
        <v>127</v>
      </c>
      <c r="R514">
        <v>-1</v>
      </c>
      <c r="S514" t="s">
        <v>443</v>
      </c>
      <c r="T514">
        <v>-53.999000000000002</v>
      </c>
      <c r="U514" t="s">
        <v>47</v>
      </c>
      <c r="V514">
        <v>-2</v>
      </c>
      <c r="W514" t="s">
        <v>1622</v>
      </c>
      <c r="X514">
        <v>-0.14660000000000001</v>
      </c>
      <c r="Y514" t="s">
        <v>452</v>
      </c>
      <c r="Z514">
        <v>-0.2</v>
      </c>
      <c r="AC514" t="s">
        <v>1354</v>
      </c>
      <c r="AD514">
        <v>-1</v>
      </c>
      <c r="AE514" t="s">
        <v>77</v>
      </c>
      <c r="AF514">
        <v>-16</v>
      </c>
      <c r="AG514" t="s">
        <v>753</v>
      </c>
      <c r="AH514">
        <v>-9</v>
      </c>
      <c r="AI514" t="s">
        <v>726</v>
      </c>
      <c r="AJ514">
        <v>-21</v>
      </c>
      <c r="AK514" t="s">
        <v>831</v>
      </c>
      <c r="AL514">
        <v>-1</v>
      </c>
      <c r="AM514" t="s">
        <v>242</v>
      </c>
      <c r="AN514">
        <v>-5</v>
      </c>
    </row>
    <row r="515" spans="2:40" x14ac:dyDescent="0.25">
      <c r="B515" t="s">
        <v>155</v>
      </c>
      <c r="C515">
        <v>-87.000200000000007</v>
      </c>
      <c r="J515" t="s">
        <v>406</v>
      </c>
      <c r="K515">
        <v>-397</v>
      </c>
      <c r="L515" t="s">
        <v>1044</v>
      </c>
      <c r="M515">
        <v>-22</v>
      </c>
      <c r="O515" t="s">
        <v>1275</v>
      </c>
      <c r="P515">
        <v>-20</v>
      </c>
      <c r="Q515" t="s">
        <v>907</v>
      </c>
      <c r="R515">
        <v>-42</v>
      </c>
      <c r="S515" t="s">
        <v>442</v>
      </c>
      <c r="T515">
        <v>-157.99980000000005</v>
      </c>
      <c r="U515" t="s">
        <v>1763</v>
      </c>
      <c r="V515">
        <v>-1</v>
      </c>
      <c r="W515" t="s">
        <v>441</v>
      </c>
      <c r="X515">
        <v>-149.92999999999975</v>
      </c>
      <c r="Y515" t="s">
        <v>691</v>
      </c>
      <c r="Z515">
        <v>-0.3</v>
      </c>
      <c r="AC515" t="s">
        <v>930</v>
      </c>
      <c r="AD515">
        <v>-2</v>
      </c>
      <c r="AE515" t="s">
        <v>374</v>
      </c>
      <c r="AF515">
        <v>-2</v>
      </c>
      <c r="AG515" t="s">
        <v>1079</v>
      </c>
      <c r="AH515">
        <v>-50</v>
      </c>
      <c r="AI515" t="s">
        <v>193</v>
      </c>
      <c r="AJ515">
        <v>-17</v>
      </c>
      <c r="AK515" t="s">
        <v>898</v>
      </c>
      <c r="AL515">
        <v>-9</v>
      </c>
      <c r="AM515" t="s">
        <v>1607</v>
      </c>
      <c r="AN515">
        <v>-9</v>
      </c>
    </row>
    <row r="516" spans="2:40" x14ac:dyDescent="0.25">
      <c r="B516" t="s">
        <v>157</v>
      </c>
      <c r="C516">
        <v>-28.502099999999999</v>
      </c>
      <c r="J516" t="s">
        <v>947</v>
      </c>
      <c r="K516">
        <v>-3</v>
      </c>
      <c r="L516" t="s">
        <v>151</v>
      </c>
      <c r="M516">
        <v>-30</v>
      </c>
      <c r="O516" t="s">
        <v>1479</v>
      </c>
      <c r="P516">
        <v>-8</v>
      </c>
      <c r="Q516" t="s">
        <v>290</v>
      </c>
      <c r="R516">
        <v>-14</v>
      </c>
      <c r="S516" t="s">
        <v>1694</v>
      </c>
      <c r="T516">
        <v>-53.998999999999995</v>
      </c>
      <c r="U516" t="s">
        <v>1085</v>
      </c>
      <c r="V516">
        <v>-6</v>
      </c>
      <c r="W516" t="s">
        <v>341</v>
      </c>
      <c r="X516">
        <v>-341.99999999999989</v>
      </c>
      <c r="Y516" t="s">
        <v>638</v>
      </c>
      <c r="Z516">
        <v>-38.5</v>
      </c>
      <c r="AC516" t="s">
        <v>89</v>
      </c>
      <c r="AD516">
        <v>-9.0000000000000036</v>
      </c>
      <c r="AE516" t="s">
        <v>2120</v>
      </c>
      <c r="AF516">
        <v>-1</v>
      </c>
      <c r="AG516" t="s">
        <v>1080</v>
      </c>
      <c r="AH516">
        <v>-120</v>
      </c>
      <c r="AI516" t="s">
        <v>194</v>
      </c>
      <c r="AJ516">
        <v>-30</v>
      </c>
      <c r="AK516" t="s">
        <v>675</v>
      </c>
      <c r="AL516">
        <v>-1</v>
      </c>
      <c r="AM516" t="s">
        <v>1476</v>
      </c>
      <c r="AN516">
        <v>-9</v>
      </c>
    </row>
    <row r="517" spans="2:40" x14ac:dyDescent="0.25">
      <c r="B517" t="s">
        <v>604</v>
      </c>
      <c r="C517">
        <v>-0.15</v>
      </c>
      <c r="J517" t="s">
        <v>405</v>
      </c>
      <c r="K517">
        <v>-398</v>
      </c>
      <c r="L517" t="s">
        <v>258</v>
      </c>
      <c r="M517">
        <v>-10</v>
      </c>
      <c r="O517" t="s">
        <v>75</v>
      </c>
      <c r="P517">
        <v>-126</v>
      </c>
      <c r="Q517" t="s">
        <v>288</v>
      </c>
      <c r="R517">
        <v>-32</v>
      </c>
      <c r="S517" t="s">
        <v>1695</v>
      </c>
      <c r="T517">
        <v>-19.999799999999976</v>
      </c>
      <c r="U517" t="s">
        <v>62</v>
      </c>
      <c r="V517">
        <v>-10</v>
      </c>
      <c r="W517" t="s">
        <v>590</v>
      </c>
      <c r="X517">
        <v>-35.539999999999985</v>
      </c>
      <c r="Y517" t="s">
        <v>571</v>
      </c>
      <c r="Z517">
        <v>-9.1199999999999992</v>
      </c>
      <c r="AC517" t="s">
        <v>735</v>
      </c>
      <c r="AD517">
        <v>-500</v>
      </c>
      <c r="AE517" t="s">
        <v>63</v>
      </c>
      <c r="AF517">
        <v>-24</v>
      </c>
      <c r="AG517" t="s">
        <v>1081</v>
      </c>
      <c r="AH517">
        <v>-120</v>
      </c>
      <c r="AI517" t="s">
        <v>1295</v>
      </c>
      <c r="AJ517">
        <v>-6</v>
      </c>
      <c r="AK517" t="s">
        <v>292</v>
      </c>
      <c r="AL517">
        <v>-2</v>
      </c>
      <c r="AM517" t="s">
        <v>885</v>
      </c>
      <c r="AN517">
        <v>-1</v>
      </c>
    </row>
    <row r="518" spans="2:40" x14ac:dyDescent="0.25">
      <c r="B518" t="s">
        <v>565</v>
      </c>
      <c r="C518">
        <v>-1.1499999999999999</v>
      </c>
      <c r="J518" t="s">
        <v>623</v>
      </c>
      <c r="K518">
        <v>-140</v>
      </c>
      <c r="L518" t="s">
        <v>1278</v>
      </c>
      <c r="M518">
        <v>-3</v>
      </c>
      <c r="O518" t="s">
        <v>1041</v>
      </c>
      <c r="P518">
        <v>-5</v>
      </c>
      <c r="Q518" t="s">
        <v>1085</v>
      </c>
      <c r="R518">
        <v>-12</v>
      </c>
      <c r="S518" t="s">
        <v>739</v>
      </c>
      <c r="T518">
        <v>-8</v>
      </c>
      <c r="U518" t="s">
        <v>282</v>
      </c>
      <c r="V518">
        <v>-14</v>
      </c>
      <c r="W518" t="s">
        <v>443</v>
      </c>
      <c r="X518">
        <v>-53.180000000000035</v>
      </c>
      <c r="Y518" t="s">
        <v>763</v>
      </c>
      <c r="Z518">
        <v>-8</v>
      </c>
      <c r="AC518" t="s">
        <v>415</v>
      </c>
      <c r="AD518">
        <v>-13.000000000000002</v>
      </c>
      <c r="AE518" t="s">
        <v>195</v>
      </c>
      <c r="AF518">
        <v>-16</v>
      </c>
      <c r="AG518" t="s">
        <v>1082</v>
      </c>
      <c r="AH518">
        <v>-100</v>
      </c>
      <c r="AI518" t="s">
        <v>220</v>
      </c>
      <c r="AJ518">
        <v>-7</v>
      </c>
      <c r="AK518" t="s">
        <v>227</v>
      </c>
      <c r="AL518">
        <v>-16</v>
      </c>
      <c r="AM518" t="s">
        <v>645</v>
      </c>
      <c r="AN518">
        <v>-8</v>
      </c>
    </row>
    <row r="519" spans="2:40" x14ac:dyDescent="0.25">
      <c r="B519" t="s">
        <v>480</v>
      </c>
      <c r="C519">
        <v>-1</v>
      </c>
      <c r="J519" t="s">
        <v>1096</v>
      </c>
      <c r="K519">
        <v>-26</v>
      </c>
      <c r="L519" t="s">
        <v>1279</v>
      </c>
      <c r="M519">
        <v>-4</v>
      </c>
      <c r="O519" t="s">
        <v>57</v>
      </c>
      <c r="P519">
        <v>-10</v>
      </c>
      <c r="Q519" t="s">
        <v>62</v>
      </c>
      <c r="R519">
        <v>-20</v>
      </c>
      <c r="S519" t="s">
        <v>918</v>
      </c>
      <c r="T519">
        <v>-45.000000000000043</v>
      </c>
      <c r="U519" t="s">
        <v>77</v>
      </c>
      <c r="V519">
        <v>-8</v>
      </c>
      <c r="W519" t="s">
        <v>442</v>
      </c>
      <c r="X519">
        <v>-90.01000000000009</v>
      </c>
      <c r="Y519" t="s">
        <v>1939</v>
      </c>
      <c r="Z519">
        <v>-1</v>
      </c>
      <c r="AC519" t="s">
        <v>103</v>
      </c>
      <c r="AD519">
        <v>-72</v>
      </c>
      <c r="AE519" t="s">
        <v>727</v>
      </c>
      <c r="AF519">
        <v>-16</v>
      </c>
      <c r="AG519" t="s">
        <v>1692</v>
      </c>
      <c r="AH519">
        <v>-200</v>
      </c>
      <c r="AI519" t="s">
        <v>79</v>
      </c>
      <c r="AJ519">
        <v>-1367</v>
      </c>
      <c r="AK519" t="s">
        <v>648</v>
      </c>
      <c r="AL519">
        <v>-36</v>
      </c>
      <c r="AM519" t="s">
        <v>1477</v>
      </c>
      <c r="AN519">
        <v>-13</v>
      </c>
    </row>
    <row r="520" spans="2:40" x14ac:dyDescent="0.25">
      <c r="B520" t="s">
        <v>371</v>
      </c>
      <c r="C520">
        <v>-39</v>
      </c>
      <c r="J520" t="s">
        <v>949</v>
      </c>
      <c r="K520">
        <v>-16</v>
      </c>
      <c r="L520" t="s">
        <v>1045</v>
      </c>
      <c r="M520">
        <v>-4</v>
      </c>
      <c r="O520" t="s">
        <v>58</v>
      </c>
      <c r="P520">
        <v>-15</v>
      </c>
      <c r="Q520" t="s">
        <v>282</v>
      </c>
      <c r="R520">
        <v>-16</v>
      </c>
      <c r="S520" t="s">
        <v>1696</v>
      </c>
      <c r="T520">
        <v>-20</v>
      </c>
      <c r="U520" t="s">
        <v>374</v>
      </c>
      <c r="V520">
        <v>-9</v>
      </c>
      <c r="W520" t="s">
        <v>1694</v>
      </c>
      <c r="X520">
        <v>-26.999999999999975</v>
      </c>
      <c r="Y520" t="s">
        <v>577</v>
      </c>
      <c r="Z520">
        <v>-44</v>
      </c>
      <c r="AC520" t="s">
        <v>587</v>
      </c>
      <c r="AD520">
        <v>-100</v>
      </c>
      <c r="AE520" t="s">
        <v>728</v>
      </c>
      <c r="AF520">
        <v>-8</v>
      </c>
      <c r="AG520" t="s">
        <v>113</v>
      </c>
      <c r="AH520">
        <v>-81</v>
      </c>
      <c r="AI520" t="s">
        <v>383</v>
      </c>
      <c r="AJ520">
        <v>-80</v>
      </c>
      <c r="AK520" t="s">
        <v>388</v>
      </c>
      <c r="AL520">
        <v>-12</v>
      </c>
      <c r="AM520" t="s">
        <v>2450</v>
      </c>
      <c r="AN520">
        <v>-9</v>
      </c>
    </row>
    <row r="521" spans="2:40" x14ac:dyDescent="0.25">
      <c r="B521" t="s">
        <v>343</v>
      </c>
      <c r="C521">
        <v>-39.419999999999995</v>
      </c>
      <c r="J521" t="s">
        <v>505</v>
      </c>
      <c r="K521">
        <v>-1</v>
      </c>
      <c r="L521" t="s">
        <v>1280</v>
      </c>
      <c r="M521">
        <v>-4</v>
      </c>
      <c r="O521" t="s">
        <v>1480</v>
      </c>
      <c r="P521">
        <v>-1</v>
      </c>
      <c r="Q521" t="s">
        <v>77</v>
      </c>
      <c r="R521">
        <v>-42</v>
      </c>
      <c r="S521" t="s">
        <v>1697</v>
      </c>
      <c r="T521">
        <v>-20</v>
      </c>
      <c r="U521" t="s">
        <v>63</v>
      </c>
      <c r="V521">
        <v>-4</v>
      </c>
      <c r="W521" t="s">
        <v>1695</v>
      </c>
      <c r="X521">
        <v>-5.0332000000000008</v>
      </c>
      <c r="Y521" t="s">
        <v>572</v>
      </c>
      <c r="Z521">
        <v>-4</v>
      </c>
      <c r="AC521" t="s">
        <v>597</v>
      </c>
      <c r="AD521">
        <v>-2</v>
      </c>
      <c r="AE521" t="s">
        <v>355</v>
      </c>
      <c r="AF521">
        <v>-800</v>
      </c>
      <c r="AG521" t="s">
        <v>1760</v>
      </c>
      <c r="AH521">
        <v>-4</v>
      </c>
      <c r="AI521" t="s">
        <v>619</v>
      </c>
      <c r="AJ521">
        <v>-1</v>
      </c>
      <c r="AK521" t="s">
        <v>247</v>
      </c>
      <c r="AL521">
        <v>-3</v>
      </c>
      <c r="AM521" t="s">
        <v>56</v>
      </c>
      <c r="AN521">
        <v>-15</v>
      </c>
    </row>
    <row r="522" spans="2:40" x14ac:dyDescent="0.25">
      <c r="B522" t="s">
        <v>419</v>
      </c>
      <c r="C522">
        <v>-65.5</v>
      </c>
      <c r="J522" t="s">
        <v>156</v>
      </c>
      <c r="K522">
        <v>-4.7712999999999992</v>
      </c>
      <c r="L522" t="s">
        <v>1281</v>
      </c>
      <c r="M522">
        <v>-4</v>
      </c>
      <c r="O522" t="s">
        <v>216</v>
      </c>
      <c r="P522">
        <v>-6</v>
      </c>
      <c r="Q522" t="s">
        <v>1620</v>
      </c>
      <c r="R522">
        <v>-21</v>
      </c>
      <c r="S522" t="s">
        <v>1698</v>
      </c>
      <c r="T522">
        <v>-20</v>
      </c>
      <c r="U522" t="s">
        <v>195</v>
      </c>
      <c r="V522">
        <v>-36</v>
      </c>
      <c r="W522" t="s">
        <v>739</v>
      </c>
      <c r="X522">
        <v>-11</v>
      </c>
      <c r="Y522" t="s">
        <v>503</v>
      </c>
      <c r="Z522">
        <v>-6.12</v>
      </c>
      <c r="AC522" t="s">
        <v>1090</v>
      </c>
      <c r="AD522">
        <v>-2</v>
      </c>
      <c r="AE522" t="s">
        <v>384</v>
      </c>
      <c r="AF522">
        <v>-144</v>
      </c>
      <c r="AG522" t="s">
        <v>678</v>
      </c>
      <c r="AH522">
        <v>-22.900000000000002</v>
      </c>
      <c r="AI522" t="s">
        <v>1296</v>
      </c>
      <c r="AJ522">
        <v>-4</v>
      </c>
      <c r="AK522" t="s">
        <v>1691</v>
      </c>
      <c r="AL522">
        <v>-1</v>
      </c>
      <c r="AM522" t="s">
        <v>75</v>
      </c>
      <c r="AN522">
        <v>-6</v>
      </c>
    </row>
    <row r="523" spans="2:40" x14ac:dyDescent="0.25">
      <c r="B523" t="s">
        <v>428</v>
      </c>
      <c r="C523">
        <v>-1</v>
      </c>
      <c r="J523" t="s">
        <v>155</v>
      </c>
      <c r="K523">
        <v>-3</v>
      </c>
      <c r="L523" t="s">
        <v>1282</v>
      </c>
      <c r="M523">
        <v>-12</v>
      </c>
      <c r="O523" t="s">
        <v>1276</v>
      </c>
      <c r="P523">
        <v>-30</v>
      </c>
      <c r="Q523" t="s">
        <v>195</v>
      </c>
      <c r="R523">
        <v>-39</v>
      </c>
      <c r="S523" t="s">
        <v>1699</v>
      </c>
      <c r="T523">
        <v>-20</v>
      </c>
      <c r="U523" t="s">
        <v>475</v>
      </c>
      <c r="V523">
        <v>-10</v>
      </c>
      <c r="W523" t="s">
        <v>918</v>
      </c>
      <c r="X523">
        <v>-50.999999999999986</v>
      </c>
      <c r="Y523" t="s">
        <v>1799</v>
      </c>
      <c r="Z523">
        <v>-2</v>
      </c>
      <c r="AC523" t="s">
        <v>1091</v>
      </c>
      <c r="AD523">
        <v>-3</v>
      </c>
      <c r="AE523" t="s">
        <v>733</v>
      </c>
      <c r="AF523">
        <v>-192</v>
      </c>
      <c r="AG523" t="s">
        <v>2019</v>
      </c>
      <c r="AH523">
        <v>-80</v>
      </c>
      <c r="AI523" t="s">
        <v>416</v>
      </c>
      <c r="AJ523">
        <v>-5</v>
      </c>
      <c r="AK523" t="s">
        <v>476</v>
      </c>
      <c r="AL523">
        <v>-3</v>
      </c>
      <c r="AM523" t="s">
        <v>2451</v>
      </c>
      <c r="AN523">
        <v>-5.8</v>
      </c>
    </row>
    <row r="524" spans="2:40" x14ac:dyDescent="0.25">
      <c r="B524" t="s">
        <v>430</v>
      </c>
      <c r="C524">
        <v>-4</v>
      </c>
      <c r="J524" t="s">
        <v>157</v>
      </c>
      <c r="K524">
        <v>-8.8191999999999986</v>
      </c>
      <c r="L524" t="s">
        <v>1283</v>
      </c>
      <c r="M524">
        <v>-12</v>
      </c>
      <c r="O524" t="s">
        <v>673</v>
      </c>
      <c r="P524">
        <v>-13</v>
      </c>
      <c r="Q524" t="s">
        <v>1621</v>
      </c>
      <c r="R524">
        <v>-7</v>
      </c>
      <c r="S524" t="s">
        <v>1700</v>
      </c>
      <c r="T524">
        <v>-20</v>
      </c>
      <c r="U524" t="s">
        <v>727</v>
      </c>
      <c r="V524">
        <v>-14</v>
      </c>
      <c r="W524" t="s">
        <v>629</v>
      </c>
      <c r="X524">
        <v>-14</v>
      </c>
      <c r="Y524" t="s">
        <v>574</v>
      </c>
      <c r="Z524">
        <v>-9.5</v>
      </c>
      <c r="AC524" t="s">
        <v>661</v>
      </c>
      <c r="AD524">
        <v>-26.000000000000007</v>
      </c>
      <c r="AE524" t="s">
        <v>2121</v>
      </c>
      <c r="AF524">
        <v>-12</v>
      </c>
      <c r="AG524" t="s">
        <v>1762</v>
      </c>
      <c r="AH524">
        <v>-6</v>
      </c>
      <c r="AI524" t="s">
        <v>671</v>
      </c>
      <c r="AJ524">
        <v>-4</v>
      </c>
      <c r="AK524" t="s">
        <v>717</v>
      </c>
      <c r="AL524">
        <v>-11</v>
      </c>
      <c r="AM524" t="s">
        <v>57</v>
      </c>
      <c r="AN524">
        <v>-21</v>
      </c>
    </row>
    <row r="525" spans="2:40" x14ac:dyDescent="0.25">
      <c r="B525" t="s">
        <v>432</v>
      </c>
      <c r="C525">
        <v>-4</v>
      </c>
      <c r="J525" t="s">
        <v>604</v>
      </c>
      <c r="K525">
        <v>-0.29899999999999999</v>
      </c>
      <c r="L525" t="s">
        <v>1284</v>
      </c>
      <c r="M525">
        <v>-12</v>
      </c>
      <c r="O525" t="s">
        <v>1481</v>
      </c>
      <c r="P525">
        <v>-2</v>
      </c>
      <c r="Q525" t="s">
        <v>727</v>
      </c>
      <c r="R525">
        <v>-8</v>
      </c>
      <c r="S525" t="s">
        <v>629</v>
      </c>
      <c r="T525">
        <v>-20</v>
      </c>
      <c r="U525" t="s">
        <v>728</v>
      </c>
      <c r="V525">
        <v>-1</v>
      </c>
      <c r="W525" t="s">
        <v>630</v>
      </c>
      <c r="X525">
        <v>-4</v>
      </c>
      <c r="Y525" t="s">
        <v>504</v>
      </c>
      <c r="Z525">
        <v>-5</v>
      </c>
      <c r="AC525" t="s">
        <v>660</v>
      </c>
      <c r="AD525">
        <v>-10</v>
      </c>
      <c r="AE525" t="s">
        <v>2122</v>
      </c>
      <c r="AF525">
        <v>-4</v>
      </c>
      <c r="AG525" t="s">
        <v>1863</v>
      </c>
      <c r="AH525">
        <v>-1</v>
      </c>
      <c r="AI525" t="s">
        <v>672</v>
      </c>
      <c r="AJ525">
        <v>-4</v>
      </c>
      <c r="AK525" t="s">
        <v>716</v>
      </c>
      <c r="AL525">
        <v>-6</v>
      </c>
      <c r="AM525" t="s">
        <v>58</v>
      </c>
      <c r="AN525">
        <v>-27</v>
      </c>
    </row>
    <row r="526" spans="2:40" x14ac:dyDescent="0.25">
      <c r="B526" t="s">
        <v>434</v>
      </c>
      <c r="C526">
        <v>-2</v>
      </c>
      <c r="J526" t="s">
        <v>1097</v>
      </c>
      <c r="K526">
        <v>-3.5111999999999992</v>
      </c>
      <c r="L526" t="s">
        <v>1285</v>
      </c>
      <c r="M526">
        <v>-12</v>
      </c>
      <c r="O526" t="s">
        <v>1482</v>
      </c>
      <c r="P526">
        <v>-5</v>
      </c>
      <c r="Q526" t="s">
        <v>915</v>
      </c>
      <c r="R526">
        <v>-2</v>
      </c>
      <c r="S526" t="s">
        <v>630</v>
      </c>
      <c r="T526">
        <v>-42.000000000000021</v>
      </c>
      <c r="U526" t="s">
        <v>355</v>
      </c>
      <c r="V526">
        <v>-3599.9999999999995</v>
      </c>
      <c r="W526" t="s">
        <v>641</v>
      </c>
      <c r="X526">
        <v>-21</v>
      </c>
      <c r="Y526" t="s">
        <v>840</v>
      </c>
      <c r="Z526">
        <v>-0.4</v>
      </c>
      <c r="AC526" t="s">
        <v>72</v>
      </c>
      <c r="AD526">
        <v>-8</v>
      </c>
      <c r="AE526" t="s">
        <v>2123</v>
      </c>
      <c r="AF526">
        <v>-4</v>
      </c>
      <c r="AG526" t="s">
        <v>1864</v>
      </c>
      <c r="AH526">
        <v>-1</v>
      </c>
      <c r="AI526" t="s">
        <v>447</v>
      </c>
      <c r="AJ526">
        <v>-3</v>
      </c>
      <c r="AK526" t="s">
        <v>2308</v>
      </c>
      <c r="AL526">
        <v>-1</v>
      </c>
      <c r="AM526" t="s">
        <v>2097</v>
      </c>
      <c r="AN526">
        <v>-2</v>
      </c>
    </row>
    <row r="527" spans="2:40" x14ac:dyDescent="0.25">
      <c r="B527" t="s">
        <v>610</v>
      </c>
      <c r="C527">
        <v>-4</v>
      </c>
      <c r="J527" t="s">
        <v>1098</v>
      </c>
      <c r="K527">
        <v>-84</v>
      </c>
      <c r="L527" t="s">
        <v>1286</v>
      </c>
      <c r="M527">
        <v>-80</v>
      </c>
      <c r="O527" t="s">
        <v>201</v>
      </c>
      <c r="P527">
        <v>-13</v>
      </c>
      <c r="Q527" t="s">
        <v>615</v>
      </c>
      <c r="R527">
        <v>-8</v>
      </c>
      <c r="S527" t="s">
        <v>1344</v>
      </c>
      <c r="T527">
        <v>-5</v>
      </c>
      <c r="U527" t="s">
        <v>384</v>
      </c>
      <c r="V527">
        <v>-216</v>
      </c>
      <c r="W527" t="s">
        <v>640</v>
      </c>
      <c r="X527">
        <v>-13.999999999999998</v>
      </c>
      <c r="Y527" t="s">
        <v>108</v>
      </c>
      <c r="Z527">
        <v>-26</v>
      </c>
      <c r="AC527" t="s">
        <v>936</v>
      </c>
      <c r="AD527">
        <v>-20</v>
      </c>
      <c r="AE527" t="s">
        <v>1516</v>
      </c>
      <c r="AF527">
        <v>-26</v>
      </c>
      <c r="AG527" t="s">
        <v>904</v>
      </c>
      <c r="AH527">
        <v>-2</v>
      </c>
      <c r="AI527" t="s">
        <v>639</v>
      </c>
      <c r="AJ527">
        <v>-1.9999999999999998</v>
      </c>
      <c r="AK527" t="s">
        <v>22</v>
      </c>
      <c r="AL527">
        <v>-1</v>
      </c>
      <c r="AM527" t="s">
        <v>2452</v>
      </c>
      <c r="AN527">
        <v>-1</v>
      </c>
    </row>
    <row r="528" spans="2:40" x14ac:dyDescent="0.25">
      <c r="B528" t="s">
        <v>431</v>
      </c>
      <c r="C528">
        <v>-7</v>
      </c>
      <c r="J528" t="s">
        <v>1099</v>
      </c>
      <c r="K528">
        <v>-22</v>
      </c>
      <c r="L528" t="s">
        <v>1287</v>
      </c>
      <c r="M528">
        <v>-80</v>
      </c>
      <c r="O528" t="s">
        <v>148</v>
      </c>
      <c r="P528">
        <v>-40</v>
      </c>
      <c r="Q528" t="s">
        <v>355</v>
      </c>
      <c r="R528">
        <v>-3138.9998999999998</v>
      </c>
      <c r="S528" t="s">
        <v>641</v>
      </c>
      <c r="T528">
        <v>-14.999999999999995</v>
      </c>
      <c r="U528" t="s">
        <v>733</v>
      </c>
      <c r="V528">
        <v>-320</v>
      </c>
      <c r="W528" t="s">
        <v>650</v>
      </c>
      <c r="X528">
        <v>-22.000000000000007</v>
      </c>
      <c r="Y528" t="s">
        <v>0</v>
      </c>
      <c r="Z528">
        <v>-9</v>
      </c>
      <c r="AC528" t="s">
        <v>937</v>
      </c>
      <c r="AD528">
        <v>-20</v>
      </c>
      <c r="AE528" t="s">
        <v>2124</v>
      </c>
      <c r="AF528">
        <v>-5</v>
      </c>
      <c r="AG528" t="s">
        <v>769</v>
      </c>
      <c r="AH528">
        <v>-5</v>
      </c>
      <c r="AI528" t="s">
        <v>446</v>
      </c>
      <c r="AJ528">
        <v>-6</v>
      </c>
      <c r="AK528" t="s">
        <v>76</v>
      </c>
      <c r="AL528">
        <v>-6</v>
      </c>
      <c r="AM528" t="s">
        <v>2453</v>
      </c>
      <c r="AN528">
        <v>-1</v>
      </c>
    </row>
    <row r="529" spans="2:40" x14ac:dyDescent="0.25">
      <c r="B529" t="s">
        <v>433</v>
      </c>
      <c r="C529">
        <v>-4</v>
      </c>
      <c r="J529" t="s">
        <v>371</v>
      </c>
      <c r="K529">
        <v>-1</v>
      </c>
      <c r="L529" t="s">
        <v>139</v>
      </c>
      <c r="M529">
        <v>-4</v>
      </c>
      <c r="O529" t="s">
        <v>262</v>
      </c>
      <c r="P529">
        <v>-33</v>
      </c>
      <c r="Q529" t="s">
        <v>384</v>
      </c>
      <c r="R529">
        <v>-12</v>
      </c>
      <c r="S529" t="s">
        <v>738</v>
      </c>
      <c r="T529">
        <v>-15</v>
      </c>
      <c r="U529" t="s">
        <v>1516</v>
      </c>
      <c r="V529">
        <v>-13</v>
      </c>
      <c r="W529" t="s">
        <v>114</v>
      </c>
      <c r="X529">
        <v>-1</v>
      </c>
      <c r="Y529" t="s">
        <v>1640</v>
      </c>
      <c r="Z529">
        <v>-1</v>
      </c>
      <c r="AC529" t="s">
        <v>109</v>
      </c>
      <c r="AD529">
        <v>-2</v>
      </c>
      <c r="AE529" t="s">
        <v>1342</v>
      </c>
      <c r="AF529">
        <v>-15</v>
      </c>
      <c r="AG529" t="s">
        <v>128</v>
      </c>
      <c r="AH529">
        <v>-19</v>
      </c>
      <c r="AI529" t="s">
        <v>685</v>
      </c>
      <c r="AJ529">
        <v>-2</v>
      </c>
      <c r="AK529" t="s">
        <v>1322</v>
      </c>
      <c r="AL529">
        <v>-15</v>
      </c>
      <c r="AM529" t="s">
        <v>2454</v>
      </c>
      <c r="AN529">
        <v>-5</v>
      </c>
    </row>
    <row r="530" spans="2:40" x14ac:dyDescent="0.25">
      <c r="B530" t="s">
        <v>342</v>
      </c>
      <c r="C530">
        <v>-21</v>
      </c>
      <c r="J530" t="s">
        <v>343</v>
      </c>
      <c r="K530">
        <v>-6.52</v>
      </c>
      <c r="L530" t="s">
        <v>1288</v>
      </c>
      <c r="M530">
        <v>-3</v>
      </c>
      <c r="O530" t="s">
        <v>263</v>
      </c>
      <c r="P530">
        <v>-22</v>
      </c>
      <c r="Q530" t="s">
        <v>733</v>
      </c>
      <c r="R530">
        <v>-32</v>
      </c>
      <c r="S530" t="s">
        <v>640</v>
      </c>
      <c r="T530">
        <v>-24.999999999999996</v>
      </c>
      <c r="U530" t="s">
        <v>1764</v>
      </c>
      <c r="V530">
        <v>-6</v>
      </c>
      <c r="W530" t="s">
        <v>584</v>
      </c>
      <c r="X530">
        <v>-12</v>
      </c>
      <c r="Y530" t="s">
        <v>611</v>
      </c>
      <c r="Z530">
        <v>-10.139999999999999</v>
      </c>
      <c r="AC530" t="s">
        <v>102</v>
      </c>
      <c r="AD530">
        <v>-3</v>
      </c>
      <c r="AE530" t="s">
        <v>1343</v>
      </c>
      <c r="AF530">
        <v>-30</v>
      </c>
      <c r="AG530" t="s">
        <v>281</v>
      </c>
      <c r="AH530">
        <v>-38</v>
      </c>
      <c r="AI530" t="s">
        <v>686</v>
      </c>
      <c r="AJ530">
        <v>-4</v>
      </c>
      <c r="AK530" t="s">
        <v>291</v>
      </c>
      <c r="AL530">
        <v>-1</v>
      </c>
      <c r="AM530" t="s">
        <v>2455</v>
      </c>
      <c r="AN530">
        <v>-1</v>
      </c>
    </row>
    <row r="531" spans="2:40" x14ac:dyDescent="0.25">
      <c r="B531" t="s">
        <v>436</v>
      </c>
      <c r="C531">
        <v>-40</v>
      </c>
      <c r="J531" t="s">
        <v>419</v>
      </c>
      <c r="K531">
        <v>-11</v>
      </c>
      <c r="L531" t="s">
        <v>1289</v>
      </c>
      <c r="M531">
        <v>-2</v>
      </c>
      <c r="O531" t="s">
        <v>261</v>
      </c>
      <c r="P531">
        <v>-16</v>
      </c>
      <c r="Q531" t="s">
        <v>1341</v>
      </c>
      <c r="R531">
        <v>-35</v>
      </c>
      <c r="S531" t="s">
        <v>650</v>
      </c>
      <c r="T531">
        <v>-41</v>
      </c>
      <c r="U531" t="s">
        <v>1765</v>
      </c>
      <c r="V531">
        <v>-53.069399999999995</v>
      </c>
      <c r="W531" t="s">
        <v>1346</v>
      </c>
      <c r="X531">
        <v>-6</v>
      </c>
      <c r="Y531" t="s">
        <v>123</v>
      </c>
      <c r="Z531">
        <v>-3</v>
      </c>
      <c r="AC531" t="s">
        <v>104</v>
      </c>
      <c r="AD531">
        <v>-21</v>
      </c>
      <c r="AE531" t="s">
        <v>441</v>
      </c>
      <c r="AF531">
        <v>-82.1</v>
      </c>
      <c r="AG531" t="s">
        <v>140</v>
      </c>
      <c r="AH531">
        <v>-1</v>
      </c>
      <c r="AI531" t="s">
        <v>2237</v>
      </c>
      <c r="AJ531">
        <v>-1</v>
      </c>
      <c r="AK531" t="s">
        <v>2244</v>
      </c>
      <c r="AL531">
        <v>-6</v>
      </c>
      <c r="AM531" t="s">
        <v>2456</v>
      </c>
      <c r="AN531">
        <v>-9</v>
      </c>
    </row>
    <row r="532" spans="2:40" x14ac:dyDescent="0.25">
      <c r="B532" t="s">
        <v>437</v>
      </c>
      <c r="C532">
        <v>-23</v>
      </c>
      <c r="J532" t="s">
        <v>430</v>
      </c>
      <c r="K532">
        <v>-3</v>
      </c>
      <c r="L532" t="s">
        <v>1290</v>
      </c>
      <c r="M532">
        <v>-4</v>
      </c>
      <c r="O532" t="s">
        <v>1044</v>
      </c>
      <c r="P532">
        <v>-21</v>
      </c>
      <c r="Q532" t="s">
        <v>1516</v>
      </c>
      <c r="R532">
        <v>-39</v>
      </c>
      <c r="S532" t="s">
        <v>467</v>
      </c>
      <c r="T532">
        <v>-8</v>
      </c>
      <c r="U532" t="s">
        <v>341</v>
      </c>
      <c r="V532">
        <v>-242.50170000000014</v>
      </c>
      <c r="W532" t="s">
        <v>921</v>
      </c>
      <c r="X532">
        <v>-2</v>
      </c>
      <c r="Y532" t="s">
        <v>740</v>
      </c>
      <c r="Z532">
        <v>-5</v>
      </c>
      <c r="AC532" t="s">
        <v>160</v>
      </c>
      <c r="AD532">
        <v>-1</v>
      </c>
      <c r="AE532" t="s">
        <v>341</v>
      </c>
      <c r="AF532">
        <v>-141.39999999999998</v>
      </c>
      <c r="AG532" t="s">
        <v>127</v>
      </c>
      <c r="AH532">
        <v>-1</v>
      </c>
      <c r="AI532" t="s">
        <v>2168</v>
      </c>
      <c r="AJ532">
        <v>-15.332600000000003</v>
      </c>
      <c r="AK532" t="s">
        <v>1323</v>
      </c>
      <c r="AL532">
        <v>-5</v>
      </c>
      <c r="AM532" t="s">
        <v>216</v>
      </c>
      <c r="AN532">
        <v>-12</v>
      </c>
    </row>
    <row r="533" spans="2:40" x14ac:dyDescent="0.25">
      <c r="B533" t="s">
        <v>583</v>
      </c>
      <c r="C533">
        <v>-15.5</v>
      </c>
      <c r="J533" t="s">
        <v>431</v>
      </c>
      <c r="K533">
        <v>-6</v>
      </c>
      <c r="L533" t="s">
        <v>325</v>
      </c>
      <c r="M533">
        <v>-48</v>
      </c>
      <c r="O533" t="s">
        <v>151</v>
      </c>
      <c r="P533">
        <v>-26</v>
      </c>
      <c r="Q533" t="s">
        <v>1622</v>
      </c>
      <c r="R533">
        <v>-9.5825999999999993</v>
      </c>
      <c r="S533" t="s">
        <v>589</v>
      </c>
      <c r="T533">
        <v>-90</v>
      </c>
      <c r="U533" t="s">
        <v>1766</v>
      </c>
      <c r="V533">
        <v>-0.8</v>
      </c>
      <c r="W533" t="s">
        <v>922</v>
      </c>
      <c r="X533">
        <v>-2</v>
      </c>
      <c r="Y533" t="s">
        <v>741</v>
      </c>
      <c r="Z533">
        <v>-5</v>
      </c>
      <c r="AC533" t="s">
        <v>1708</v>
      </c>
      <c r="AD533">
        <v>-2</v>
      </c>
      <c r="AE533" t="s">
        <v>590</v>
      </c>
      <c r="AF533">
        <v>-9</v>
      </c>
      <c r="AG533" t="s">
        <v>1925</v>
      </c>
      <c r="AH533">
        <v>-3</v>
      </c>
      <c r="AI533" t="s">
        <v>2169</v>
      </c>
      <c r="AJ533">
        <v>-7.8328000000000007</v>
      </c>
      <c r="AK533" t="s">
        <v>2245</v>
      </c>
      <c r="AL533">
        <v>-9</v>
      </c>
      <c r="AM533" t="s">
        <v>673</v>
      </c>
      <c r="AN533">
        <v>-21</v>
      </c>
    </row>
    <row r="534" spans="2:40" x14ac:dyDescent="0.25">
      <c r="B534" t="s">
        <v>417</v>
      </c>
      <c r="C534">
        <v>-26</v>
      </c>
      <c r="J534" t="s">
        <v>342</v>
      </c>
      <c r="K534">
        <v>-6</v>
      </c>
      <c r="L534" t="s">
        <v>726</v>
      </c>
      <c r="M534">
        <v>-12</v>
      </c>
      <c r="O534" t="s">
        <v>258</v>
      </c>
      <c r="P534">
        <v>-8</v>
      </c>
      <c r="Q534" t="s">
        <v>1343</v>
      </c>
      <c r="R534">
        <v>-45</v>
      </c>
      <c r="S534" t="s">
        <v>114</v>
      </c>
      <c r="T534">
        <v>-2.0000000000000004</v>
      </c>
      <c r="U534" t="s">
        <v>1767</v>
      </c>
      <c r="V534">
        <v>-0.1</v>
      </c>
      <c r="W534" t="s">
        <v>1702</v>
      </c>
      <c r="X534">
        <v>-2</v>
      </c>
      <c r="Y534" t="s">
        <v>742</v>
      </c>
      <c r="Z534">
        <v>-5</v>
      </c>
      <c r="AC534" t="s">
        <v>1359</v>
      </c>
      <c r="AD534">
        <v>-2</v>
      </c>
      <c r="AE534" t="s">
        <v>443</v>
      </c>
      <c r="AF534">
        <v>-18</v>
      </c>
      <c r="AG534" t="s">
        <v>290</v>
      </c>
      <c r="AH534">
        <v>-20</v>
      </c>
      <c r="AI534" t="s">
        <v>712</v>
      </c>
      <c r="AJ534">
        <v>-2</v>
      </c>
      <c r="AK534" t="s">
        <v>1075</v>
      </c>
      <c r="AL534">
        <v>-3</v>
      </c>
      <c r="AM534" t="s">
        <v>2230</v>
      </c>
      <c r="AN534">
        <v>-2</v>
      </c>
    </row>
    <row r="535" spans="2:40" x14ac:dyDescent="0.25">
      <c r="B535" t="s">
        <v>347</v>
      </c>
      <c r="C535">
        <v>-6.589999999999999</v>
      </c>
      <c r="J535" t="s">
        <v>837</v>
      </c>
      <c r="K535">
        <v>-9</v>
      </c>
      <c r="L535" t="s">
        <v>1291</v>
      </c>
      <c r="M535">
        <v>-3</v>
      </c>
      <c r="O535" t="s">
        <v>1278</v>
      </c>
      <c r="P535">
        <v>-6</v>
      </c>
      <c r="Q535" t="s">
        <v>441</v>
      </c>
      <c r="R535">
        <v>-117.328</v>
      </c>
      <c r="S535" t="s">
        <v>1701</v>
      </c>
      <c r="T535">
        <v>-1</v>
      </c>
      <c r="U535" t="s">
        <v>443</v>
      </c>
      <c r="V535">
        <v>-28.000900000000005</v>
      </c>
      <c r="W535" t="s">
        <v>164</v>
      </c>
      <c r="X535">
        <v>-7</v>
      </c>
      <c r="Y535" t="s">
        <v>781</v>
      </c>
      <c r="AC535" t="s">
        <v>1520</v>
      </c>
      <c r="AD535">
        <v>-2</v>
      </c>
      <c r="AE535" t="s">
        <v>442</v>
      </c>
      <c r="AF535">
        <v>-92.55</v>
      </c>
      <c r="AG535" t="s">
        <v>288</v>
      </c>
      <c r="AH535">
        <v>-39</v>
      </c>
      <c r="AI535" t="s">
        <v>772</v>
      </c>
      <c r="AJ535">
        <v>-7</v>
      </c>
      <c r="AK535" t="s">
        <v>2114</v>
      </c>
      <c r="AL535">
        <v>-15</v>
      </c>
      <c r="AM535" t="s">
        <v>68</v>
      </c>
      <c r="AN535">
        <v>-1</v>
      </c>
    </row>
    <row r="536" spans="2:40" x14ac:dyDescent="0.25">
      <c r="B536" t="s">
        <v>483</v>
      </c>
      <c r="C536">
        <v>-9.0130000000000017</v>
      </c>
      <c r="J536" t="s">
        <v>436</v>
      </c>
      <c r="K536">
        <v>-4</v>
      </c>
      <c r="L536" t="s">
        <v>1292</v>
      </c>
      <c r="M536">
        <v>-4</v>
      </c>
      <c r="O536" t="s">
        <v>382</v>
      </c>
      <c r="P536">
        <v>-16</v>
      </c>
      <c r="Q536" t="s">
        <v>341</v>
      </c>
      <c r="R536">
        <v>-306.00000000000011</v>
      </c>
      <c r="S536" t="s">
        <v>920</v>
      </c>
      <c r="T536">
        <v>-11</v>
      </c>
      <c r="U536" t="s">
        <v>725</v>
      </c>
      <c r="V536">
        <v>-78.860700000000008</v>
      </c>
      <c r="W536" t="s">
        <v>923</v>
      </c>
      <c r="X536">
        <v>-89.000000000000028</v>
      </c>
      <c r="Y536" t="s">
        <v>782</v>
      </c>
      <c r="Z536">
        <v>-47823.553800000009</v>
      </c>
      <c r="AC536" t="s">
        <v>1628</v>
      </c>
      <c r="AD536">
        <v>-5</v>
      </c>
      <c r="AE536" t="s">
        <v>2125</v>
      </c>
      <c r="AF536">
        <v>-2</v>
      </c>
      <c r="AG536" t="s">
        <v>2117</v>
      </c>
      <c r="AH536">
        <v>-1</v>
      </c>
      <c r="AI536" t="s">
        <v>773</v>
      </c>
      <c r="AJ536">
        <v>-2</v>
      </c>
      <c r="AK536" t="s">
        <v>2309</v>
      </c>
      <c r="AL536">
        <v>-1</v>
      </c>
      <c r="AM536" t="s">
        <v>2295</v>
      </c>
      <c r="AN536">
        <v>-6</v>
      </c>
    </row>
    <row r="537" spans="2:40" x14ac:dyDescent="0.25">
      <c r="B537" t="s">
        <v>429</v>
      </c>
      <c r="C537">
        <v>-5</v>
      </c>
      <c r="J537" t="s">
        <v>437</v>
      </c>
      <c r="K537">
        <v>-12</v>
      </c>
      <c r="L537" t="s">
        <v>636</v>
      </c>
      <c r="M537">
        <v>-8</v>
      </c>
      <c r="O537" t="s">
        <v>1280</v>
      </c>
      <c r="P537">
        <v>-2</v>
      </c>
      <c r="Q537" t="s">
        <v>590</v>
      </c>
      <c r="R537">
        <v>-53.999999999999993</v>
      </c>
      <c r="S537" t="s">
        <v>584</v>
      </c>
      <c r="T537">
        <v>-7</v>
      </c>
      <c r="U537" t="s">
        <v>1694</v>
      </c>
      <c r="V537">
        <v>-1E-3</v>
      </c>
      <c r="W537" t="s">
        <v>146</v>
      </c>
      <c r="X537">
        <v>-5.9999999999999964</v>
      </c>
      <c r="AC537" t="s">
        <v>1780</v>
      </c>
      <c r="AD537">
        <v>-10</v>
      </c>
      <c r="AE537" t="s">
        <v>918</v>
      </c>
      <c r="AF537">
        <v>-119.99999999999994</v>
      </c>
      <c r="AG537" t="s">
        <v>47</v>
      </c>
      <c r="AH537">
        <v>-10</v>
      </c>
      <c r="AI537" t="s">
        <v>2238</v>
      </c>
      <c r="AJ537">
        <v>-8</v>
      </c>
      <c r="AK537" t="s">
        <v>254</v>
      </c>
      <c r="AL537">
        <v>-6</v>
      </c>
      <c r="AM537" t="s">
        <v>2457</v>
      </c>
      <c r="AN537">
        <v>-4</v>
      </c>
    </row>
    <row r="538" spans="2:40" x14ac:dyDescent="0.25">
      <c r="B538" t="s">
        <v>435</v>
      </c>
      <c r="C538">
        <v>-133</v>
      </c>
      <c r="J538" t="s">
        <v>583</v>
      </c>
      <c r="K538">
        <v>-6</v>
      </c>
      <c r="L538" t="s">
        <v>889</v>
      </c>
      <c r="M538">
        <v>-4</v>
      </c>
      <c r="O538" t="s">
        <v>1281</v>
      </c>
      <c r="P538">
        <v>-3</v>
      </c>
      <c r="Q538" t="s">
        <v>443</v>
      </c>
      <c r="R538">
        <v>-43.000000000000014</v>
      </c>
      <c r="S538" t="s">
        <v>1346</v>
      </c>
      <c r="T538">
        <v>-6</v>
      </c>
      <c r="U538" t="s">
        <v>1695</v>
      </c>
      <c r="V538">
        <v>-19.970999999999997</v>
      </c>
      <c r="W538" t="s">
        <v>162</v>
      </c>
      <c r="X538">
        <v>-91.000000000000028</v>
      </c>
      <c r="AC538" t="s">
        <v>2022</v>
      </c>
      <c r="AD538">
        <v>-50</v>
      </c>
      <c r="AE538" t="s">
        <v>629</v>
      </c>
      <c r="AF538">
        <v>-12</v>
      </c>
      <c r="AG538" t="s">
        <v>2178</v>
      </c>
      <c r="AH538">
        <v>-55</v>
      </c>
      <c r="AI538" t="s">
        <v>2239</v>
      </c>
      <c r="AJ538">
        <v>-4</v>
      </c>
      <c r="AK538" t="s">
        <v>256</v>
      </c>
      <c r="AL538">
        <v>-6</v>
      </c>
      <c r="AM538" t="s">
        <v>1610</v>
      </c>
      <c r="AN538">
        <v>-2</v>
      </c>
    </row>
    <row r="539" spans="2:40" x14ac:dyDescent="0.25">
      <c r="B539" t="s">
        <v>484</v>
      </c>
      <c r="C539">
        <v>-0.99999999999999989</v>
      </c>
      <c r="J539" t="s">
        <v>417</v>
      </c>
      <c r="K539">
        <v>-10.100199999999999</v>
      </c>
      <c r="L539" t="s">
        <v>1293</v>
      </c>
      <c r="M539">
        <v>-4</v>
      </c>
      <c r="O539" t="s">
        <v>139</v>
      </c>
      <c r="P539">
        <v>-1</v>
      </c>
      <c r="Q539" t="s">
        <v>442</v>
      </c>
      <c r="R539">
        <v>-136.79999999999995</v>
      </c>
      <c r="S539" t="s">
        <v>921</v>
      </c>
      <c r="T539">
        <v>-12.000000000000002</v>
      </c>
      <c r="U539" t="s">
        <v>739</v>
      </c>
      <c r="V539">
        <v>-12</v>
      </c>
      <c r="W539" t="s">
        <v>468</v>
      </c>
      <c r="X539">
        <v>-2.9999999999999996</v>
      </c>
      <c r="AC539" t="s">
        <v>1933</v>
      </c>
      <c r="AD539">
        <v>-4</v>
      </c>
      <c r="AE539" t="s">
        <v>630</v>
      </c>
      <c r="AF539">
        <v>-21.550000000000004</v>
      </c>
      <c r="AG539" t="s">
        <v>1763</v>
      </c>
      <c r="AH539">
        <v>-3</v>
      </c>
      <c r="AI539" t="s">
        <v>2240</v>
      </c>
      <c r="AJ539">
        <v>-7</v>
      </c>
      <c r="AK539" t="s">
        <v>46</v>
      </c>
      <c r="AL539">
        <v>-25</v>
      </c>
      <c r="AM539" t="s">
        <v>1611</v>
      </c>
      <c r="AN539">
        <v>-4</v>
      </c>
    </row>
    <row r="540" spans="2:40" x14ac:dyDescent="0.25">
      <c r="B540" t="s">
        <v>576</v>
      </c>
      <c r="C540">
        <v>-441.45399999999995</v>
      </c>
      <c r="J540" t="s">
        <v>347</v>
      </c>
      <c r="K540">
        <v>-7.52</v>
      </c>
      <c r="L540" t="s">
        <v>193</v>
      </c>
      <c r="M540">
        <v>-26</v>
      </c>
      <c r="O540" t="s">
        <v>614</v>
      </c>
      <c r="P540">
        <v>-2</v>
      </c>
      <c r="Q540" t="s">
        <v>918</v>
      </c>
      <c r="R540">
        <v>-50</v>
      </c>
      <c r="S540" t="s">
        <v>1702</v>
      </c>
      <c r="T540">
        <v>-1.5</v>
      </c>
      <c r="U540" t="s">
        <v>918</v>
      </c>
      <c r="V540">
        <v>-82.999999999999986</v>
      </c>
      <c r="W540" t="s">
        <v>642</v>
      </c>
      <c r="X540">
        <v>-7.0000000000000018</v>
      </c>
      <c r="AC540" t="s">
        <v>2023</v>
      </c>
      <c r="AD540">
        <v>-2</v>
      </c>
      <c r="AE540" t="s">
        <v>499</v>
      </c>
      <c r="AF540">
        <v>-5</v>
      </c>
      <c r="AG540" t="s">
        <v>132</v>
      </c>
      <c r="AH540">
        <v>-1</v>
      </c>
      <c r="AI540" t="s">
        <v>2241</v>
      </c>
      <c r="AJ540">
        <v>-10</v>
      </c>
      <c r="AK540" t="s">
        <v>137</v>
      </c>
      <c r="AL540">
        <v>-7</v>
      </c>
      <c r="AM540" t="s">
        <v>1612</v>
      </c>
      <c r="AN540">
        <v>-4</v>
      </c>
    </row>
    <row r="541" spans="2:40" x14ac:dyDescent="0.25">
      <c r="B541" t="s">
        <v>715</v>
      </c>
      <c r="C541">
        <v>-120.27200000000001</v>
      </c>
      <c r="J541" t="s">
        <v>483</v>
      </c>
      <c r="K541">
        <v>-6.0400000000000018</v>
      </c>
      <c r="L541" t="s">
        <v>194</v>
      </c>
      <c r="M541">
        <v>-12</v>
      </c>
      <c r="O541" t="s">
        <v>1048</v>
      </c>
      <c r="P541">
        <v>-1</v>
      </c>
      <c r="Q541" t="s">
        <v>629</v>
      </c>
      <c r="R541">
        <v>-12.000000000000002</v>
      </c>
      <c r="S541" t="s">
        <v>164</v>
      </c>
      <c r="T541">
        <v>-19.738000000000003</v>
      </c>
      <c r="U541" t="s">
        <v>629</v>
      </c>
      <c r="V541">
        <v>-14</v>
      </c>
      <c r="W541" t="s">
        <v>1088</v>
      </c>
      <c r="X541">
        <v>-2</v>
      </c>
      <c r="AC541" t="s">
        <v>2024</v>
      </c>
      <c r="AD541">
        <v>-2</v>
      </c>
      <c r="AE541" t="s">
        <v>641</v>
      </c>
      <c r="AF541">
        <v>-27.499999999999993</v>
      </c>
      <c r="AG541" t="s">
        <v>1509</v>
      </c>
      <c r="AH541">
        <v>-1</v>
      </c>
      <c r="AI541" t="s">
        <v>2170</v>
      </c>
      <c r="AJ541">
        <v>-8.9999999999999982</v>
      </c>
      <c r="AK541" t="s">
        <v>340</v>
      </c>
      <c r="AL541">
        <v>-165</v>
      </c>
      <c r="AM541" t="s">
        <v>201</v>
      </c>
      <c r="AN541">
        <v>-10</v>
      </c>
    </row>
    <row r="542" spans="2:40" x14ac:dyDescent="0.25">
      <c r="B542" t="s">
        <v>344</v>
      </c>
      <c r="C542">
        <v>-725.29600000000005</v>
      </c>
      <c r="J542" t="s">
        <v>370</v>
      </c>
      <c r="K542">
        <v>-1</v>
      </c>
      <c r="L542" t="s">
        <v>1294</v>
      </c>
      <c r="M542">
        <v>-4</v>
      </c>
      <c r="O542" t="s">
        <v>1288</v>
      </c>
      <c r="P542">
        <v>-4</v>
      </c>
      <c r="Q542" t="s">
        <v>630</v>
      </c>
      <c r="R542">
        <v>-38</v>
      </c>
      <c r="S542" t="s">
        <v>923</v>
      </c>
      <c r="T542">
        <v>-99</v>
      </c>
      <c r="U542" t="s">
        <v>630</v>
      </c>
      <c r="V542">
        <v>-12.887099999999998</v>
      </c>
      <c r="W542" t="s">
        <v>122</v>
      </c>
      <c r="X542">
        <v>-5.9999999999999973</v>
      </c>
      <c r="AC542" t="s">
        <v>2025</v>
      </c>
      <c r="AD542">
        <v>-2</v>
      </c>
      <c r="AE542" t="s">
        <v>1087</v>
      </c>
      <c r="AF542">
        <v>-10</v>
      </c>
      <c r="AG542" t="s">
        <v>724</v>
      </c>
      <c r="AH542">
        <v>-1.9999999999999998</v>
      </c>
      <c r="AI542" t="s">
        <v>2171</v>
      </c>
      <c r="AJ542">
        <v>-8.9999999999999982</v>
      </c>
      <c r="AK542" t="s">
        <v>1923</v>
      </c>
      <c r="AL542">
        <v>-1</v>
      </c>
      <c r="AM542" t="s">
        <v>148</v>
      </c>
      <c r="AN542">
        <v>-167</v>
      </c>
    </row>
    <row r="543" spans="2:40" x14ac:dyDescent="0.25">
      <c r="B543" t="s">
        <v>561</v>
      </c>
      <c r="C543">
        <v>-90.05</v>
      </c>
      <c r="J543" t="s">
        <v>1100</v>
      </c>
      <c r="K543">
        <v>-4</v>
      </c>
      <c r="L543" t="s">
        <v>1295</v>
      </c>
      <c r="M543">
        <v>-3</v>
      </c>
      <c r="O543" t="s">
        <v>1483</v>
      </c>
      <c r="P543">
        <v>-1</v>
      </c>
      <c r="Q543" t="s">
        <v>498</v>
      </c>
      <c r="R543">
        <v>-12</v>
      </c>
      <c r="S543" t="s">
        <v>1347</v>
      </c>
      <c r="T543">
        <v>-2</v>
      </c>
      <c r="U543" t="s">
        <v>1344</v>
      </c>
      <c r="V543">
        <v>-1.9999999999999996</v>
      </c>
      <c r="W543" t="s">
        <v>557</v>
      </c>
      <c r="X543">
        <v>-69.999999999999872</v>
      </c>
      <c r="AC543" t="s">
        <v>2026</v>
      </c>
      <c r="AD543">
        <v>-2</v>
      </c>
      <c r="AE543" t="s">
        <v>738</v>
      </c>
      <c r="AF543">
        <v>-24</v>
      </c>
      <c r="AG543" t="s">
        <v>617</v>
      </c>
      <c r="AH543">
        <v>-40</v>
      </c>
      <c r="AI543" t="s">
        <v>368</v>
      </c>
      <c r="AJ543">
        <v>-1</v>
      </c>
      <c r="AK543" t="s">
        <v>1078</v>
      </c>
      <c r="AL543">
        <v>-12</v>
      </c>
      <c r="AM543" t="s">
        <v>262</v>
      </c>
      <c r="AN543">
        <v>-40</v>
      </c>
    </row>
    <row r="544" spans="2:40" x14ac:dyDescent="0.25">
      <c r="B544" t="s">
        <v>482</v>
      </c>
      <c r="C544">
        <v>-10.199999999999999</v>
      </c>
      <c r="J544" t="s">
        <v>1101</v>
      </c>
      <c r="K544">
        <v>-73.000000000000028</v>
      </c>
      <c r="L544" t="s">
        <v>79</v>
      </c>
      <c r="M544">
        <v>-305</v>
      </c>
      <c r="O544" t="s">
        <v>1484</v>
      </c>
      <c r="P544">
        <v>-4</v>
      </c>
      <c r="Q544" t="s">
        <v>738</v>
      </c>
      <c r="R544">
        <v>-24.999600000000004</v>
      </c>
      <c r="S544" t="s">
        <v>146</v>
      </c>
      <c r="T544">
        <v>-5.0000000000000009</v>
      </c>
      <c r="U544" t="s">
        <v>498</v>
      </c>
      <c r="V544">
        <v>-42</v>
      </c>
      <c r="W544" t="s">
        <v>925</v>
      </c>
      <c r="X544">
        <v>-3.0000000000000004</v>
      </c>
      <c r="AC544" t="s">
        <v>1095</v>
      </c>
      <c r="AD544">
        <v>-200</v>
      </c>
      <c r="AE544" t="s">
        <v>640</v>
      </c>
      <c r="AF544">
        <v>-10</v>
      </c>
      <c r="AG544" t="s">
        <v>145</v>
      </c>
      <c r="AH544">
        <v>-7</v>
      </c>
      <c r="AI544" t="s">
        <v>1302</v>
      </c>
      <c r="AJ544">
        <v>-161</v>
      </c>
      <c r="AK544" t="s">
        <v>2310</v>
      </c>
      <c r="AL544">
        <v>-8</v>
      </c>
      <c r="AM544" t="s">
        <v>263</v>
      </c>
      <c r="AN544">
        <v>-17</v>
      </c>
    </row>
    <row r="545" spans="2:40" x14ac:dyDescent="0.25">
      <c r="B545" t="s">
        <v>566</v>
      </c>
      <c r="C545">
        <v>-92.204999999999998</v>
      </c>
      <c r="J545" t="s">
        <v>576</v>
      </c>
      <c r="K545">
        <v>-210</v>
      </c>
      <c r="L545" t="s">
        <v>383</v>
      </c>
      <c r="M545">
        <v>-64</v>
      </c>
      <c r="O545" t="s">
        <v>325</v>
      </c>
      <c r="P545">
        <v>-40</v>
      </c>
      <c r="Q545" t="s">
        <v>640</v>
      </c>
      <c r="R545">
        <v>-54.000000000000014</v>
      </c>
      <c r="S545" t="s">
        <v>162</v>
      </c>
      <c r="T545">
        <v>-158</v>
      </c>
      <c r="U545" t="s">
        <v>641</v>
      </c>
      <c r="V545">
        <v>-44.111200000000025</v>
      </c>
      <c r="W545" t="s">
        <v>466</v>
      </c>
      <c r="X545">
        <v>-500</v>
      </c>
      <c r="AC545" t="s">
        <v>944</v>
      </c>
      <c r="AD545">
        <v>-12</v>
      </c>
      <c r="AE545" t="s">
        <v>650</v>
      </c>
      <c r="AF545">
        <v>-21</v>
      </c>
      <c r="AG545" t="s">
        <v>62</v>
      </c>
      <c r="AH545">
        <v>-16</v>
      </c>
      <c r="AI545" t="s">
        <v>825</v>
      </c>
      <c r="AJ545">
        <v>-165</v>
      </c>
      <c r="AK545" t="s">
        <v>753</v>
      </c>
      <c r="AL545">
        <v>-8</v>
      </c>
      <c r="AM545" t="s">
        <v>261</v>
      </c>
      <c r="AN545">
        <v>-18</v>
      </c>
    </row>
    <row r="546" spans="2:40" x14ac:dyDescent="0.25">
      <c r="B546" t="s">
        <v>412</v>
      </c>
      <c r="C546">
        <v>-30.5</v>
      </c>
      <c r="J546" t="s">
        <v>1102</v>
      </c>
      <c r="K546">
        <v>-6</v>
      </c>
      <c r="L546" t="s">
        <v>1296</v>
      </c>
      <c r="M546">
        <v>-4</v>
      </c>
      <c r="O546" t="s">
        <v>1049</v>
      </c>
      <c r="P546">
        <v>-12</v>
      </c>
      <c r="Q546" t="s">
        <v>650</v>
      </c>
      <c r="R546">
        <v>-33.000000000000014</v>
      </c>
      <c r="S546" t="s">
        <v>646</v>
      </c>
      <c r="T546">
        <v>-17</v>
      </c>
      <c r="U546" t="s">
        <v>738</v>
      </c>
      <c r="V546">
        <v>-7.9999999999999991</v>
      </c>
      <c r="W546" t="s">
        <v>93</v>
      </c>
      <c r="X546">
        <v>-3.9999999999999996</v>
      </c>
      <c r="AC546" t="s">
        <v>652</v>
      </c>
      <c r="AD546">
        <v>-200</v>
      </c>
      <c r="AE546" t="s">
        <v>2126</v>
      </c>
      <c r="AF546">
        <v>-49.999999999999993</v>
      </c>
      <c r="AG546" t="s">
        <v>2119</v>
      </c>
      <c r="AH546">
        <v>-3</v>
      </c>
      <c r="AI546" t="s">
        <v>2242</v>
      </c>
      <c r="AJ546">
        <v>-1</v>
      </c>
      <c r="AK546" t="s">
        <v>1333</v>
      </c>
      <c r="AL546">
        <v>-30</v>
      </c>
      <c r="AM546" t="s">
        <v>151</v>
      </c>
      <c r="AN546">
        <v>-16</v>
      </c>
    </row>
    <row r="547" spans="2:40" x14ac:dyDescent="0.25">
      <c r="B547" t="s">
        <v>585</v>
      </c>
      <c r="C547">
        <v>-76</v>
      </c>
      <c r="J547" t="s">
        <v>344</v>
      </c>
      <c r="K547">
        <v>-396</v>
      </c>
      <c r="L547" t="s">
        <v>1297</v>
      </c>
      <c r="M547">
        <v>-3</v>
      </c>
      <c r="O547" t="s">
        <v>726</v>
      </c>
      <c r="P547">
        <v>-1</v>
      </c>
      <c r="Q547" t="s">
        <v>589</v>
      </c>
      <c r="R547">
        <v>-15.000000000000002</v>
      </c>
      <c r="S547" t="s">
        <v>642</v>
      </c>
      <c r="T547">
        <v>-23.999999999999996</v>
      </c>
      <c r="U547" t="s">
        <v>640</v>
      </c>
      <c r="V547">
        <v>-22</v>
      </c>
      <c r="W547" t="s">
        <v>1349</v>
      </c>
      <c r="X547">
        <v>-2</v>
      </c>
      <c r="AC547" t="s">
        <v>354</v>
      </c>
      <c r="AD547">
        <v>-2200.0000000000009</v>
      </c>
      <c r="AE547" t="s">
        <v>589</v>
      </c>
      <c r="AF547">
        <v>-70.999999999999986</v>
      </c>
      <c r="AG547" t="s">
        <v>282</v>
      </c>
      <c r="AH547">
        <v>-20</v>
      </c>
      <c r="AI547" t="s">
        <v>1303</v>
      </c>
      <c r="AJ547">
        <v>-6</v>
      </c>
      <c r="AK547" t="s">
        <v>1082</v>
      </c>
      <c r="AL547">
        <v>-44</v>
      </c>
      <c r="AM547" t="s">
        <v>2301</v>
      </c>
      <c r="AN547">
        <v>-2</v>
      </c>
    </row>
    <row r="548" spans="2:40" x14ac:dyDescent="0.25">
      <c r="B548" t="s">
        <v>578</v>
      </c>
      <c r="C548">
        <v>-135.5</v>
      </c>
      <c r="J548" t="s">
        <v>561</v>
      </c>
      <c r="K548">
        <v>-28</v>
      </c>
      <c r="L548" t="s">
        <v>1298</v>
      </c>
      <c r="M548">
        <v>-3</v>
      </c>
      <c r="O548" t="s">
        <v>1292</v>
      </c>
      <c r="P548">
        <v>-9</v>
      </c>
      <c r="Q548" t="s">
        <v>114</v>
      </c>
      <c r="R548">
        <v>-3</v>
      </c>
      <c r="S548" t="s">
        <v>1088</v>
      </c>
      <c r="T548">
        <v>-2</v>
      </c>
      <c r="U548" t="s">
        <v>650</v>
      </c>
      <c r="V548">
        <v>-32.428399999999989</v>
      </c>
      <c r="W548" t="s">
        <v>651</v>
      </c>
      <c r="X548">
        <v>-40.999999999999993</v>
      </c>
      <c r="AC548" t="s">
        <v>493</v>
      </c>
      <c r="AD548">
        <v>-250</v>
      </c>
      <c r="AE548" t="s">
        <v>114</v>
      </c>
      <c r="AF548">
        <v>-1</v>
      </c>
      <c r="AG548" t="s">
        <v>77</v>
      </c>
      <c r="AH548">
        <v>-12</v>
      </c>
      <c r="AI548" t="s">
        <v>326</v>
      </c>
      <c r="AJ548">
        <v>-9</v>
      </c>
      <c r="AK548" t="s">
        <v>1692</v>
      </c>
      <c r="AL548">
        <v>-100</v>
      </c>
      <c r="AM548" t="s">
        <v>258</v>
      </c>
      <c r="AN548">
        <v>-8</v>
      </c>
    </row>
    <row r="549" spans="2:40" x14ac:dyDescent="0.25">
      <c r="B549" t="s">
        <v>552</v>
      </c>
      <c r="C549">
        <v>-64</v>
      </c>
      <c r="J549" t="s">
        <v>482</v>
      </c>
      <c r="K549">
        <v>-48</v>
      </c>
      <c r="L549" t="s">
        <v>1299</v>
      </c>
      <c r="M549">
        <v>-18</v>
      </c>
      <c r="O549" t="s">
        <v>193</v>
      </c>
      <c r="P549">
        <v>-46</v>
      </c>
      <c r="Q549" t="s">
        <v>920</v>
      </c>
      <c r="R549">
        <v>-5</v>
      </c>
      <c r="S549" t="s">
        <v>680</v>
      </c>
      <c r="T549">
        <v>-13</v>
      </c>
      <c r="U549" t="s">
        <v>467</v>
      </c>
      <c r="V549">
        <v>-60.000000000000028</v>
      </c>
      <c r="W549" t="s">
        <v>1351</v>
      </c>
      <c r="X549">
        <v>-1</v>
      </c>
      <c r="AC549" t="s">
        <v>357</v>
      </c>
      <c r="AD549">
        <v>-80</v>
      </c>
      <c r="AE549" t="s">
        <v>1701</v>
      </c>
      <c r="AF549">
        <v>-1</v>
      </c>
      <c r="AG549" t="s">
        <v>374</v>
      </c>
      <c r="AH549">
        <v>-2</v>
      </c>
      <c r="AI549" t="s">
        <v>892</v>
      </c>
      <c r="AJ549">
        <v>-14</v>
      </c>
      <c r="AK549" t="s">
        <v>113</v>
      </c>
      <c r="AL549">
        <v>-53.5</v>
      </c>
      <c r="AM549" t="s">
        <v>2458</v>
      </c>
      <c r="AN549">
        <v>-4</v>
      </c>
    </row>
    <row r="550" spans="2:40" x14ac:dyDescent="0.25">
      <c r="B550" t="s">
        <v>714</v>
      </c>
      <c r="C550">
        <v>-1.31</v>
      </c>
      <c r="J550" t="s">
        <v>566</v>
      </c>
      <c r="K550">
        <v>-66.037000000000006</v>
      </c>
      <c r="L550" t="s">
        <v>1300</v>
      </c>
      <c r="M550">
        <v>-3</v>
      </c>
      <c r="O550" t="s">
        <v>194</v>
      </c>
      <c r="P550">
        <v>-3</v>
      </c>
      <c r="Q550" t="s">
        <v>584</v>
      </c>
      <c r="R550">
        <v>-11.999999999999998</v>
      </c>
      <c r="S550" t="s">
        <v>557</v>
      </c>
      <c r="T550">
        <v>-44</v>
      </c>
      <c r="U550" t="s">
        <v>589</v>
      </c>
      <c r="V550">
        <v>-60</v>
      </c>
      <c r="W550" t="s">
        <v>926</v>
      </c>
      <c r="X550">
        <v>-6.9999999999999973</v>
      </c>
      <c r="AC550" t="s">
        <v>403</v>
      </c>
      <c r="AD550">
        <v>-400</v>
      </c>
      <c r="AE550" t="s">
        <v>920</v>
      </c>
      <c r="AF550">
        <v>-5</v>
      </c>
      <c r="AG550" t="s">
        <v>2179</v>
      </c>
      <c r="AH550">
        <v>-1</v>
      </c>
      <c r="AI550" t="s">
        <v>605</v>
      </c>
      <c r="AJ550">
        <v>-31</v>
      </c>
      <c r="AK550" t="s">
        <v>2311</v>
      </c>
      <c r="AL550">
        <v>-5.13</v>
      </c>
      <c r="AM550" t="s">
        <v>382</v>
      </c>
      <c r="AN550">
        <v>-4</v>
      </c>
    </row>
    <row r="551" spans="2:40" x14ac:dyDescent="0.25">
      <c r="B551" t="s">
        <v>567</v>
      </c>
      <c r="C551">
        <v>-36.840000000000011</v>
      </c>
      <c r="J551" t="s">
        <v>412</v>
      </c>
      <c r="K551">
        <v>-8</v>
      </c>
      <c r="L551" t="s">
        <v>1053</v>
      </c>
      <c r="M551">
        <v>-2</v>
      </c>
      <c r="O551" t="s">
        <v>220</v>
      </c>
      <c r="P551">
        <v>-13</v>
      </c>
      <c r="Q551" t="s">
        <v>921</v>
      </c>
      <c r="R551">
        <v>-4.0000000000000018</v>
      </c>
      <c r="S551" t="s">
        <v>558</v>
      </c>
      <c r="T551">
        <v>-2.0000000000000004</v>
      </c>
      <c r="U551" t="s">
        <v>114</v>
      </c>
      <c r="V551">
        <v>-1.9999999999999996</v>
      </c>
      <c r="W551" t="s">
        <v>559</v>
      </c>
      <c r="X551">
        <v>-10</v>
      </c>
      <c r="AC551" t="s">
        <v>408</v>
      </c>
      <c r="AD551">
        <v>-1000</v>
      </c>
      <c r="AE551" t="s">
        <v>584</v>
      </c>
      <c r="AF551">
        <v>-12</v>
      </c>
      <c r="AG551" t="s">
        <v>912</v>
      </c>
      <c r="AH551">
        <v>-1</v>
      </c>
      <c r="AI551" t="s">
        <v>893</v>
      </c>
      <c r="AJ551">
        <v>-3</v>
      </c>
      <c r="AK551" t="s">
        <v>2019</v>
      </c>
      <c r="AL551">
        <v>-100</v>
      </c>
      <c r="AM551" t="s">
        <v>246</v>
      </c>
      <c r="AN551">
        <v>-24</v>
      </c>
    </row>
    <row r="552" spans="2:40" x14ac:dyDescent="0.25">
      <c r="B552" t="s">
        <v>568</v>
      </c>
      <c r="C552">
        <v>-92.257999999999996</v>
      </c>
      <c r="J552" t="s">
        <v>585</v>
      </c>
      <c r="K552">
        <v>-57</v>
      </c>
      <c r="L552" t="s">
        <v>1054</v>
      </c>
      <c r="M552">
        <v>-6.5</v>
      </c>
      <c r="O552" t="s">
        <v>79</v>
      </c>
      <c r="P552">
        <v>-880</v>
      </c>
      <c r="Q552" t="s">
        <v>164</v>
      </c>
      <c r="R552">
        <v>-7.5</v>
      </c>
      <c r="S552" t="s">
        <v>1349</v>
      </c>
      <c r="T552">
        <v>-3.4000000000000004</v>
      </c>
      <c r="U552" t="s">
        <v>584</v>
      </c>
      <c r="V552">
        <v>-2</v>
      </c>
      <c r="W552" t="s">
        <v>418</v>
      </c>
      <c r="X552">
        <v>-2</v>
      </c>
      <c r="AC552" t="s">
        <v>359</v>
      </c>
      <c r="AD552">
        <v>-340</v>
      </c>
      <c r="AE552" t="s">
        <v>921</v>
      </c>
      <c r="AF552">
        <v>-4</v>
      </c>
      <c r="AG552" t="s">
        <v>63</v>
      </c>
      <c r="AH552">
        <v>-36</v>
      </c>
      <c r="AI552" t="s">
        <v>1063</v>
      </c>
      <c r="AJ552">
        <v>-18</v>
      </c>
      <c r="AK552" t="s">
        <v>335</v>
      </c>
      <c r="AL552">
        <v>-3</v>
      </c>
      <c r="AM552" t="s">
        <v>1688</v>
      </c>
      <c r="AN552">
        <v>-36</v>
      </c>
    </row>
    <row r="553" spans="2:40" x14ac:dyDescent="0.25">
      <c r="B553" t="s">
        <v>609</v>
      </c>
      <c r="C553">
        <v>-38.399999999999991</v>
      </c>
      <c r="J553" t="s">
        <v>578</v>
      </c>
      <c r="K553">
        <v>-89</v>
      </c>
      <c r="L553" t="s">
        <v>671</v>
      </c>
      <c r="M553">
        <v>-10</v>
      </c>
      <c r="O553" t="s">
        <v>383</v>
      </c>
      <c r="P553">
        <v>-48</v>
      </c>
      <c r="Q553" t="s">
        <v>923</v>
      </c>
      <c r="R553">
        <v>-94</v>
      </c>
      <c r="S553" t="s">
        <v>1350</v>
      </c>
      <c r="T553">
        <v>-7.2</v>
      </c>
      <c r="U553" t="s">
        <v>1346</v>
      </c>
      <c r="V553">
        <v>-4.0000000000000009</v>
      </c>
      <c r="W553" t="s">
        <v>927</v>
      </c>
      <c r="X553">
        <v>-5</v>
      </c>
      <c r="AC553" t="s">
        <v>356</v>
      </c>
      <c r="AD553">
        <v>-50</v>
      </c>
      <c r="AE553" t="s">
        <v>164</v>
      </c>
      <c r="AF553">
        <v>-7.0000000000000009</v>
      </c>
      <c r="AG553" t="s">
        <v>195</v>
      </c>
      <c r="AH553">
        <v>-20</v>
      </c>
      <c r="AI553" t="s">
        <v>894</v>
      </c>
      <c r="AJ553">
        <v>-5</v>
      </c>
      <c r="AK553" t="s">
        <v>1762</v>
      </c>
      <c r="AL553">
        <v>-1</v>
      </c>
      <c r="AM553" t="s">
        <v>2459</v>
      </c>
      <c r="AN553">
        <v>-20</v>
      </c>
    </row>
    <row r="554" spans="2:40" x14ac:dyDescent="0.25">
      <c r="B554" t="s">
        <v>478</v>
      </c>
      <c r="C554">
        <v>-211.52399999999997</v>
      </c>
      <c r="J554" t="s">
        <v>714</v>
      </c>
      <c r="K554">
        <v>-6.6000000000000005</v>
      </c>
      <c r="L554" t="s">
        <v>672</v>
      </c>
      <c r="M554">
        <v>-10</v>
      </c>
      <c r="O554" t="s">
        <v>619</v>
      </c>
      <c r="P554">
        <v>-2</v>
      </c>
      <c r="Q554" t="s">
        <v>924</v>
      </c>
      <c r="R554">
        <v>-25.199999999999992</v>
      </c>
      <c r="S554" t="s">
        <v>651</v>
      </c>
      <c r="T554">
        <v>-47.999999999999993</v>
      </c>
      <c r="U554" t="s">
        <v>921</v>
      </c>
      <c r="V554">
        <v>-10</v>
      </c>
      <c r="W554" t="s">
        <v>737</v>
      </c>
      <c r="X554">
        <v>-700.00000000000057</v>
      </c>
      <c r="AC554" t="s">
        <v>402</v>
      </c>
      <c r="AD554">
        <v>-1200</v>
      </c>
      <c r="AE554" t="s">
        <v>923</v>
      </c>
      <c r="AF554">
        <v>-94</v>
      </c>
      <c r="AG554" t="s">
        <v>727</v>
      </c>
      <c r="AH554">
        <v>-36</v>
      </c>
      <c r="AI554" t="s">
        <v>372</v>
      </c>
      <c r="AJ554">
        <v>-1</v>
      </c>
      <c r="AK554" t="s">
        <v>1863</v>
      </c>
      <c r="AL554">
        <v>-1</v>
      </c>
      <c r="AM554" t="s">
        <v>2460</v>
      </c>
      <c r="AN554">
        <v>-2</v>
      </c>
    </row>
    <row r="555" spans="2:40" x14ac:dyDescent="0.25">
      <c r="B555" t="s">
        <v>346</v>
      </c>
      <c r="C555">
        <v>-473.38999999999959</v>
      </c>
      <c r="J555" t="s">
        <v>567</v>
      </c>
      <c r="K555">
        <v>-1.1200000000000001</v>
      </c>
      <c r="L555" t="s">
        <v>447</v>
      </c>
      <c r="M555">
        <v>-5</v>
      </c>
      <c r="O555" t="s">
        <v>1297</v>
      </c>
      <c r="P555">
        <v>-6</v>
      </c>
      <c r="Q555" t="s">
        <v>1347</v>
      </c>
      <c r="R555">
        <v>-3.0000000000000004</v>
      </c>
      <c r="S555" t="s">
        <v>1351</v>
      </c>
      <c r="T555">
        <v>-1</v>
      </c>
      <c r="U555" t="s">
        <v>922</v>
      </c>
      <c r="V555">
        <v>-8.9999999999999964</v>
      </c>
      <c r="W555" t="s">
        <v>555</v>
      </c>
      <c r="X555">
        <v>-199.99999999999994</v>
      </c>
      <c r="AC555" t="s">
        <v>409</v>
      </c>
      <c r="AD555">
        <v>-300</v>
      </c>
      <c r="AE555" t="s">
        <v>924</v>
      </c>
      <c r="AF555">
        <v>-6</v>
      </c>
      <c r="AG555" t="s">
        <v>728</v>
      </c>
      <c r="AH555">
        <v>-10</v>
      </c>
      <c r="AI555" t="s">
        <v>232</v>
      </c>
      <c r="AJ555">
        <v>-7</v>
      </c>
      <c r="AK555" t="s">
        <v>1864</v>
      </c>
      <c r="AL555">
        <v>-1</v>
      </c>
      <c r="AM555" t="s">
        <v>2461</v>
      </c>
      <c r="AN555">
        <v>-4</v>
      </c>
    </row>
    <row r="556" spans="2:40" x14ac:dyDescent="0.25">
      <c r="B556" t="s">
        <v>679</v>
      </c>
      <c r="C556">
        <v>-105.22399999999999</v>
      </c>
      <c r="J556" t="s">
        <v>568</v>
      </c>
      <c r="K556">
        <v>-6</v>
      </c>
      <c r="L556" t="s">
        <v>445</v>
      </c>
      <c r="M556">
        <v>-3</v>
      </c>
      <c r="O556" t="s">
        <v>1298</v>
      </c>
      <c r="P556">
        <v>-6</v>
      </c>
      <c r="Q556" t="s">
        <v>146</v>
      </c>
      <c r="R556">
        <v>-9.7568000000000001</v>
      </c>
      <c r="S556" t="s">
        <v>926</v>
      </c>
      <c r="T556">
        <v>-12.999999999999982</v>
      </c>
      <c r="U556" t="s">
        <v>164</v>
      </c>
      <c r="V556">
        <v>-1</v>
      </c>
      <c r="W556" t="s">
        <v>929</v>
      </c>
      <c r="X556">
        <v>-3.0000000000000009</v>
      </c>
      <c r="AC556" t="s">
        <v>492</v>
      </c>
      <c r="AD556">
        <v>-1116</v>
      </c>
      <c r="AE556" t="s">
        <v>1347</v>
      </c>
      <c r="AF556">
        <v>-1</v>
      </c>
      <c r="AG556" t="s">
        <v>1869</v>
      </c>
      <c r="AH556">
        <v>-1</v>
      </c>
      <c r="AI556" t="s">
        <v>78</v>
      </c>
      <c r="AJ556">
        <v>-2</v>
      </c>
      <c r="AK556" t="s">
        <v>769</v>
      </c>
      <c r="AL556">
        <v>-6</v>
      </c>
      <c r="AM556" t="s">
        <v>2462</v>
      </c>
      <c r="AN556">
        <v>-2</v>
      </c>
    </row>
    <row r="557" spans="2:40" x14ac:dyDescent="0.25">
      <c r="B557" t="s">
        <v>268</v>
      </c>
      <c r="C557">
        <v>-6.1000000000000005</v>
      </c>
      <c r="J557" t="s">
        <v>609</v>
      </c>
      <c r="K557">
        <v>-5</v>
      </c>
      <c r="L557" t="s">
        <v>639</v>
      </c>
      <c r="M557">
        <v>-4</v>
      </c>
      <c r="O557" t="s">
        <v>1299</v>
      </c>
      <c r="P557">
        <v>-17</v>
      </c>
      <c r="Q557" t="s">
        <v>162</v>
      </c>
      <c r="R557">
        <v>-168.00000000000006</v>
      </c>
      <c r="S557" t="s">
        <v>418</v>
      </c>
      <c r="T557">
        <v>-6.0000000000000071</v>
      </c>
      <c r="U557" t="s">
        <v>923</v>
      </c>
      <c r="V557">
        <v>-86.000000000000014</v>
      </c>
      <c r="W557" t="s">
        <v>1352</v>
      </c>
      <c r="X557">
        <v>-1</v>
      </c>
      <c r="AC557" t="s">
        <v>407</v>
      </c>
      <c r="AD557">
        <v>-100</v>
      </c>
      <c r="AE557" t="s">
        <v>146</v>
      </c>
      <c r="AF557">
        <v>-9.0000000000000036</v>
      </c>
      <c r="AG557" t="s">
        <v>355</v>
      </c>
      <c r="AH557">
        <v>-2015</v>
      </c>
      <c r="AI557" t="s">
        <v>150</v>
      </c>
      <c r="AJ557">
        <v>-32</v>
      </c>
      <c r="AK557" t="s">
        <v>128</v>
      </c>
      <c r="AL557">
        <v>-12</v>
      </c>
      <c r="AM557" t="s">
        <v>2463</v>
      </c>
      <c r="AN557">
        <v>-26</v>
      </c>
    </row>
    <row r="558" spans="2:40" x14ac:dyDescent="0.25">
      <c r="B558" t="s">
        <v>451</v>
      </c>
      <c r="C558">
        <v>-5.2099999999999991</v>
      </c>
      <c r="J558" t="s">
        <v>478</v>
      </c>
      <c r="K558">
        <v>-28</v>
      </c>
      <c r="L558" t="s">
        <v>446</v>
      </c>
      <c r="M558">
        <v>-3.9999999999999996</v>
      </c>
      <c r="O558" t="s">
        <v>1300</v>
      </c>
      <c r="P558">
        <v>-6</v>
      </c>
      <c r="Q558" t="s">
        <v>643</v>
      </c>
      <c r="R558">
        <v>-5</v>
      </c>
      <c r="S558" t="s">
        <v>927</v>
      </c>
      <c r="T558">
        <v>-22.833299999999994</v>
      </c>
      <c r="U558" t="s">
        <v>924</v>
      </c>
      <c r="V558">
        <v>-92.8</v>
      </c>
      <c r="W558" t="s">
        <v>586</v>
      </c>
      <c r="X558">
        <v>-4000</v>
      </c>
      <c r="AC558" t="s">
        <v>945</v>
      </c>
      <c r="AD558">
        <v>-300</v>
      </c>
      <c r="AE558" t="s">
        <v>162</v>
      </c>
      <c r="AF558">
        <v>-89.999999999999986</v>
      </c>
      <c r="AG558" t="s">
        <v>384</v>
      </c>
      <c r="AH558">
        <v>-216</v>
      </c>
      <c r="AI558" t="s">
        <v>92</v>
      </c>
      <c r="AJ558">
        <v>-307</v>
      </c>
      <c r="AK558" t="s">
        <v>281</v>
      </c>
      <c r="AL558">
        <v>-22</v>
      </c>
      <c r="AM558" t="s">
        <v>726</v>
      </c>
      <c r="AN558">
        <v>-29</v>
      </c>
    </row>
    <row r="559" spans="2:40" x14ac:dyDescent="0.25">
      <c r="B559" t="s">
        <v>688</v>
      </c>
      <c r="C559">
        <v>-1</v>
      </c>
      <c r="J559" t="s">
        <v>346</v>
      </c>
      <c r="K559">
        <v>-13.3</v>
      </c>
      <c r="L559" t="s">
        <v>684</v>
      </c>
      <c r="M559">
        <v>-4</v>
      </c>
      <c r="O559" t="s">
        <v>1053</v>
      </c>
      <c r="P559">
        <v>-2</v>
      </c>
      <c r="Q559" t="s">
        <v>646</v>
      </c>
      <c r="R559">
        <v>-6</v>
      </c>
      <c r="S559" t="s">
        <v>734</v>
      </c>
      <c r="T559">
        <v>-500</v>
      </c>
      <c r="U559" t="s">
        <v>1347</v>
      </c>
      <c r="V559">
        <v>-0.82279999999999998</v>
      </c>
      <c r="W559" t="s">
        <v>659</v>
      </c>
      <c r="X559">
        <v>-125</v>
      </c>
      <c r="AC559" t="s">
        <v>744</v>
      </c>
      <c r="AD559">
        <v>-1200</v>
      </c>
      <c r="AE559" t="s">
        <v>468</v>
      </c>
      <c r="AF559">
        <v>-1</v>
      </c>
      <c r="AG559" t="s">
        <v>733</v>
      </c>
      <c r="AH559">
        <v>-412</v>
      </c>
      <c r="AI559" t="s">
        <v>154</v>
      </c>
      <c r="AJ559">
        <v>-120</v>
      </c>
      <c r="AK559" t="s">
        <v>127</v>
      </c>
      <c r="AL559">
        <v>-2</v>
      </c>
      <c r="AM559" t="s">
        <v>2464</v>
      </c>
      <c r="AN559">
        <v>-9</v>
      </c>
    </row>
    <row r="560" spans="2:40" x14ac:dyDescent="0.25">
      <c r="B560" t="s">
        <v>689</v>
      </c>
      <c r="C560">
        <v>-1.61</v>
      </c>
      <c r="J560" t="s">
        <v>679</v>
      </c>
      <c r="K560">
        <v>-18.143999999999998</v>
      </c>
      <c r="L560" t="s">
        <v>685</v>
      </c>
      <c r="M560">
        <v>-5</v>
      </c>
      <c r="O560" t="s">
        <v>1485</v>
      </c>
      <c r="P560">
        <v>-4</v>
      </c>
      <c r="Q560" t="s">
        <v>468</v>
      </c>
      <c r="R560">
        <v>-2.0000000000000004</v>
      </c>
      <c r="S560" t="s">
        <v>737</v>
      </c>
      <c r="T560">
        <v>-799.99999999999977</v>
      </c>
      <c r="U560" t="s">
        <v>146</v>
      </c>
      <c r="V560">
        <v>-8</v>
      </c>
      <c r="W560" t="s">
        <v>163</v>
      </c>
      <c r="X560">
        <v>-30</v>
      </c>
      <c r="AC560" t="s">
        <v>406</v>
      </c>
      <c r="AD560">
        <v>-50</v>
      </c>
      <c r="AE560" t="s">
        <v>1088</v>
      </c>
      <c r="AF560">
        <v>-1</v>
      </c>
      <c r="AG560" t="s">
        <v>1516</v>
      </c>
      <c r="AH560">
        <v>-64</v>
      </c>
      <c r="AI560" t="s">
        <v>477</v>
      </c>
      <c r="AJ560">
        <v>-4</v>
      </c>
      <c r="AK560" t="s">
        <v>2312</v>
      </c>
      <c r="AL560">
        <v>-1</v>
      </c>
      <c r="AM560" t="s">
        <v>1293</v>
      </c>
      <c r="AN560">
        <v>-2</v>
      </c>
    </row>
    <row r="561" spans="2:40" x14ac:dyDescent="0.25">
      <c r="B561" t="s">
        <v>690</v>
      </c>
      <c r="C561">
        <v>-0.13</v>
      </c>
      <c r="J561" t="s">
        <v>70</v>
      </c>
      <c r="K561">
        <v>-0.64900000000000002</v>
      </c>
      <c r="L561" t="s">
        <v>686</v>
      </c>
      <c r="M561">
        <v>-21</v>
      </c>
      <c r="O561" t="s">
        <v>1486</v>
      </c>
      <c r="P561">
        <v>-4</v>
      </c>
      <c r="Q561" t="s">
        <v>642</v>
      </c>
      <c r="R561">
        <v>-13</v>
      </c>
      <c r="S561" t="s">
        <v>586</v>
      </c>
      <c r="T561">
        <v>-7893.9999999999982</v>
      </c>
      <c r="U561" t="s">
        <v>162</v>
      </c>
      <c r="V561">
        <v>-177</v>
      </c>
      <c r="W561" t="s">
        <v>1354</v>
      </c>
      <c r="X561">
        <v>-24.000000000000007</v>
      </c>
      <c r="AC561" t="s">
        <v>362</v>
      </c>
      <c r="AD561">
        <v>-600</v>
      </c>
      <c r="AE561" t="s">
        <v>680</v>
      </c>
      <c r="AF561">
        <v>-10</v>
      </c>
      <c r="AG561" t="s">
        <v>835</v>
      </c>
      <c r="AH561">
        <v>-2</v>
      </c>
      <c r="AI561" t="s">
        <v>149</v>
      </c>
      <c r="AJ561">
        <v>-59</v>
      </c>
      <c r="AK561" t="s">
        <v>290</v>
      </c>
      <c r="AL561">
        <v>-15</v>
      </c>
      <c r="AM561" t="s">
        <v>2465</v>
      </c>
      <c r="AN561">
        <v>-1</v>
      </c>
    </row>
    <row r="562" spans="2:40" x14ac:dyDescent="0.25">
      <c r="B562" t="s">
        <v>70</v>
      </c>
      <c r="C562">
        <v>-0.02</v>
      </c>
      <c r="J562" t="s">
        <v>452</v>
      </c>
      <c r="K562">
        <v>-2.0004</v>
      </c>
      <c r="L562" t="s">
        <v>1056</v>
      </c>
      <c r="M562">
        <v>-7</v>
      </c>
      <c r="O562" t="s">
        <v>447</v>
      </c>
      <c r="P562">
        <v>-2.0000999999999998</v>
      </c>
      <c r="Q562" t="s">
        <v>1088</v>
      </c>
      <c r="R562">
        <v>-4</v>
      </c>
      <c r="S562" t="s">
        <v>659</v>
      </c>
      <c r="T562">
        <v>-424.99999999999994</v>
      </c>
      <c r="U562" t="s">
        <v>646</v>
      </c>
      <c r="V562">
        <v>-4</v>
      </c>
      <c r="W562" t="s">
        <v>930</v>
      </c>
      <c r="X562">
        <v>-4</v>
      </c>
      <c r="AC562" t="s">
        <v>947</v>
      </c>
      <c r="AD562">
        <v>-8</v>
      </c>
      <c r="AE562" t="s">
        <v>122</v>
      </c>
      <c r="AF562">
        <v>-1</v>
      </c>
      <c r="AG562" t="s">
        <v>1343</v>
      </c>
      <c r="AH562">
        <v>-90</v>
      </c>
      <c r="AI562" t="s">
        <v>895</v>
      </c>
      <c r="AJ562">
        <v>-1</v>
      </c>
      <c r="AK562" t="s">
        <v>288</v>
      </c>
      <c r="AL562">
        <v>-36</v>
      </c>
      <c r="AM562" t="s">
        <v>193</v>
      </c>
      <c r="AN562">
        <v>-2</v>
      </c>
    </row>
    <row r="563" spans="2:40" x14ac:dyDescent="0.25">
      <c r="B563" t="s">
        <v>452</v>
      </c>
      <c r="C563">
        <v>-6.370000000000001</v>
      </c>
      <c r="J563" t="s">
        <v>569</v>
      </c>
      <c r="K563">
        <v>-0.3</v>
      </c>
      <c r="L563" t="s">
        <v>772</v>
      </c>
      <c r="M563">
        <v>-8</v>
      </c>
      <c r="O563" t="s">
        <v>445</v>
      </c>
      <c r="P563">
        <v>-10.000000000000002</v>
      </c>
      <c r="Q563" t="s">
        <v>122</v>
      </c>
      <c r="R563">
        <v>-4</v>
      </c>
      <c r="S563" t="s">
        <v>163</v>
      </c>
      <c r="T563">
        <v>-30</v>
      </c>
      <c r="U563" t="s">
        <v>468</v>
      </c>
      <c r="V563">
        <v>-3</v>
      </c>
      <c r="W563" t="s">
        <v>89</v>
      </c>
      <c r="X563">
        <v>-12.999999999999996</v>
      </c>
      <c r="AC563" t="s">
        <v>405</v>
      </c>
      <c r="AD563">
        <v>-550</v>
      </c>
      <c r="AE563" t="s">
        <v>557</v>
      </c>
      <c r="AF563">
        <v>-70</v>
      </c>
      <c r="AG563" t="s">
        <v>2180</v>
      </c>
      <c r="AH563">
        <v>-5</v>
      </c>
      <c r="AI563" t="s">
        <v>2243</v>
      </c>
      <c r="AJ563">
        <v>-1</v>
      </c>
      <c r="AK563" t="s">
        <v>47</v>
      </c>
      <c r="AL563">
        <v>-7</v>
      </c>
      <c r="AM563" t="s">
        <v>194</v>
      </c>
      <c r="AN563">
        <v>-16</v>
      </c>
    </row>
    <row r="564" spans="2:40" x14ac:dyDescent="0.25">
      <c r="B564" t="s">
        <v>569</v>
      </c>
      <c r="C564">
        <v>-0.25</v>
      </c>
      <c r="J564" t="s">
        <v>570</v>
      </c>
      <c r="K564">
        <v>-1</v>
      </c>
      <c r="L564" t="s">
        <v>773</v>
      </c>
      <c r="M564">
        <v>-4</v>
      </c>
      <c r="O564" t="s">
        <v>639</v>
      </c>
      <c r="P564">
        <v>-6</v>
      </c>
      <c r="Q564" t="s">
        <v>557</v>
      </c>
      <c r="R564">
        <v>-90.999999999999972</v>
      </c>
      <c r="S564" t="s">
        <v>1354</v>
      </c>
      <c r="T564">
        <v>-3.0024000000000006</v>
      </c>
      <c r="U564" t="s">
        <v>642</v>
      </c>
      <c r="V564">
        <v>-7.0000000000000044</v>
      </c>
      <c r="W564" t="s">
        <v>735</v>
      </c>
      <c r="X564">
        <v>-1000</v>
      </c>
      <c r="AC564" t="s">
        <v>363</v>
      </c>
      <c r="AD564">
        <v>-500</v>
      </c>
      <c r="AE564" t="s">
        <v>558</v>
      </c>
      <c r="AF564">
        <v>-10</v>
      </c>
      <c r="AG564" t="s">
        <v>1517</v>
      </c>
      <c r="AH564">
        <v>-5</v>
      </c>
      <c r="AI564" t="s">
        <v>1310</v>
      </c>
      <c r="AJ564">
        <v>-16</v>
      </c>
      <c r="AK564" t="s">
        <v>132</v>
      </c>
      <c r="AL564">
        <v>-1</v>
      </c>
      <c r="AM564" t="s">
        <v>2466</v>
      </c>
      <c r="AN564">
        <v>-2</v>
      </c>
    </row>
    <row r="565" spans="2:40" x14ac:dyDescent="0.25">
      <c r="B565" t="s">
        <v>106</v>
      </c>
      <c r="C565">
        <v>-4</v>
      </c>
      <c r="J565" t="s">
        <v>71</v>
      </c>
      <c r="K565">
        <v>-1.0002</v>
      </c>
      <c r="L565" t="s">
        <v>1057</v>
      </c>
      <c r="M565">
        <v>-6</v>
      </c>
      <c r="O565" t="s">
        <v>1487</v>
      </c>
      <c r="P565">
        <v>-8</v>
      </c>
      <c r="Q565" t="s">
        <v>558</v>
      </c>
      <c r="R565">
        <v>-53</v>
      </c>
      <c r="S565" t="s">
        <v>1355</v>
      </c>
      <c r="T565">
        <v>-1</v>
      </c>
      <c r="U565" t="s">
        <v>680</v>
      </c>
      <c r="V565">
        <v>-6.9999999999999964</v>
      </c>
      <c r="W565" t="s">
        <v>415</v>
      </c>
      <c r="X565">
        <v>-18.000000000000007</v>
      </c>
      <c r="AC565" t="s">
        <v>623</v>
      </c>
      <c r="AD565">
        <v>-284</v>
      </c>
      <c r="AE565" t="s">
        <v>925</v>
      </c>
      <c r="AF565">
        <v>-3</v>
      </c>
      <c r="AG565" t="s">
        <v>441</v>
      </c>
      <c r="AH565">
        <v>-101.5</v>
      </c>
      <c r="AI565" t="s">
        <v>1065</v>
      </c>
      <c r="AJ565">
        <v>-8</v>
      </c>
      <c r="AK565" t="s">
        <v>2313</v>
      </c>
      <c r="AL565">
        <v>-3</v>
      </c>
      <c r="AM565" t="s">
        <v>2467</v>
      </c>
      <c r="AN565">
        <v>-2</v>
      </c>
    </row>
    <row r="566" spans="2:40" x14ac:dyDescent="0.25">
      <c r="B566" t="s">
        <v>570</v>
      </c>
      <c r="C566">
        <v>-0.29400000000000004</v>
      </c>
      <c r="J566" t="s">
        <v>638</v>
      </c>
      <c r="K566">
        <v>-5</v>
      </c>
      <c r="L566" t="s">
        <v>1058</v>
      </c>
      <c r="M566">
        <v>-10</v>
      </c>
      <c r="O566" t="s">
        <v>446</v>
      </c>
      <c r="P566">
        <v>-5.0001999999999995</v>
      </c>
      <c r="Q566" t="s">
        <v>925</v>
      </c>
      <c r="R566">
        <v>-2</v>
      </c>
      <c r="S566" t="s">
        <v>930</v>
      </c>
      <c r="T566">
        <v>-8</v>
      </c>
      <c r="U566" t="s">
        <v>557</v>
      </c>
      <c r="V566">
        <v>-7</v>
      </c>
      <c r="W566" t="s">
        <v>932</v>
      </c>
      <c r="X566">
        <v>-3</v>
      </c>
      <c r="AC566" t="s">
        <v>1527</v>
      </c>
      <c r="AD566">
        <v>-1000</v>
      </c>
      <c r="AE566" t="s">
        <v>1089</v>
      </c>
      <c r="AF566">
        <v>-194</v>
      </c>
      <c r="AG566" t="s">
        <v>341</v>
      </c>
      <c r="AH566">
        <v>-277.79999999999995</v>
      </c>
      <c r="AI566" t="s">
        <v>896</v>
      </c>
      <c r="AJ566">
        <v>-1</v>
      </c>
      <c r="AK566" t="s">
        <v>617</v>
      </c>
      <c r="AL566">
        <v>-17</v>
      </c>
      <c r="AM566" t="s">
        <v>2468</v>
      </c>
      <c r="AN566">
        <v>-5</v>
      </c>
    </row>
    <row r="567" spans="2:40" x14ac:dyDescent="0.25">
      <c r="B567" t="s">
        <v>71</v>
      </c>
      <c r="C567">
        <v>-0.4</v>
      </c>
      <c r="J567" t="s">
        <v>577</v>
      </c>
      <c r="K567">
        <v>-40</v>
      </c>
      <c r="L567" t="s">
        <v>1059</v>
      </c>
      <c r="M567">
        <v>-2</v>
      </c>
      <c r="O567" t="s">
        <v>685</v>
      </c>
      <c r="P567">
        <v>-12.049199999999999</v>
      </c>
      <c r="Q567" t="s">
        <v>466</v>
      </c>
      <c r="R567">
        <v>-1</v>
      </c>
      <c r="S567" t="s">
        <v>415</v>
      </c>
      <c r="T567">
        <v>-6</v>
      </c>
      <c r="U567" t="s">
        <v>1348</v>
      </c>
      <c r="V567">
        <v>-1</v>
      </c>
      <c r="W567" t="s">
        <v>103</v>
      </c>
      <c r="X567">
        <v>-56.999999999999986</v>
      </c>
      <c r="AC567" t="s">
        <v>949</v>
      </c>
      <c r="AD567">
        <v>-1</v>
      </c>
      <c r="AE567" t="s">
        <v>651</v>
      </c>
      <c r="AF567">
        <v>-40.000000000000007</v>
      </c>
      <c r="AG567" t="s">
        <v>590</v>
      </c>
      <c r="AH567">
        <v>-37.799999999999997</v>
      </c>
      <c r="AI567" t="s">
        <v>231</v>
      </c>
      <c r="AJ567">
        <v>-128</v>
      </c>
      <c r="AK567" t="s">
        <v>145</v>
      </c>
      <c r="AL567">
        <v>-2</v>
      </c>
      <c r="AM567" t="s">
        <v>1295</v>
      </c>
      <c r="AN567">
        <v>-6</v>
      </c>
    </row>
    <row r="568" spans="2:40" x14ac:dyDescent="0.25">
      <c r="B568" t="s">
        <v>691</v>
      </c>
      <c r="C568">
        <v>-1.5</v>
      </c>
      <c r="J568" t="s">
        <v>572</v>
      </c>
      <c r="K568">
        <v>-13.2</v>
      </c>
      <c r="L568" t="s">
        <v>1301</v>
      </c>
      <c r="M568">
        <v>-9</v>
      </c>
      <c r="O568" t="s">
        <v>686</v>
      </c>
      <c r="P568">
        <v>-27.75</v>
      </c>
      <c r="Q568" t="s">
        <v>1349</v>
      </c>
      <c r="R568">
        <v>-3.600000000000001</v>
      </c>
      <c r="S568" t="s">
        <v>1623</v>
      </c>
      <c r="T568">
        <v>-7</v>
      </c>
      <c r="U568" t="s">
        <v>1349</v>
      </c>
      <c r="V568">
        <v>-2</v>
      </c>
      <c r="W568" t="s">
        <v>161</v>
      </c>
      <c r="X568">
        <v>-4.9999999999999991</v>
      </c>
      <c r="AC568" t="s">
        <v>156</v>
      </c>
      <c r="AD568">
        <v>-6.2200000000000006</v>
      </c>
      <c r="AE568" t="s">
        <v>926</v>
      </c>
      <c r="AF568">
        <v>-9</v>
      </c>
      <c r="AG568" t="s">
        <v>443</v>
      </c>
      <c r="AH568">
        <v>-91.8</v>
      </c>
      <c r="AI568" t="s">
        <v>24</v>
      </c>
      <c r="AJ568">
        <v>-8</v>
      </c>
      <c r="AK568" t="s">
        <v>62</v>
      </c>
      <c r="AL568">
        <v>-9</v>
      </c>
      <c r="AM568" t="s">
        <v>220</v>
      </c>
      <c r="AN568">
        <v>-3</v>
      </c>
    </row>
    <row r="569" spans="2:40" x14ac:dyDescent="0.25">
      <c r="B569" t="s">
        <v>638</v>
      </c>
      <c r="C569">
        <v>-11.2</v>
      </c>
      <c r="J569" t="s">
        <v>573</v>
      </c>
      <c r="K569">
        <v>-0.2</v>
      </c>
      <c r="L569" t="s">
        <v>1302</v>
      </c>
      <c r="M569">
        <v>-55</v>
      </c>
      <c r="O569" t="s">
        <v>1488</v>
      </c>
      <c r="P569">
        <v>-7</v>
      </c>
      <c r="Q569" t="s">
        <v>1350</v>
      </c>
      <c r="R569">
        <v>-20.000000000000004</v>
      </c>
      <c r="S569" t="s">
        <v>932</v>
      </c>
      <c r="T569">
        <v>-1.9999999999999998</v>
      </c>
      <c r="U569" t="s">
        <v>651</v>
      </c>
      <c r="V569">
        <v>-35.999999999999986</v>
      </c>
      <c r="W569" t="s">
        <v>587</v>
      </c>
      <c r="X569">
        <v>-600</v>
      </c>
      <c r="AC569" t="s">
        <v>157</v>
      </c>
      <c r="AD569">
        <v>-26.1</v>
      </c>
      <c r="AE569" t="s">
        <v>927</v>
      </c>
      <c r="AF569">
        <v>-6</v>
      </c>
      <c r="AG569" t="s">
        <v>442</v>
      </c>
      <c r="AH569">
        <v>-207.90000000000003</v>
      </c>
      <c r="AI569" t="s">
        <v>1851</v>
      </c>
      <c r="AJ569">
        <v>-8</v>
      </c>
      <c r="AK569" t="s">
        <v>282</v>
      </c>
      <c r="AL569">
        <v>-12</v>
      </c>
      <c r="AM569" t="s">
        <v>79</v>
      </c>
      <c r="AN569">
        <v>-450</v>
      </c>
    </row>
    <row r="570" spans="2:40" x14ac:dyDescent="0.25">
      <c r="B570" t="s">
        <v>692</v>
      </c>
      <c r="C570">
        <v>-0.61</v>
      </c>
      <c r="J570" t="s">
        <v>423</v>
      </c>
      <c r="K570">
        <v>-1.9019999999999999</v>
      </c>
      <c r="L570" t="s">
        <v>1303</v>
      </c>
      <c r="M570">
        <v>-5</v>
      </c>
      <c r="O570" t="s">
        <v>772</v>
      </c>
      <c r="P570">
        <v>-8</v>
      </c>
      <c r="Q570" t="s">
        <v>651</v>
      </c>
      <c r="R570">
        <v>-47.000000000000007</v>
      </c>
      <c r="S570" t="s">
        <v>103</v>
      </c>
      <c r="T570">
        <v>-36.999999999999993</v>
      </c>
      <c r="U570" t="s">
        <v>1351</v>
      </c>
      <c r="V570">
        <v>-1</v>
      </c>
      <c r="W570" t="s">
        <v>597</v>
      </c>
      <c r="X570">
        <v>-1</v>
      </c>
      <c r="AC570" t="s">
        <v>604</v>
      </c>
      <c r="AD570">
        <v>-0.27999999999999997</v>
      </c>
      <c r="AE570" t="s">
        <v>737</v>
      </c>
      <c r="AF570">
        <v>-999.99999999999966</v>
      </c>
      <c r="AG570" t="s">
        <v>739</v>
      </c>
      <c r="AH570">
        <v>-8</v>
      </c>
      <c r="AI570" t="s">
        <v>158</v>
      </c>
      <c r="AJ570">
        <v>-10</v>
      </c>
      <c r="AK570" t="s">
        <v>77</v>
      </c>
      <c r="AL570">
        <v>-6</v>
      </c>
      <c r="AM570" t="s">
        <v>383</v>
      </c>
      <c r="AN570">
        <v>-32</v>
      </c>
    </row>
    <row r="571" spans="2:40" x14ac:dyDescent="0.25">
      <c r="B571" t="s">
        <v>693</v>
      </c>
      <c r="C571">
        <v>-0.27</v>
      </c>
      <c r="J571" t="s">
        <v>839</v>
      </c>
      <c r="K571">
        <v>-18</v>
      </c>
      <c r="L571" t="s">
        <v>1304</v>
      </c>
      <c r="M571">
        <v>-3</v>
      </c>
      <c r="O571" t="s">
        <v>773</v>
      </c>
      <c r="P571">
        <v>-6</v>
      </c>
      <c r="Q571" t="s">
        <v>926</v>
      </c>
      <c r="R571">
        <v>-6.0000000000000018</v>
      </c>
      <c r="S571" t="s">
        <v>587</v>
      </c>
      <c r="T571">
        <v>-469.99999999999983</v>
      </c>
      <c r="U571" t="s">
        <v>926</v>
      </c>
      <c r="V571">
        <v>-1</v>
      </c>
      <c r="W571" t="s">
        <v>101</v>
      </c>
      <c r="X571">
        <v>-34</v>
      </c>
      <c r="AC571" t="s">
        <v>371</v>
      </c>
      <c r="AD571">
        <v>-6</v>
      </c>
      <c r="AE571" t="s">
        <v>555</v>
      </c>
      <c r="AF571">
        <v>-300</v>
      </c>
      <c r="AG571" t="s">
        <v>918</v>
      </c>
      <c r="AH571">
        <v>-130</v>
      </c>
      <c r="AI571" t="s">
        <v>898</v>
      </c>
      <c r="AJ571">
        <v>-20</v>
      </c>
      <c r="AK571" t="s">
        <v>374</v>
      </c>
      <c r="AL571">
        <v>-6</v>
      </c>
      <c r="AM571" t="s">
        <v>2469</v>
      </c>
      <c r="AN571">
        <v>-1</v>
      </c>
    </row>
    <row r="572" spans="2:40" x14ac:dyDescent="0.25">
      <c r="B572" t="s">
        <v>694</v>
      </c>
      <c r="C572">
        <v>-8</v>
      </c>
      <c r="J572" t="s">
        <v>108</v>
      </c>
      <c r="K572">
        <v>-6</v>
      </c>
      <c r="L572" t="s">
        <v>1061</v>
      </c>
      <c r="M572">
        <v>-4</v>
      </c>
      <c r="O572" t="s">
        <v>1489</v>
      </c>
      <c r="P572">
        <v>-6</v>
      </c>
      <c r="Q572" t="s">
        <v>559</v>
      </c>
      <c r="R572">
        <v>-40.25</v>
      </c>
      <c r="S572" t="s">
        <v>597</v>
      </c>
      <c r="T572">
        <v>-1</v>
      </c>
      <c r="U572" t="s">
        <v>559</v>
      </c>
      <c r="V572">
        <v>-1.9999999999999996</v>
      </c>
      <c r="W572" t="s">
        <v>1091</v>
      </c>
      <c r="X572">
        <v>-4.0000000000000009</v>
      </c>
      <c r="AC572" t="s">
        <v>343</v>
      </c>
      <c r="AD572">
        <v>-28.999999999999996</v>
      </c>
      <c r="AE572" t="s">
        <v>1352</v>
      </c>
      <c r="AF572">
        <v>-3</v>
      </c>
      <c r="AG572" t="s">
        <v>629</v>
      </c>
      <c r="AH572">
        <v>-23</v>
      </c>
      <c r="AI572" t="s">
        <v>761</v>
      </c>
      <c r="AJ572">
        <v>-3</v>
      </c>
      <c r="AK572" t="s">
        <v>63</v>
      </c>
      <c r="AL572">
        <v>-27</v>
      </c>
      <c r="AM572" t="s">
        <v>2470</v>
      </c>
      <c r="AN572">
        <v>-2</v>
      </c>
    </row>
    <row r="573" spans="2:40" x14ac:dyDescent="0.25">
      <c r="B573" t="s">
        <v>571</v>
      </c>
      <c r="C573">
        <v>-13.55</v>
      </c>
      <c r="J573" t="s">
        <v>1103</v>
      </c>
      <c r="K573">
        <v>-10</v>
      </c>
      <c r="L573" t="s">
        <v>1305</v>
      </c>
      <c r="M573">
        <v>-2</v>
      </c>
      <c r="O573" t="s">
        <v>1490</v>
      </c>
      <c r="P573">
        <v>-1</v>
      </c>
      <c r="Q573" t="s">
        <v>418</v>
      </c>
      <c r="R573">
        <v>-8.0000000000000018</v>
      </c>
      <c r="S573" t="s">
        <v>1703</v>
      </c>
      <c r="T573">
        <v>-8</v>
      </c>
      <c r="U573" t="s">
        <v>418</v>
      </c>
      <c r="V573">
        <v>-1</v>
      </c>
      <c r="W573" t="s">
        <v>661</v>
      </c>
      <c r="X573">
        <v>-145.8300000000001</v>
      </c>
      <c r="AC573" t="s">
        <v>419</v>
      </c>
      <c r="AD573">
        <v>-23</v>
      </c>
      <c r="AE573" t="s">
        <v>586</v>
      </c>
      <c r="AF573">
        <v>-3885.7499999999991</v>
      </c>
      <c r="AG573" t="s">
        <v>630</v>
      </c>
      <c r="AH573">
        <v>-26.000000000000004</v>
      </c>
      <c r="AI573" t="s">
        <v>144</v>
      </c>
      <c r="AJ573">
        <v>-5</v>
      </c>
      <c r="AK573" t="s">
        <v>195</v>
      </c>
      <c r="AL573">
        <v>-14</v>
      </c>
      <c r="AM573" t="s">
        <v>2471</v>
      </c>
      <c r="AN573">
        <v>-1</v>
      </c>
    </row>
    <row r="574" spans="2:40" x14ac:dyDescent="0.25">
      <c r="B574" t="s">
        <v>608</v>
      </c>
      <c r="C574">
        <v>-42.000000000000007</v>
      </c>
      <c r="J574" t="s">
        <v>611</v>
      </c>
      <c r="K574">
        <v>-7</v>
      </c>
      <c r="L574" t="s">
        <v>605</v>
      </c>
      <c r="M574">
        <v>-5</v>
      </c>
      <c r="O574" t="s">
        <v>1491</v>
      </c>
      <c r="P574">
        <v>-7</v>
      </c>
      <c r="Q574" t="s">
        <v>927</v>
      </c>
      <c r="R574">
        <v>-6.1666999999999987</v>
      </c>
      <c r="S574" t="s">
        <v>933</v>
      </c>
      <c r="T574">
        <v>-1.2604</v>
      </c>
      <c r="U574" t="s">
        <v>1768</v>
      </c>
      <c r="V574">
        <v>-1.9999999999999996</v>
      </c>
      <c r="W574" t="s">
        <v>935</v>
      </c>
      <c r="X574">
        <v>-98.999999999999957</v>
      </c>
      <c r="AC574" t="s">
        <v>430</v>
      </c>
      <c r="AD574">
        <v>-8</v>
      </c>
      <c r="AE574" t="s">
        <v>163</v>
      </c>
      <c r="AF574">
        <v>-24</v>
      </c>
      <c r="AG574" t="s">
        <v>1344</v>
      </c>
      <c r="AH574">
        <v>-3</v>
      </c>
      <c r="AI574" t="s">
        <v>227</v>
      </c>
      <c r="AJ574">
        <v>-36</v>
      </c>
      <c r="AK574" t="s">
        <v>727</v>
      </c>
      <c r="AL574">
        <v>-18</v>
      </c>
      <c r="AM574" t="s">
        <v>2472</v>
      </c>
      <c r="AN574">
        <v>-1</v>
      </c>
    </row>
    <row r="575" spans="2:40" x14ac:dyDescent="0.25">
      <c r="B575" t="s">
        <v>695</v>
      </c>
      <c r="C575">
        <v>-6</v>
      </c>
      <c r="J575" t="s">
        <v>612</v>
      </c>
      <c r="K575">
        <v>-10</v>
      </c>
      <c r="L575" t="s">
        <v>893</v>
      </c>
      <c r="M575">
        <v>-9</v>
      </c>
      <c r="O575" t="s">
        <v>1492</v>
      </c>
      <c r="P575">
        <v>-8</v>
      </c>
      <c r="Q575" t="s">
        <v>737</v>
      </c>
      <c r="R575">
        <v>-900.00000000000023</v>
      </c>
      <c r="S575" t="s">
        <v>934</v>
      </c>
      <c r="T575">
        <v>-9.9999999999999964</v>
      </c>
      <c r="U575" t="s">
        <v>927</v>
      </c>
      <c r="V575">
        <v>-15.000000000000007</v>
      </c>
      <c r="W575" t="s">
        <v>660</v>
      </c>
      <c r="X575">
        <v>-10</v>
      </c>
      <c r="AC575" t="s">
        <v>432</v>
      </c>
      <c r="AD575">
        <v>-0.80999999999999994</v>
      </c>
      <c r="AE575" t="s">
        <v>1355</v>
      </c>
      <c r="AF575">
        <v>-1</v>
      </c>
      <c r="AG575" t="s">
        <v>641</v>
      </c>
      <c r="AH575">
        <v>-32.29999999999999</v>
      </c>
      <c r="AI575" t="s">
        <v>648</v>
      </c>
      <c r="AJ575">
        <v>-50</v>
      </c>
      <c r="AK575" t="s">
        <v>728</v>
      </c>
      <c r="AL575">
        <v>-4</v>
      </c>
      <c r="AM575" t="s">
        <v>2473</v>
      </c>
      <c r="AN575">
        <v>-1</v>
      </c>
    </row>
    <row r="576" spans="2:40" x14ac:dyDescent="0.25">
      <c r="B576" t="s">
        <v>696</v>
      </c>
      <c r="C576">
        <v>-12.97</v>
      </c>
      <c r="J576" t="s">
        <v>644</v>
      </c>
      <c r="K576">
        <v>-5</v>
      </c>
      <c r="L576" t="s">
        <v>1062</v>
      </c>
      <c r="M576">
        <v>-4</v>
      </c>
      <c r="O576" t="s">
        <v>890</v>
      </c>
      <c r="P576">
        <v>-6</v>
      </c>
      <c r="Q576" t="s">
        <v>555</v>
      </c>
      <c r="R576">
        <v>-220</v>
      </c>
      <c r="S576" t="s">
        <v>101</v>
      </c>
      <c r="T576">
        <v>-29.990000000000023</v>
      </c>
      <c r="U576" t="s">
        <v>734</v>
      </c>
      <c r="V576">
        <v>-500</v>
      </c>
      <c r="W576" t="s">
        <v>72</v>
      </c>
      <c r="X576">
        <v>-23.500000000000004</v>
      </c>
      <c r="AC576" t="s">
        <v>610</v>
      </c>
      <c r="AD576">
        <v>-30</v>
      </c>
      <c r="AE576" t="s">
        <v>930</v>
      </c>
      <c r="AF576">
        <v>-5</v>
      </c>
      <c r="AG576" t="s">
        <v>738</v>
      </c>
      <c r="AH576">
        <v>-15</v>
      </c>
      <c r="AI576" t="s">
        <v>388</v>
      </c>
      <c r="AJ576">
        <v>-48</v>
      </c>
      <c r="AK576" t="s">
        <v>615</v>
      </c>
      <c r="AL576">
        <v>-5</v>
      </c>
      <c r="AM576" t="s">
        <v>2474</v>
      </c>
      <c r="AN576">
        <v>-3</v>
      </c>
    </row>
    <row r="577" spans="2:40" x14ac:dyDescent="0.25">
      <c r="B577" t="s">
        <v>763</v>
      </c>
      <c r="C577">
        <v>-0.5</v>
      </c>
      <c r="J577" t="s">
        <v>485</v>
      </c>
      <c r="K577">
        <v>-20</v>
      </c>
      <c r="L577" t="s">
        <v>1063</v>
      </c>
      <c r="M577">
        <v>-45</v>
      </c>
      <c r="O577" t="s">
        <v>326</v>
      </c>
      <c r="P577">
        <v>-4</v>
      </c>
      <c r="Q577" t="s">
        <v>1352</v>
      </c>
      <c r="R577">
        <v>-1</v>
      </c>
      <c r="S577" t="s">
        <v>1091</v>
      </c>
      <c r="T577">
        <v>-5.0000000000000009</v>
      </c>
      <c r="U577" t="s">
        <v>555</v>
      </c>
      <c r="V577">
        <v>-600</v>
      </c>
      <c r="W577" t="s">
        <v>936</v>
      </c>
      <c r="X577">
        <v>-25.999999999999993</v>
      </c>
      <c r="AC577" t="s">
        <v>342</v>
      </c>
      <c r="AD577">
        <v>-10</v>
      </c>
      <c r="AE577" t="s">
        <v>89</v>
      </c>
      <c r="AF577">
        <v>-2.0000000000000009</v>
      </c>
      <c r="AG577" t="s">
        <v>640</v>
      </c>
      <c r="AH577">
        <v>-17</v>
      </c>
      <c r="AI577" t="s">
        <v>247</v>
      </c>
      <c r="AJ577">
        <v>-1</v>
      </c>
      <c r="AK577" t="s">
        <v>355</v>
      </c>
      <c r="AL577">
        <v>-2732</v>
      </c>
      <c r="AM577" t="s">
        <v>671</v>
      </c>
      <c r="AN577">
        <v>-4</v>
      </c>
    </row>
    <row r="578" spans="2:40" x14ac:dyDescent="0.25">
      <c r="B578" t="s">
        <v>697</v>
      </c>
      <c r="C578">
        <v>-0.03</v>
      </c>
      <c r="J578" t="s">
        <v>123</v>
      </c>
      <c r="K578">
        <v>-25</v>
      </c>
      <c r="L578" t="s">
        <v>894</v>
      </c>
      <c r="M578">
        <v>-10</v>
      </c>
      <c r="O578" t="s">
        <v>605</v>
      </c>
      <c r="P578">
        <v>-20</v>
      </c>
      <c r="Q578" t="s">
        <v>586</v>
      </c>
      <c r="R578">
        <v>-7800</v>
      </c>
      <c r="S578" t="s">
        <v>1704</v>
      </c>
      <c r="T578">
        <v>-444</v>
      </c>
      <c r="U578" t="s">
        <v>929</v>
      </c>
      <c r="V578">
        <v>-7</v>
      </c>
      <c r="W578" t="s">
        <v>1624</v>
      </c>
      <c r="X578">
        <v>-15</v>
      </c>
      <c r="AC578" t="s">
        <v>837</v>
      </c>
      <c r="AD578">
        <v>-15</v>
      </c>
      <c r="AE578" t="s">
        <v>735</v>
      </c>
      <c r="AF578">
        <v>-1222.22</v>
      </c>
      <c r="AG578" t="s">
        <v>650</v>
      </c>
      <c r="AH578">
        <v>-5.0000000000000009</v>
      </c>
      <c r="AI578" t="s">
        <v>1691</v>
      </c>
      <c r="AJ578">
        <v>-1</v>
      </c>
      <c r="AK578" t="s">
        <v>384</v>
      </c>
      <c r="AL578">
        <v>-228</v>
      </c>
      <c r="AM578" t="s">
        <v>672</v>
      </c>
      <c r="AN578">
        <v>-4</v>
      </c>
    </row>
    <row r="579" spans="2:40" x14ac:dyDescent="0.25">
      <c r="B579" t="s">
        <v>764</v>
      </c>
      <c r="C579">
        <v>-1.6</v>
      </c>
      <c r="J579" t="s">
        <v>486</v>
      </c>
      <c r="K579">
        <v>-15</v>
      </c>
      <c r="L579" t="s">
        <v>1306</v>
      </c>
      <c r="M579">
        <v>-2</v>
      </c>
      <c r="O579" t="s">
        <v>893</v>
      </c>
      <c r="P579">
        <v>-20</v>
      </c>
      <c r="Q579" t="s">
        <v>659</v>
      </c>
      <c r="R579">
        <v>-100.0241</v>
      </c>
      <c r="S579" t="s">
        <v>1705</v>
      </c>
      <c r="T579">
        <v>-1</v>
      </c>
      <c r="U579" t="s">
        <v>586</v>
      </c>
      <c r="V579">
        <v>-8183.0000000000009</v>
      </c>
      <c r="W579" t="s">
        <v>937</v>
      </c>
      <c r="X579">
        <v>-5.9999999999999982</v>
      </c>
      <c r="AC579" t="s">
        <v>436</v>
      </c>
      <c r="AD579">
        <v>-11</v>
      </c>
      <c r="AE579" t="s">
        <v>415</v>
      </c>
      <c r="AF579">
        <v>-8</v>
      </c>
      <c r="AG579" t="s">
        <v>467</v>
      </c>
      <c r="AH579">
        <v>-8</v>
      </c>
      <c r="AI579" t="s">
        <v>476</v>
      </c>
      <c r="AJ579">
        <v>-5</v>
      </c>
      <c r="AK579" t="s">
        <v>733</v>
      </c>
      <c r="AL579">
        <v>-384</v>
      </c>
      <c r="AM579" t="s">
        <v>639</v>
      </c>
      <c r="AN579">
        <v>-1</v>
      </c>
    </row>
    <row r="580" spans="2:40" x14ac:dyDescent="0.25">
      <c r="B580" t="s">
        <v>765</v>
      </c>
      <c r="C580">
        <v>-1</v>
      </c>
      <c r="J580" t="s">
        <v>781</v>
      </c>
      <c r="L580" t="s">
        <v>1307</v>
      </c>
      <c r="M580">
        <v>-8</v>
      </c>
      <c r="O580" t="s">
        <v>1062</v>
      </c>
      <c r="P580">
        <v>-6</v>
      </c>
      <c r="Q580" t="s">
        <v>163</v>
      </c>
      <c r="R580">
        <v>-15</v>
      </c>
      <c r="S580" t="s">
        <v>661</v>
      </c>
      <c r="T580">
        <v>-119</v>
      </c>
      <c r="U580" t="s">
        <v>1769</v>
      </c>
      <c r="V580">
        <v>-5</v>
      </c>
      <c r="W580" t="s">
        <v>938</v>
      </c>
      <c r="X580">
        <v>-20</v>
      </c>
      <c r="AC580" t="s">
        <v>437</v>
      </c>
      <c r="AD580">
        <v>-25</v>
      </c>
      <c r="AE580" t="s">
        <v>2127</v>
      </c>
      <c r="AF580">
        <v>-1</v>
      </c>
      <c r="AG580" t="s">
        <v>589</v>
      </c>
      <c r="AH580">
        <v>-59</v>
      </c>
      <c r="AI580" t="s">
        <v>717</v>
      </c>
      <c r="AJ580">
        <v>-38</v>
      </c>
      <c r="AK580" t="s">
        <v>2314</v>
      </c>
      <c r="AL580">
        <v>-1</v>
      </c>
      <c r="AM580" t="s">
        <v>2475</v>
      </c>
      <c r="AN580">
        <v>-9</v>
      </c>
    </row>
    <row r="581" spans="2:40" x14ac:dyDescent="0.25">
      <c r="B581" t="s">
        <v>577</v>
      </c>
      <c r="C581">
        <v>-245</v>
      </c>
      <c r="J581" t="s">
        <v>782</v>
      </c>
      <c r="K581">
        <v>-38549.629299999993</v>
      </c>
      <c r="L581" t="s">
        <v>372</v>
      </c>
      <c r="M581">
        <v>-4</v>
      </c>
      <c r="O581" t="s">
        <v>1063</v>
      </c>
      <c r="P581">
        <v>-63</v>
      </c>
      <c r="Q581" t="s">
        <v>1355</v>
      </c>
      <c r="R581">
        <v>-1</v>
      </c>
      <c r="S581" t="s">
        <v>935</v>
      </c>
      <c r="T581">
        <v>-86.000000000000014</v>
      </c>
      <c r="U581" t="s">
        <v>659</v>
      </c>
      <c r="V581">
        <v>-452.75869999999935</v>
      </c>
      <c r="W581" t="s">
        <v>939</v>
      </c>
      <c r="X581">
        <v>-20</v>
      </c>
      <c r="AC581" t="s">
        <v>1717</v>
      </c>
      <c r="AD581">
        <v>-9</v>
      </c>
      <c r="AE581" t="s">
        <v>103</v>
      </c>
      <c r="AF581">
        <v>-120.99999999999997</v>
      </c>
      <c r="AG581" t="s">
        <v>920</v>
      </c>
      <c r="AH581">
        <v>-4</v>
      </c>
      <c r="AI581" t="s">
        <v>716</v>
      </c>
      <c r="AJ581">
        <v>-10</v>
      </c>
      <c r="AK581" t="s">
        <v>2253</v>
      </c>
      <c r="AL581">
        <v>-34</v>
      </c>
      <c r="AM581" t="s">
        <v>685</v>
      </c>
      <c r="AN581">
        <v>-3</v>
      </c>
    </row>
    <row r="582" spans="2:40" x14ac:dyDescent="0.25">
      <c r="B582" t="s">
        <v>698</v>
      </c>
      <c r="C582">
        <v>-3.82</v>
      </c>
      <c r="L582" t="s">
        <v>232</v>
      </c>
      <c r="M582">
        <v>-6</v>
      </c>
      <c r="O582" t="s">
        <v>894</v>
      </c>
      <c r="P582">
        <v>-13</v>
      </c>
      <c r="Q582" t="s">
        <v>930</v>
      </c>
      <c r="R582">
        <v>-8</v>
      </c>
      <c r="S582" t="s">
        <v>72</v>
      </c>
      <c r="T582">
        <v>-18.599999999999991</v>
      </c>
      <c r="U582" t="s">
        <v>163</v>
      </c>
      <c r="V582">
        <v>-20</v>
      </c>
      <c r="W582" t="s">
        <v>940</v>
      </c>
      <c r="X582">
        <v>-20</v>
      </c>
      <c r="AC582" t="s">
        <v>583</v>
      </c>
      <c r="AD582">
        <v>-0.3</v>
      </c>
      <c r="AE582" t="s">
        <v>161</v>
      </c>
      <c r="AF582">
        <v>-2.75</v>
      </c>
      <c r="AG582" t="s">
        <v>584</v>
      </c>
      <c r="AH582">
        <v>-14</v>
      </c>
      <c r="AI582" t="s">
        <v>1070</v>
      </c>
      <c r="AJ582">
        <v>-1</v>
      </c>
      <c r="AK582" t="s">
        <v>1516</v>
      </c>
      <c r="AL582">
        <v>-117</v>
      </c>
      <c r="AM582" t="s">
        <v>686</v>
      </c>
      <c r="AN582">
        <v>-7</v>
      </c>
    </row>
    <row r="583" spans="2:40" x14ac:dyDescent="0.25">
      <c r="B583" t="s">
        <v>500</v>
      </c>
      <c r="C583">
        <v>-37.299999999999983</v>
      </c>
      <c r="L583" t="s">
        <v>1308</v>
      </c>
      <c r="M583">
        <v>-2</v>
      </c>
      <c r="O583" t="s">
        <v>372</v>
      </c>
      <c r="P583">
        <v>-22</v>
      </c>
      <c r="Q583" t="s">
        <v>89</v>
      </c>
      <c r="R583">
        <v>-4.9999999999999991</v>
      </c>
      <c r="S583" t="s">
        <v>936</v>
      </c>
      <c r="T583">
        <v>-11.999999999999995</v>
      </c>
      <c r="U583" t="s">
        <v>930</v>
      </c>
      <c r="V583">
        <v>-1</v>
      </c>
      <c r="W583" t="s">
        <v>102</v>
      </c>
      <c r="X583">
        <v>-20</v>
      </c>
      <c r="AC583" t="s">
        <v>347</v>
      </c>
      <c r="AD583">
        <v>-2.9</v>
      </c>
      <c r="AE583" t="s">
        <v>587</v>
      </c>
      <c r="AF583">
        <v>-728.55</v>
      </c>
      <c r="AG583" t="s">
        <v>1346</v>
      </c>
      <c r="AH583">
        <v>-7.9999999999999991</v>
      </c>
      <c r="AI583" t="s">
        <v>76</v>
      </c>
      <c r="AJ583">
        <v>-24</v>
      </c>
      <c r="AK583" t="s">
        <v>441</v>
      </c>
      <c r="AL583">
        <v>-192.00000000000011</v>
      </c>
      <c r="AM583" t="s">
        <v>772</v>
      </c>
      <c r="AN583">
        <v>-5</v>
      </c>
    </row>
    <row r="584" spans="2:40" x14ac:dyDescent="0.25">
      <c r="B584" t="s">
        <v>572</v>
      </c>
      <c r="C584">
        <v>-28.3</v>
      </c>
      <c r="L584" t="s">
        <v>1064</v>
      </c>
      <c r="M584">
        <v>-4</v>
      </c>
      <c r="O584" t="s">
        <v>232</v>
      </c>
      <c r="P584">
        <v>-15</v>
      </c>
      <c r="Q584" t="s">
        <v>735</v>
      </c>
      <c r="R584">
        <v>-1000</v>
      </c>
      <c r="S584" t="s">
        <v>1624</v>
      </c>
      <c r="T584">
        <v>-3</v>
      </c>
      <c r="U584" t="s">
        <v>89</v>
      </c>
      <c r="V584">
        <v>-30</v>
      </c>
      <c r="W584" t="s">
        <v>104</v>
      </c>
      <c r="X584">
        <v>-59</v>
      </c>
      <c r="AC584" t="s">
        <v>483</v>
      </c>
      <c r="AD584">
        <v>-1</v>
      </c>
      <c r="AE584" t="s">
        <v>597</v>
      </c>
      <c r="AF584">
        <v>-1</v>
      </c>
      <c r="AG584" t="s">
        <v>921</v>
      </c>
      <c r="AH584">
        <v>-13.999999999999996</v>
      </c>
      <c r="AI584" t="s">
        <v>131</v>
      </c>
      <c r="AJ584">
        <v>-1</v>
      </c>
      <c r="AK584" t="s">
        <v>341</v>
      </c>
      <c r="AL584">
        <v>-483.61500000000001</v>
      </c>
      <c r="AM584" t="s">
        <v>773</v>
      </c>
      <c r="AN584">
        <v>-2</v>
      </c>
    </row>
    <row r="585" spans="2:40" x14ac:dyDescent="0.25">
      <c r="B585" t="s">
        <v>503</v>
      </c>
      <c r="C585">
        <v>-22.52</v>
      </c>
      <c r="L585" t="s">
        <v>830</v>
      </c>
      <c r="M585">
        <v>-3</v>
      </c>
      <c r="O585" t="s">
        <v>78</v>
      </c>
      <c r="P585">
        <v>-4</v>
      </c>
      <c r="Q585" t="s">
        <v>415</v>
      </c>
      <c r="R585">
        <v>-8</v>
      </c>
      <c r="S585" t="s">
        <v>937</v>
      </c>
      <c r="T585">
        <v>-15.999999999999991</v>
      </c>
      <c r="U585" t="s">
        <v>1770</v>
      </c>
      <c r="V585">
        <v>-5</v>
      </c>
      <c r="W585" t="s">
        <v>588</v>
      </c>
      <c r="X585">
        <v>-5</v>
      </c>
      <c r="AC585" t="s">
        <v>1100</v>
      </c>
      <c r="AD585">
        <v>-5</v>
      </c>
      <c r="AE585" t="s">
        <v>933</v>
      </c>
      <c r="AF585">
        <v>-8</v>
      </c>
      <c r="AG585" t="s">
        <v>2181</v>
      </c>
      <c r="AH585">
        <v>-4</v>
      </c>
      <c r="AI585" t="s">
        <v>1861</v>
      </c>
      <c r="AJ585">
        <v>-2</v>
      </c>
      <c r="AK585" t="s">
        <v>590</v>
      </c>
      <c r="AL585">
        <v>-112.60500000000008</v>
      </c>
      <c r="AM585" t="s">
        <v>2170</v>
      </c>
      <c r="AN585">
        <v>-7.9999999999999991</v>
      </c>
    </row>
    <row r="586" spans="2:40" x14ac:dyDescent="0.25">
      <c r="B586" t="s">
        <v>573</v>
      </c>
      <c r="C586">
        <v>-0.46</v>
      </c>
      <c r="L586" t="s">
        <v>150</v>
      </c>
      <c r="M586">
        <v>-10</v>
      </c>
      <c r="O586" t="s">
        <v>150</v>
      </c>
      <c r="P586">
        <v>-14</v>
      </c>
      <c r="Q586" t="s">
        <v>1623</v>
      </c>
      <c r="R586">
        <v>-22.75</v>
      </c>
      <c r="S586" t="s">
        <v>595</v>
      </c>
      <c r="T586">
        <v>-30</v>
      </c>
      <c r="U586" t="s">
        <v>415</v>
      </c>
      <c r="V586">
        <v>-22.000000000000011</v>
      </c>
      <c r="W586" t="s">
        <v>1625</v>
      </c>
      <c r="X586">
        <v>-2</v>
      </c>
      <c r="AC586" t="s">
        <v>576</v>
      </c>
      <c r="AD586">
        <v>-103.02399999999997</v>
      </c>
      <c r="AE586" t="s">
        <v>934</v>
      </c>
      <c r="AF586">
        <v>-5</v>
      </c>
      <c r="AG586" t="s">
        <v>922</v>
      </c>
      <c r="AH586">
        <v>-3</v>
      </c>
      <c r="AI586" t="s">
        <v>2244</v>
      </c>
      <c r="AJ586">
        <v>-3</v>
      </c>
      <c r="AK586" t="s">
        <v>2315</v>
      </c>
      <c r="AL586">
        <v>-3</v>
      </c>
      <c r="AM586" t="s">
        <v>2171</v>
      </c>
      <c r="AN586">
        <v>-7.9999999999999991</v>
      </c>
    </row>
    <row r="587" spans="2:40" x14ac:dyDescent="0.25">
      <c r="B587" t="s">
        <v>574</v>
      </c>
      <c r="C587">
        <v>-1.5</v>
      </c>
      <c r="L587" t="s">
        <v>92</v>
      </c>
      <c r="M587">
        <v>-226</v>
      </c>
      <c r="O587" t="s">
        <v>92</v>
      </c>
      <c r="P587">
        <v>-121</v>
      </c>
      <c r="Q587" t="s">
        <v>932</v>
      </c>
      <c r="R587">
        <v>-1</v>
      </c>
      <c r="S587" t="s">
        <v>938</v>
      </c>
      <c r="T587">
        <v>-12</v>
      </c>
      <c r="U587" t="s">
        <v>931</v>
      </c>
      <c r="V587">
        <v>-23.499999999999993</v>
      </c>
      <c r="W587" t="s">
        <v>1356</v>
      </c>
      <c r="X587">
        <v>-5</v>
      </c>
      <c r="AC587" t="s">
        <v>715</v>
      </c>
      <c r="AD587">
        <v>-10.799999999999999</v>
      </c>
      <c r="AE587" t="s">
        <v>101</v>
      </c>
      <c r="AF587">
        <v>-17.000000000000004</v>
      </c>
      <c r="AG587" t="s">
        <v>2182</v>
      </c>
      <c r="AH587">
        <v>-2</v>
      </c>
      <c r="AI587" t="s">
        <v>2245</v>
      </c>
      <c r="AJ587">
        <v>-6</v>
      </c>
      <c r="AK587" t="s">
        <v>442</v>
      </c>
      <c r="AL587">
        <v>-180.30799999999999</v>
      </c>
      <c r="AM587" t="s">
        <v>2172</v>
      </c>
      <c r="AN587">
        <v>-1.9999999999999998</v>
      </c>
    </row>
    <row r="588" spans="2:40" x14ac:dyDescent="0.25">
      <c r="B588" t="s">
        <v>699</v>
      </c>
      <c r="C588">
        <v>-1.51</v>
      </c>
      <c r="L588" t="s">
        <v>174</v>
      </c>
      <c r="M588">
        <v>-16</v>
      </c>
      <c r="O588" t="s">
        <v>174</v>
      </c>
      <c r="P588">
        <v>-28</v>
      </c>
      <c r="Q588" t="s">
        <v>103</v>
      </c>
      <c r="R588">
        <v>-148</v>
      </c>
      <c r="S588" t="s">
        <v>939</v>
      </c>
      <c r="T588">
        <v>-12</v>
      </c>
      <c r="U588" t="s">
        <v>932</v>
      </c>
      <c r="V588">
        <v>-3.0000000000000009</v>
      </c>
      <c r="W588" t="s">
        <v>1093</v>
      </c>
      <c r="X588">
        <v>-1.9999999999999998</v>
      </c>
      <c r="AC588" t="s">
        <v>344</v>
      </c>
      <c r="AD588">
        <v>-199</v>
      </c>
      <c r="AE588" t="s">
        <v>1091</v>
      </c>
      <c r="AF588">
        <v>-9</v>
      </c>
      <c r="AG588" t="s">
        <v>2183</v>
      </c>
      <c r="AH588">
        <v>-1.9999999999999998</v>
      </c>
      <c r="AI588" t="s">
        <v>1074</v>
      </c>
      <c r="AJ588">
        <v>-15</v>
      </c>
      <c r="AK588" t="s">
        <v>2316</v>
      </c>
      <c r="AL588">
        <v>-3</v>
      </c>
      <c r="AM588" t="s">
        <v>2476</v>
      </c>
      <c r="AN588">
        <v>-4</v>
      </c>
    </row>
    <row r="589" spans="2:40" x14ac:dyDescent="0.25">
      <c r="B589" t="s">
        <v>423</v>
      </c>
      <c r="C589">
        <v>-1.98</v>
      </c>
      <c r="L589" t="s">
        <v>154</v>
      </c>
      <c r="M589">
        <v>-77</v>
      </c>
      <c r="O589" t="s">
        <v>154</v>
      </c>
      <c r="P589">
        <v>-60</v>
      </c>
      <c r="Q589" t="s">
        <v>161</v>
      </c>
      <c r="R589">
        <v>-5.0000000000000018</v>
      </c>
      <c r="S589" t="s">
        <v>940</v>
      </c>
      <c r="T589">
        <v>-12.000000000000004</v>
      </c>
      <c r="U589" t="s">
        <v>1771</v>
      </c>
      <c r="V589">
        <v>-5</v>
      </c>
      <c r="W589" t="s">
        <v>1707</v>
      </c>
      <c r="X589">
        <v>-7.0000000000000007E-2</v>
      </c>
      <c r="AC589" t="s">
        <v>561</v>
      </c>
      <c r="AD589">
        <v>-3.4000000000000004</v>
      </c>
      <c r="AE589" t="s">
        <v>1705</v>
      </c>
      <c r="AF589">
        <v>-2.0000000000000009</v>
      </c>
      <c r="AG589" t="s">
        <v>2184</v>
      </c>
      <c r="AH589">
        <v>-1.9999999999999998</v>
      </c>
      <c r="AI589" t="s">
        <v>1075</v>
      </c>
      <c r="AJ589">
        <v>-7</v>
      </c>
      <c r="AK589" t="s">
        <v>739</v>
      </c>
      <c r="AL589">
        <v>-10</v>
      </c>
      <c r="AM589" t="s">
        <v>2477</v>
      </c>
      <c r="AN589">
        <v>-8.3999999999999986</v>
      </c>
    </row>
    <row r="590" spans="2:40" x14ac:dyDescent="0.25">
      <c r="B590" t="s">
        <v>700</v>
      </c>
      <c r="C590">
        <v>-5.37</v>
      </c>
      <c r="L590" t="s">
        <v>477</v>
      </c>
      <c r="M590">
        <v>-14</v>
      </c>
      <c r="O590" t="s">
        <v>1493</v>
      </c>
      <c r="P590">
        <v>-6</v>
      </c>
      <c r="Q590" t="s">
        <v>597</v>
      </c>
      <c r="R590">
        <v>-1</v>
      </c>
      <c r="S590" t="s">
        <v>109</v>
      </c>
      <c r="T590">
        <v>-3.0000000000000004</v>
      </c>
      <c r="U590" t="s">
        <v>103</v>
      </c>
      <c r="V590">
        <v>-83.999999999999957</v>
      </c>
      <c r="W590" t="s">
        <v>1708</v>
      </c>
      <c r="X590">
        <v>-4.9999999999999991</v>
      </c>
      <c r="AC590" t="s">
        <v>482</v>
      </c>
      <c r="AD590">
        <v>-12</v>
      </c>
      <c r="AE590" t="s">
        <v>661</v>
      </c>
      <c r="AF590">
        <v>-35</v>
      </c>
      <c r="AG590" t="s">
        <v>2185</v>
      </c>
      <c r="AH590">
        <v>-1</v>
      </c>
      <c r="AI590" t="s">
        <v>2246</v>
      </c>
      <c r="AJ590">
        <v>-1</v>
      </c>
      <c r="AK590" t="s">
        <v>918</v>
      </c>
      <c r="AL590">
        <v>-36</v>
      </c>
      <c r="AM590" t="s">
        <v>2478</v>
      </c>
      <c r="AN590">
        <v>-8.3999999999999986</v>
      </c>
    </row>
    <row r="591" spans="2:40" x14ac:dyDescent="0.25">
      <c r="B591" t="s">
        <v>504</v>
      </c>
      <c r="C591">
        <v>-7.169999999999999</v>
      </c>
      <c r="L591" t="s">
        <v>149</v>
      </c>
      <c r="M591">
        <v>-26</v>
      </c>
      <c r="O591" t="s">
        <v>477</v>
      </c>
      <c r="P591">
        <v>-16</v>
      </c>
      <c r="Q591" t="s">
        <v>933</v>
      </c>
      <c r="R591">
        <v>-1.7396000000000009</v>
      </c>
      <c r="S591" t="s">
        <v>102</v>
      </c>
      <c r="T591">
        <v>-8</v>
      </c>
      <c r="U591" t="s">
        <v>161</v>
      </c>
      <c r="V591">
        <v>-14.111200000000007</v>
      </c>
      <c r="W591" t="s">
        <v>1359</v>
      </c>
      <c r="X591">
        <v>-1.9999999999999998</v>
      </c>
      <c r="AC591" t="s">
        <v>566</v>
      </c>
      <c r="AD591">
        <v>-14</v>
      </c>
      <c r="AE591" t="s">
        <v>935</v>
      </c>
      <c r="AF591">
        <v>-150.15</v>
      </c>
      <c r="AG591" t="s">
        <v>164</v>
      </c>
      <c r="AH591">
        <v>-7.0000000000000009</v>
      </c>
      <c r="AI591" t="s">
        <v>2247</v>
      </c>
      <c r="AJ591">
        <v>-7</v>
      </c>
      <c r="AK591" t="s">
        <v>629</v>
      </c>
      <c r="AL591">
        <v>-20</v>
      </c>
      <c r="AM591" t="s">
        <v>2479</v>
      </c>
      <c r="AN591">
        <v>-2.1999999999999997</v>
      </c>
    </row>
    <row r="592" spans="2:40" x14ac:dyDescent="0.25">
      <c r="B592" t="s">
        <v>702</v>
      </c>
      <c r="C592">
        <v>-30</v>
      </c>
      <c r="L592" t="s">
        <v>1309</v>
      </c>
      <c r="M592">
        <v>-4</v>
      </c>
      <c r="O592" t="s">
        <v>149</v>
      </c>
      <c r="P592">
        <v>-110</v>
      </c>
      <c r="Q592" t="s">
        <v>1090</v>
      </c>
      <c r="R592">
        <v>-3.9999999999999996</v>
      </c>
      <c r="S592" t="s">
        <v>1092</v>
      </c>
      <c r="T592">
        <v>-1.0710000000000002</v>
      </c>
      <c r="U592" t="s">
        <v>587</v>
      </c>
      <c r="V592">
        <v>-300</v>
      </c>
      <c r="W592" t="s">
        <v>1523</v>
      </c>
      <c r="X592">
        <v>-44</v>
      </c>
      <c r="AC592" t="s">
        <v>1534</v>
      </c>
      <c r="AD592">
        <v>-1.5</v>
      </c>
      <c r="AE592" t="s">
        <v>660</v>
      </c>
      <c r="AF592">
        <v>-17.999999999999993</v>
      </c>
      <c r="AG592" t="s">
        <v>923</v>
      </c>
      <c r="AH592">
        <v>-93</v>
      </c>
      <c r="AI592" t="s">
        <v>2248</v>
      </c>
      <c r="AJ592">
        <v>-1</v>
      </c>
      <c r="AK592" t="s">
        <v>630</v>
      </c>
      <c r="AL592">
        <v>-53</v>
      </c>
      <c r="AM592" t="s">
        <v>2480</v>
      </c>
      <c r="AN592">
        <v>-1</v>
      </c>
    </row>
    <row r="593" spans="2:40" x14ac:dyDescent="0.25">
      <c r="B593" t="s">
        <v>601</v>
      </c>
      <c r="C593">
        <v>-0.24000000000000002</v>
      </c>
      <c r="L593" t="s">
        <v>1310</v>
      </c>
      <c r="M593">
        <v>-12</v>
      </c>
      <c r="O593" t="s">
        <v>895</v>
      </c>
      <c r="P593">
        <v>-4</v>
      </c>
      <c r="Q593" t="s">
        <v>599</v>
      </c>
      <c r="R593">
        <v>-6.0000000000000009</v>
      </c>
      <c r="S593" t="s">
        <v>104</v>
      </c>
      <c r="T593">
        <v>-15</v>
      </c>
      <c r="U593" t="s">
        <v>597</v>
      </c>
      <c r="V593">
        <v>-1.5</v>
      </c>
      <c r="W593" t="s">
        <v>1710</v>
      </c>
      <c r="X593">
        <v>-3.0000000000000004</v>
      </c>
      <c r="AC593" t="s">
        <v>1535</v>
      </c>
      <c r="AD593">
        <v>-2.2000000000000002</v>
      </c>
      <c r="AE593" t="s">
        <v>72</v>
      </c>
      <c r="AF593">
        <v>-26.75</v>
      </c>
      <c r="AG593" t="s">
        <v>924</v>
      </c>
      <c r="AH593">
        <v>-60</v>
      </c>
      <c r="AI593" t="s">
        <v>254</v>
      </c>
      <c r="AJ593">
        <v>-8</v>
      </c>
      <c r="AK593" t="s">
        <v>498</v>
      </c>
      <c r="AL593">
        <v>-21</v>
      </c>
      <c r="AM593" t="s">
        <v>2481</v>
      </c>
      <c r="AN593">
        <v>-31</v>
      </c>
    </row>
    <row r="594" spans="2:40" x14ac:dyDescent="0.25">
      <c r="B594" t="s">
        <v>108</v>
      </c>
      <c r="C594">
        <v>-19</v>
      </c>
      <c r="L594" t="s">
        <v>1065</v>
      </c>
      <c r="M594">
        <v>-22</v>
      </c>
      <c r="O594" t="s">
        <v>1309</v>
      </c>
      <c r="P594">
        <v>-3</v>
      </c>
      <c r="Q594" t="s">
        <v>101</v>
      </c>
      <c r="R594">
        <v>-21.999999999999993</v>
      </c>
      <c r="S594" t="s">
        <v>456</v>
      </c>
      <c r="T594">
        <v>-20</v>
      </c>
      <c r="U594" t="s">
        <v>1772</v>
      </c>
      <c r="V594">
        <v>-30.000000000000011</v>
      </c>
      <c r="W594" t="s">
        <v>1870</v>
      </c>
      <c r="X594">
        <v>-10</v>
      </c>
      <c r="AC594" t="s">
        <v>412</v>
      </c>
      <c r="AD594">
        <v>-15.209999999999997</v>
      </c>
      <c r="AE594" t="s">
        <v>2128</v>
      </c>
      <c r="AF594">
        <v>-15</v>
      </c>
      <c r="AG594" t="s">
        <v>146</v>
      </c>
      <c r="AH594">
        <v>-9</v>
      </c>
      <c r="AI594" t="s">
        <v>900</v>
      </c>
      <c r="AJ594">
        <v>-3</v>
      </c>
      <c r="AK594" t="s">
        <v>641</v>
      </c>
      <c r="AL594">
        <v>-32</v>
      </c>
      <c r="AM594" t="s">
        <v>2482</v>
      </c>
      <c r="AN594">
        <v>-2</v>
      </c>
    </row>
    <row r="595" spans="2:40" x14ac:dyDescent="0.25">
      <c r="B595" t="s">
        <v>0</v>
      </c>
      <c r="C595">
        <v>-6</v>
      </c>
      <c r="L595" t="s">
        <v>897</v>
      </c>
      <c r="M595">
        <v>-4</v>
      </c>
      <c r="O595" t="s">
        <v>1310</v>
      </c>
      <c r="P595">
        <v>-20</v>
      </c>
      <c r="Q595" t="s">
        <v>1091</v>
      </c>
      <c r="R595">
        <v>-5</v>
      </c>
      <c r="S595" t="s">
        <v>457</v>
      </c>
      <c r="T595">
        <v>-20</v>
      </c>
      <c r="U595" t="s">
        <v>1703</v>
      </c>
      <c r="V595">
        <v>-21.999999999999996</v>
      </c>
      <c r="W595" t="s">
        <v>1871</v>
      </c>
      <c r="X595">
        <v>-15.000000000000002</v>
      </c>
      <c r="AC595" t="s">
        <v>585</v>
      </c>
      <c r="AD595">
        <v>-13.8</v>
      </c>
      <c r="AE595" t="s">
        <v>1624</v>
      </c>
      <c r="AF595">
        <v>-10</v>
      </c>
      <c r="AG595" t="s">
        <v>162</v>
      </c>
      <c r="AH595">
        <v>-160</v>
      </c>
      <c r="AI595" t="s">
        <v>256</v>
      </c>
      <c r="AJ595">
        <v>-7</v>
      </c>
      <c r="AK595" t="s">
        <v>413</v>
      </c>
      <c r="AL595">
        <v>-3</v>
      </c>
      <c r="AM595" t="s">
        <v>1304</v>
      </c>
      <c r="AN595">
        <v>-3</v>
      </c>
    </row>
    <row r="596" spans="2:40" x14ac:dyDescent="0.25">
      <c r="B596" t="s">
        <v>781</v>
      </c>
      <c r="L596" t="s">
        <v>1311</v>
      </c>
      <c r="M596">
        <v>-178</v>
      </c>
      <c r="O596" t="s">
        <v>1065</v>
      </c>
      <c r="P596">
        <v>-1</v>
      </c>
      <c r="Q596" t="s">
        <v>596</v>
      </c>
      <c r="R596">
        <v>-250.00000000000003</v>
      </c>
      <c r="S596" t="s">
        <v>160</v>
      </c>
      <c r="T596">
        <v>-1.6673</v>
      </c>
      <c r="U596" t="s">
        <v>933</v>
      </c>
      <c r="V596">
        <v>-2.5</v>
      </c>
      <c r="W596" t="s">
        <v>621</v>
      </c>
      <c r="X596">
        <v>-700</v>
      </c>
      <c r="AC596" t="s">
        <v>578</v>
      </c>
      <c r="AD596">
        <v>-25.5</v>
      </c>
      <c r="AE596" t="s">
        <v>937</v>
      </c>
      <c r="AF596">
        <v>-5</v>
      </c>
      <c r="AG596" t="s">
        <v>646</v>
      </c>
      <c r="AH596">
        <v>-9</v>
      </c>
      <c r="AI596" t="s">
        <v>901</v>
      </c>
      <c r="AJ596">
        <v>-1</v>
      </c>
      <c r="AK596" t="s">
        <v>640</v>
      </c>
      <c r="AL596">
        <v>-10</v>
      </c>
      <c r="AM596" t="s">
        <v>827</v>
      </c>
      <c r="AN596">
        <v>-2</v>
      </c>
    </row>
    <row r="597" spans="2:40" x14ac:dyDescent="0.25">
      <c r="B597" t="s">
        <v>782</v>
      </c>
      <c r="C597">
        <v>-58322.9139</v>
      </c>
      <c r="L597" t="s">
        <v>1066</v>
      </c>
      <c r="M597">
        <v>-8</v>
      </c>
      <c r="O597" t="s">
        <v>897</v>
      </c>
      <c r="P597">
        <v>-10</v>
      </c>
      <c r="Q597" t="s">
        <v>661</v>
      </c>
      <c r="R597">
        <v>-67.748400000000004</v>
      </c>
      <c r="S597" t="s">
        <v>1706</v>
      </c>
      <c r="T597">
        <v>-11.999999999999998</v>
      </c>
      <c r="U597" t="s">
        <v>934</v>
      </c>
      <c r="V597">
        <v>-5</v>
      </c>
      <c r="W597" t="s">
        <v>943</v>
      </c>
      <c r="X597">
        <v>-93</v>
      </c>
      <c r="AC597" t="s">
        <v>714</v>
      </c>
      <c r="AD597">
        <v>-13.100000000000003</v>
      </c>
      <c r="AE597" t="s">
        <v>2129</v>
      </c>
      <c r="AF597">
        <v>-1.0000000000000004</v>
      </c>
      <c r="AG597" t="s">
        <v>557</v>
      </c>
      <c r="AH597">
        <v>-40</v>
      </c>
      <c r="AI597" t="s">
        <v>46</v>
      </c>
      <c r="AJ597">
        <v>-28</v>
      </c>
      <c r="AK597" t="s">
        <v>589</v>
      </c>
      <c r="AL597">
        <v>-60</v>
      </c>
      <c r="AM597" t="s">
        <v>892</v>
      </c>
      <c r="AN597">
        <v>-2</v>
      </c>
    </row>
    <row r="598" spans="2:40" x14ac:dyDescent="0.25">
      <c r="L598" t="s">
        <v>1312</v>
      </c>
      <c r="M598">
        <v>-10</v>
      </c>
      <c r="O598" t="s">
        <v>231</v>
      </c>
      <c r="P598">
        <v>-66</v>
      </c>
      <c r="Q598" t="s">
        <v>935</v>
      </c>
      <c r="R598">
        <v>-38</v>
      </c>
      <c r="S598" t="s">
        <v>1356</v>
      </c>
      <c r="T598">
        <v>-10</v>
      </c>
      <c r="U598" t="s">
        <v>599</v>
      </c>
      <c r="V598">
        <v>-6</v>
      </c>
      <c r="W598" t="s">
        <v>1095</v>
      </c>
      <c r="X598">
        <v>-540</v>
      </c>
      <c r="AC598" t="s">
        <v>567</v>
      </c>
      <c r="AD598">
        <v>-3.18</v>
      </c>
      <c r="AE598" t="s">
        <v>102</v>
      </c>
      <c r="AF598">
        <v>-6</v>
      </c>
      <c r="AG598" t="s">
        <v>558</v>
      </c>
      <c r="AH598">
        <v>-36</v>
      </c>
      <c r="AI598" t="s">
        <v>137</v>
      </c>
      <c r="AJ598">
        <v>-7</v>
      </c>
      <c r="AK598" t="s">
        <v>921</v>
      </c>
      <c r="AL598">
        <v>-3</v>
      </c>
      <c r="AM598" t="s">
        <v>828</v>
      </c>
      <c r="AN598">
        <v>-1</v>
      </c>
    </row>
    <row r="599" spans="2:40" x14ac:dyDescent="0.25">
      <c r="L599" t="s">
        <v>1313</v>
      </c>
      <c r="M599">
        <v>-3</v>
      </c>
      <c r="O599" t="s">
        <v>24</v>
      </c>
      <c r="P599">
        <v>-4</v>
      </c>
      <c r="Q599" t="s">
        <v>660</v>
      </c>
      <c r="R599">
        <v>-6</v>
      </c>
      <c r="S599" t="s">
        <v>1707</v>
      </c>
      <c r="T599">
        <v>-0.3</v>
      </c>
      <c r="U599" t="s">
        <v>101</v>
      </c>
      <c r="V599">
        <v>-34</v>
      </c>
      <c r="W599" t="s">
        <v>1872</v>
      </c>
      <c r="X599">
        <v>-100</v>
      </c>
      <c r="AC599" t="s">
        <v>568</v>
      </c>
      <c r="AD599">
        <v>-16.3</v>
      </c>
      <c r="AE599" t="s">
        <v>104</v>
      </c>
      <c r="AF599">
        <v>-60</v>
      </c>
      <c r="AG599" t="s">
        <v>1349</v>
      </c>
      <c r="AH599">
        <v>-1</v>
      </c>
      <c r="AI599" t="s">
        <v>2249</v>
      </c>
      <c r="AJ599">
        <v>-13</v>
      </c>
      <c r="AK599" t="s">
        <v>164</v>
      </c>
      <c r="AL599">
        <v>-2.9999999999999996</v>
      </c>
      <c r="AM599" t="s">
        <v>1305</v>
      </c>
      <c r="AN599">
        <v>-5</v>
      </c>
    </row>
    <row r="600" spans="2:40" x14ac:dyDescent="0.25">
      <c r="L600" t="s">
        <v>1314</v>
      </c>
      <c r="M600">
        <v>-15</v>
      </c>
      <c r="O600" t="s">
        <v>1312</v>
      </c>
      <c r="P600">
        <v>-10</v>
      </c>
      <c r="Q600" t="s">
        <v>72</v>
      </c>
      <c r="R600">
        <v>-21.999800000000018</v>
      </c>
      <c r="S600" t="s">
        <v>1708</v>
      </c>
      <c r="T600">
        <v>-17</v>
      </c>
      <c r="U600" t="s">
        <v>1091</v>
      </c>
      <c r="V600">
        <v>-8</v>
      </c>
      <c r="W600" t="s">
        <v>652</v>
      </c>
      <c r="X600">
        <v>-549.99999999999989</v>
      </c>
      <c r="AC600" t="s">
        <v>609</v>
      </c>
      <c r="AD600">
        <v>-65</v>
      </c>
      <c r="AE600" t="s">
        <v>588</v>
      </c>
      <c r="AF600">
        <v>-10</v>
      </c>
      <c r="AG600" t="s">
        <v>651</v>
      </c>
      <c r="AH600">
        <v>-35.999999999999993</v>
      </c>
      <c r="AI600" t="s">
        <v>340</v>
      </c>
      <c r="AJ600">
        <v>-52</v>
      </c>
      <c r="AK600" t="s">
        <v>924</v>
      </c>
      <c r="AL600">
        <v>-20</v>
      </c>
      <c r="AM600" t="s">
        <v>605</v>
      </c>
      <c r="AN600">
        <v>-3</v>
      </c>
    </row>
    <row r="601" spans="2:40" x14ac:dyDescent="0.25">
      <c r="L601" t="s">
        <v>1315</v>
      </c>
      <c r="M601">
        <v>-13</v>
      </c>
      <c r="O601" t="s">
        <v>1314</v>
      </c>
      <c r="P601">
        <v>-17</v>
      </c>
      <c r="Q601" t="s">
        <v>936</v>
      </c>
      <c r="R601">
        <v>-56.000000000000021</v>
      </c>
      <c r="S601" t="s">
        <v>1626</v>
      </c>
      <c r="T601">
        <v>-1</v>
      </c>
      <c r="U601" t="s">
        <v>124</v>
      </c>
      <c r="V601">
        <v>-10</v>
      </c>
      <c r="W601" t="s">
        <v>494</v>
      </c>
      <c r="X601">
        <v>-829.00000000000023</v>
      </c>
      <c r="AC601" t="s">
        <v>478</v>
      </c>
      <c r="AD601">
        <v>-264</v>
      </c>
      <c r="AE601" t="s">
        <v>160</v>
      </c>
      <c r="AF601">
        <v>-1</v>
      </c>
      <c r="AG601" t="s">
        <v>926</v>
      </c>
      <c r="AH601">
        <v>-6</v>
      </c>
      <c r="AI601" t="s">
        <v>1078</v>
      </c>
      <c r="AJ601">
        <v>-8</v>
      </c>
      <c r="AK601" t="s">
        <v>1347</v>
      </c>
      <c r="AL601">
        <v>-12</v>
      </c>
      <c r="AM601" t="s">
        <v>893</v>
      </c>
      <c r="AN601">
        <v>-9</v>
      </c>
    </row>
    <row r="602" spans="2:40" x14ac:dyDescent="0.25">
      <c r="L602" t="s">
        <v>158</v>
      </c>
      <c r="M602">
        <v>-4</v>
      </c>
      <c r="O602" t="s">
        <v>1494</v>
      </c>
      <c r="P602">
        <v>-3</v>
      </c>
      <c r="Q602" t="s">
        <v>1624</v>
      </c>
      <c r="R602">
        <v>-10</v>
      </c>
      <c r="S602" t="s">
        <v>1359</v>
      </c>
      <c r="T602">
        <v>-2.0000000000000009</v>
      </c>
      <c r="U602" t="s">
        <v>661</v>
      </c>
      <c r="V602">
        <v>-88</v>
      </c>
      <c r="W602" t="s">
        <v>625</v>
      </c>
      <c r="X602">
        <v>-200</v>
      </c>
      <c r="AC602" t="s">
        <v>346</v>
      </c>
      <c r="AD602">
        <v>-51</v>
      </c>
      <c r="AE602" t="s">
        <v>1625</v>
      </c>
      <c r="AF602">
        <v>-2</v>
      </c>
      <c r="AG602" t="s">
        <v>559</v>
      </c>
      <c r="AH602">
        <v>-30</v>
      </c>
      <c r="AI602" t="s">
        <v>753</v>
      </c>
      <c r="AJ602">
        <v>-18</v>
      </c>
      <c r="AK602" t="s">
        <v>162</v>
      </c>
      <c r="AL602">
        <v>-117.99999999999999</v>
      </c>
      <c r="AM602" t="s">
        <v>1063</v>
      </c>
      <c r="AN602">
        <v>-9</v>
      </c>
    </row>
    <row r="603" spans="2:40" x14ac:dyDescent="0.25">
      <c r="L603" t="s">
        <v>1316</v>
      </c>
      <c r="M603">
        <v>-3</v>
      </c>
      <c r="O603" t="s">
        <v>898</v>
      </c>
      <c r="P603">
        <v>-20</v>
      </c>
      <c r="Q603" t="s">
        <v>937</v>
      </c>
      <c r="R603">
        <v>-14</v>
      </c>
      <c r="S603" t="s">
        <v>1709</v>
      </c>
      <c r="T603">
        <v>-1</v>
      </c>
      <c r="U603" t="s">
        <v>935</v>
      </c>
      <c r="V603">
        <v>-23.999999999999989</v>
      </c>
      <c r="W603" t="s">
        <v>404</v>
      </c>
      <c r="X603">
        <v>-1529.9999999999993</v>
      </c>
      <c r="AC603" t="s">
        <v>679</v>
      </c>
      <c r="AD603">
        <v>-59</v>
      </c>
      <c r="AE603" t="s">
        <v>1356</v>
      </c>
      <c r="AF603">
        <v>-3.9999999999999996</v>
      </c>
      <c r="AG603" t="s">
        <v>927</v>
      </c>
      <c r="AH603">
        <v>-3</v>
      </c>
      <c r="AI603" t="s">
        <v>1080</v>
      </c>
      <c r="AJ603">
        <v>-20</v>
      </c>
      <c r="AK603" t="s">
        <v>643</v>
      </c>
      <c r="AL603">
        <v>-10</v>
      </c>
      <c r="AM603" t="s">
        <v>894</v>
      </c>
      <c r="AN603">
        <v>-5</v>
      </c>
    </row>
    <row r="604" spans="2:40" x14ac:dyDescent="0.25">
      <c r="L604" t="s">
        <v>1067</v>
      </c>
      <c r="M604">
        <v>-4</v>
      </c>
      <c r="O604" t="s">
        <v>1316</v>
      </c>
      <c r="P604">
        <v>-4</v>
      </c>
      <c r="Q604" t="s">
        <v>938</v>
      </c>
      <c r="R604">
        <v>-8</v>
      </c>
      <c r="S604" t="s">
        <v>1710</v>
      </c>
      <c r="T604">
        <v>-5</v>
      </c>
      <c r="U604" t="s">
        <v>660</v>
      </c>
      <c r="V604">
        <v>-8.0000000000000018</v>
      </c>
      <c r="W604" t="s">
        <v>354</v>
      </c>
      <c r="X604">
        <v>-3656.9999999999977</v>
      </c>
      <c r="AC604" t="s">
        <v>268</v>
      </c>
      <c r="AD604">
        <v>-2</v>
      </c>
      <c r="AE604" t="s">
        <v>1628</v>
      </c>
      <c r="AF604">
        <v>-13.96</v>
      </c>
      <c r="AG604" t="s">
        <v>928</v>
      </c>
      <c r="AH604">
        <v>-1</v>
      </c>
      <c r="AI604" t="s">
        <v>1081</v>
      </c>
      <c r="AJ604">
        <v>-20</v>
      </c>
      <c r="AK604" t="s">
        <v>646</v>
      </c>
      <c r="AL604">
        <v>-10</v>
      </c>
      <c r="AM604" t="s">
        <v>2108</v>
      </c>
      <c r="AN604">
        <v>-5</v>
      </c>
    </row>
    <row r="605" spans="2:40" x14ac:dyDescent="0.25">
      <c r="L605" t="s">
        <v>761</v>
      </c>
      <c r="M605">
        <v>-10</v>
      </c>
      <c r="O605" t="s">
        <v>761</v>
      </c>
      <c r="P605">
        <v>-3</v>
      </c>
      <c r="Q605" t="s">
        <v>939</v>
      </c>
      <c r="R605">
        <v>-8</v>
      </c>
      <c r="S605" t="s">
        <v>1711</v>
      </c>
      <c r="T605">
        <v>-1</v>
      </c>
      <c r="U605" t="s">
        <v>72</v>
      </c>
      <c r="V605">
        <v>-24.999999999999996</v>
      </c>
      <c r="W605" t="s">
        <v>732</v>
      </c>
      <c r="X605">
        <v>-150</v>
      </c>
      <c r="AC605" t="s">
        <v>2027</v>
      </c>
      <c r="AD605">
        <v>-1</v>
      </c>
      <c r="AE605" t="s">
        <v>2130</v>
      </c>
      <c r="AF605">
        <v>-1</v>
      </c>
      <c r="AG605" t="s">
        <v>555</v>
      </c>
      <c r="AH605">
        <v>-400</v>
      </c>
      <c r="AI605" t="s">
        <v>1333</v>
      </c>
      <c r="AJ605">
        <v>-33</v>
      </c>
      <c r="AK605" t="s">
        <v>642</v>
      </c>
      <c r="AL605">
        <v>-3</v>
      </c>
      <c r="AM605" t="s">
        <v>2483</v>
      </c>
      <c r="AN605">
        <v>-2</v>
      </c>
    </row>
    <row r="606" spans="2:40" x14ac:dyDescent="0.25">
      <c r="L606" t="s">
        <v>1068</v>
      </c>
      <c r="M606">
        <v>-4</v>
      </c>
      <c r="O606" t="s">
        <v>388</v>
      </c>
      <c r="P606">
        <v>-40</v>
      </c>
      <c r="Q606" t="s">
        <v>940</v>
      </c>
      <c r="R606">
        <v>-8</v>
      </c>
      <c r="S606" t="s">
        <v>621</v>
      </c>
      <c r="T606">
        <v>-599.99999999999989</v>
      </c>
      <c r="U606" t="s">
        <v>936</v>
      </c>
      <c r="V606">
        <v>-72</v>
      </c>
      <c r="W606" t="s">
        <v>493</v>
      </c>
      <c r="X606">
        <v>-50</v>
      </c>
      <c r="AC606" t="s">
        <v>451</v>
      </c>
      <c r="AD606">
        <v>-1.9079999999999999</v>
      </c>
      <c r="AE606" t="s">
        <v>1933</v>
      </c>
      <c r="AF606">
        <v>-2</v>
      </c>
      <c r="AG606" t="s">
        <v>929</v>
      </c>
      <c r="AH606">
        <v>-3</v>
      </c>
      <c r="AI606" t="s">
        <v>1082</v>
      </c>
      <c r="AJ606">
        <v>-20</v>
      </c>
      <c r="AK606" t="s">
        <v>1088</v>
      </c>
      <c r="AL606">
        <v>-1</v>
      </c>
      <c r="AM606" t="s">
        <v>232</v>
      </c>
      <c r="AN606">
        <v>-5</v>
      </c>
    </row>
    <row r="607" spans="2:40" x14ac:dyDescent="0.25">
      <c r="L607" t="s">
        <v>648</v>
      </c>
      <c r="M607">
        <v>-24</v>
      </c>
      <c r="O607" t="s">
        <v>1318</v>
      </c>
      <c r="P607">
        <v>-6</v>
      </c>
      <c r="Q607" t="s">
        <v>109</v>
      </c>
      <c r="R607">
        <v>-1</v>
      </c>
      <c r="S607" t="s">
        <v>943</v>
      </c>
      <c r="T607">
        <v>-400</v>
      </c>
      <c r="U607" t="s">
        <v>1624</v>
      </c>
      <c r="V607">
        <v>-2</v>
      </c>
      <c r="W607" t="s">
        <v>357</v>
      </c>
      <c r="X607">
        <v>-116</v>
      </c>
      <c r="AC607" t="s">
        <v>688</v>
      </c>
      <c r="AD607">
        <v>-0.2</v>
      </c>
      <c r="AE607" t="s">
        <v>2023</v>
      </c>
      <c r="AF607">
        <v>-2</v>
      </c>
      <c r="AG607" t="s">
        <v>1352</v>
      </c>
      <c r="AH607">
        <v>-2</v>
      </c>
      <c r="AI607" t="s">
        <v>1692</v>
      </c>
      <c r="AJ607">
        <v>-40</v>
      </c>
      <c r="AK607" t="s">
        <v>680</v>
      </c>
      <c r="AL607">
        <v>-9</v>
      </c>
      <c r="AM607" t="s">
        <v>2484</v>
      </c>
      <c r="AN607">
        <v>-4</v>
      </c>
    </row>
    <row r="608" spans="2:40" x14ac:dyDescent="0.25">
      <c r="L608" t="s">
        <v>1317</v>
      </c>
      <c r="M608">
        <v>-60</v>
      </c>
      <c r="O608" t="s">
        <v>1495</v>
      </c>
      <c r="P608">
        <v>-3</v>
      </c>
      <c r="Q608" t="s">
        <v>102</v>
      </c>
      <c r="R608">
        <v>-13.899999999999997</v>
      </c>
      <c r="S608" t="s">
        <v>1095</v>
      </c>
      <c r="T608">
        <v>-200.33320000000001</v>
      </c>
      <c r="U608" t="s">
        <v>595</v>
      </c>
      <c r="V608">
        <v>-3.25</v>
      </c>
      <c r="W608" t="s">
        <v>403</v>
      </c>
      <c r="X608">
        <v>-1030</v>
      </c>
      <c r="AC608" t="s">
        <v>1877</v>
      </c>
      <c r="AD608">
        <v>-0.09</v>
      </c>
      <c r="AE608" t="s">
        <v>2024</v>
      </c>
      <c r="AF608">
        <v>-3.9999999999999996</v>
      </c>
      <c r="AG608" t="s">
        <v>586</v>
      </c>
      <c r="AH608">
        <v>-3966</v>
      </c>
      <c r="AI608" t="s">
        <v>113</v>
      </c>
      <c r="AJ608">
        <v>-80.5</v>
      </c>
      <c r="AK608" t="s">
        <v>557</v>
      </c>
      <c r="AL608">
        <v>-50</v>
      </c>
      <c r="AM608" t="s">
        <v>2485</v>
      </c>
      <c r="AN608">
        <v>-20</v>
      </c>
    </row>
    <row r="609" spans="12:40" x14ac:dyDescent="0.25">
      <c r="L609" t="s">
        <v>1318</v>
      </c>
      <c r="M609">
        <v>-3</v>
      </c>
      <c r="O609" t="s">
        <v>1070</v>
      </c>
      <c r="P609">
        <v>-8</v>
      </c>
      <c r="Q609" t="s">
        <v>104</v>
      </c>
      <c r="R609">
        <v>-57.999999999999964</v>
      </c>
      <c r="S609" t="s">
        <v>1712</v>
      </c>
      <c r="T609">
        <v>-100</v>
      </c>
      <c r="U609" t="s">
        <v>109</v>
      </c>
      <c r="V609">
        <v>-1.9999999999999993</v>
      </c>
      <c r="W609" t="s">
        <v>408</v>
      </c>
      <c r="X609">
        <v>-1850</v>
      </c>
      <c r="AC609" t="s">
        <v>1371</v>
      </c>
      <c r="AD609">
        <v>-5.0000000000000001E-3</v>
      </c>
      <c r="AE609" t="s">
        <v>2131</v>
      </c>
      <c r="AF609">
        <v>-6.26</v>
      </c>
      <c r="AG609" t="s">
        <v>659</v>
      </c>
      <c r="AH609">
        <v>-350</v>
      </c>
      <c r="AI609" t="s">
        <v>2250</v>
      </c>
      <c r="AJ609">
        <v>-20</v>
      </c>
      <c r="AK609" t="s">
        <v>558</v>
      </c>
      <c r="AL609">
        <v>-10</v>
      </c>
      <c r="AM609" t="s">
        <v>2486</v>
      </c>
      <c r="AN609">
        <v>-4</v>
      </c>
    </row>
    <row r="610" spans="12:40" x14ac:dyDescent="0.25">
      <c r="L610" t="s">
        <v>476</v>
      </c>
      <c r="M610">
        <v>-4</v>
      </c>
      <c r="O610" t="s">
        <v>22</v>
      </c>
      <c r="P610">
        <v>-2</v>
      </c>
      <c r="Q610" t="s">
        <v>588</v>
      </c>
      <c r="R610">
        <v>-21</v>
      </c>
      <c r="S610" t="s">
        <v>944</v>
      </c>
      <c r="T610">
        <v>-6</v>
      </c>
      <c r="U610" t="s">
        <v>102</v>
      </c>
      <c r="V610">
        <v>-9.0000000000000018</v>
      </c>
      <c r="W610" t="s">
        <v>358</v>
      </c>
      <c r="X610">
        <v>-400</v>
      </c>
      <c r="AC610" t="s">
        <v>2028</v>
      </c>
      <c r="AD610">
        <v>-0.5</v>
      </c>
      <c r="AE610" t="s">
        <v>2132</v>
      </c>
      <c r="AF610">
        <v>-6.26</v>
      </c>
      <c r="AG610" t="s">
        <v>163</v>
      </c>
      <c r="AH610">
        <v>-10</v>
      </c>
      <c r="AI610" t="s">
        <v>1762</v>
      </c>
      <c r="AJ610">
        <v>-9</v>
      </c>
      <c r="AK610" t="s">
        <v>925</v>
      </c>
      <c r="AL610">
        <v>-3</v>
      </c>
      <c r="AM610" t="s">
        <v>150</v>
      </c>
      <c r="AN610">
        <v>-14</v>
      </c>
    </row>
    <row r="611" spans="12:40" x14ac:dyDescent="0.25">
      <c r="L611" t="s">
        <v>1070</v>
      </c>
      <c r="M611">
        <v>-4</v>
      </c>
      <c r="O611" t="s">
        <v>76</v>
      </c>
      <c r="P611">
        <v>-14</v>
      </c>
      <c r="Q611" t="s">
        <v>1625</v>
      </c>
      <c r="R611">
        <v>-5</v>
      </c>
      <c r="S611" t="s">
        <v>652</v>
      </c>
      <c r="T611">
        <v>-50</v>
      </c>
      <c r="U611" t="s">
        <v>104</v>
      </c>
      <c r="V611">
        <v>-31.000000000000014</v>
      </c>
      <c r="W611" t="s">
        <v>359</v>
      </c>
      <c r="X611">
        <v>-660.99999999999989</v>
      </c>
      <c r="AC611" t="s">
        <v>691</v>
      </c>
      <c r="AD611">
        <v>-0.2</v>
      </c>
      <c r="AE611" t="s">
        <v>621</v>
      </c>
      <c r="AF611">
        <v>-365</v>
      </c>
      <c r="AG611" t="s">
        <v>930</v>
      </c>
      <c r="AH611">
        <v>-4</v>
      </c>
      <c r="AI611" t="s">
        <v>1863</v>
      </c>
      <c r="AJ611">
        <v>-1</v>
      </c>
      <c r="AK611" t="s">
        <v>2317</v>
      </c>
      <c r="AL611">
        <v>-10</v>
      </c>
      <c r="AM611" t="s">
        <v>2487</v>
      </c>
      <c r="AN611">
        <v>-219</v>
      </c>
    </row>
    <row r="612" spans="12:40" x14ac:dyDescent="0.25">
      <c r="L612" t="s">
        <v>1319</v>
      </c>
      <c r="M612">
        <v>-36</v>
      </c>
      <c r="O612" t="s">
        <v>131</v>
      </c>
      <c r="P612">
        <v>-2</v>
      </c>
      <c r="Q612" t="s">
        <v>1356</v>
      </c>
      <c r="R612">
        <v>-1.5000000000000002</v>
      </c>
      <c r="S612" t="s">
        <v>1713</v>
      </c>
      <c r="T612">
        <v>-90.000000000000014</v>
      </c>
      <c r="U612" t="s">
        <v>160</v>
      </c>
      <c r="V612">
        <v>-11.332700000000001</v>
      </c>
      <c r="W612" t="s">
        <v>356</v>
      </c>
      <c r="X612">
        <v>-4336.9999999999982</v>
      </c>
      <c r="AC612" t="s">
        <v>694</v>
      </c>
      <c r="AD612">
        <v>-8</v>
      </c>
      <c r="AE612" t="s">
        <v>556</v>
      </c>
      <c r="AF612">
        <v>-200</v>
      </c>
      <c r="AG612" t="s">
        <v>89</v>
      </c>
      <c r="AH612">
        <v>-6.0000000000000009</v>
      </c>
      <c r="AI612" t="s">
        <v>1864</v>
      </c>
      <c r="AJ612">
        <v>-1</v>
      </c>
      <c r="AK612" t="s">
        <v>1349</v>
      </c>
      <c r="AL612">
        <v>-2</v>
      </c>
      <c r="AM612" t="s">
        <v>2488</v>
      </c>
      <c r="AN612">
        <v>-75</v>
      </c>
    </row>
    <row r="613" spans="12:40" x14ac:dyDescent="0.25">
      <c r="L613" t="s">
        <v>131</v>
      </c>
      <c r="M613">
        <v>-2</v>
      </c>
      <c r="O613" t="s">
        <v>1496</v>
      </c>
      <c r="P613">
        <v>-2</v>
      </c>
      <c r="Q613" t="s">
        <v>1093</v>
      </c>
      <c r="R613">
        <v>-4</v>
      </c>
      <c r="S613" t="s">
        <v>494</v>
      </c>
      <c r="T613">
        <v>-1103.9999999999995</v>
      </c>
      <c r="U613" t="s">
        <v>1773</v>
      </c>
      <c r="V613">
        <v>-1.9999999999999991</v>
      </c>
      <c r="W613" t="s">
        <v>402</v>
      </c>
      <c r="X613">
        <v>-2224</v>
      </c>
      <c r="AC613" t="s">
        <v>608</v>
      </c>
      <c r="AD613">
        <v>-9</v>
      </c>
      <c r="AE613" t="s">
        <v>944</v>
      </c>
      <c r="AF613">
        <v>-36</v>
      </c>
      <c r="AG613" t="s">
        <v>415</v>
      </c>
      <c r="AH613">
        <v>-18</v>
      </c>
      <c r="AI613" t="s">
        <v>904</v>
      </c>
      <c r="AJ613">
        <v>-2</v>
      </c>
      <c r="AK613" t="s">
        <v>1089</v>
      </c>
      <c r="AL613">
        <v>-600</v>
      </c>
      <c r="AM613" t="s">
        <v>2489</v>
      </c>
      <c r="AN613">
        <v>-70</v>
      </c>
    </row>
    <row r="614" spans="12:40" x14ac:dyDescent="0.25">
      <c r="L614" t="s">
        <v>1320</v>
      </c>
      <c r="M614">
        <v>-11</v>
      </c>
      <c r="O614" t="s">
        <v>1321</v>
      </c>
      <c r="P614">
        <v>-96</v>
      </c>
      <c r="Q614" t="s">
        <v>1626</v>
      </c>
      <c r="R614">
        <v>-1</v>
      </c>
      <c r="S614" t="s">
        <v>625</v>
      </c>
      <c r="T614">
        <v>-895.83429999999987</v>
      </c>
      <c r="U614" t="s">
        <v>1625</v>
      </c>
      <c r="V614">
        <v>-3</v>
      </c>
      <c r="W614" t="s">
        <v>490</v>
      </c>
      <c r="X614">
        <v>-200</v>
      </c>
      <c r="AC614" t="s">
        <v>1939</v>
      </c>
      <c r="AD614">
        <v>-5</v>
      </c>
      <c r="AE614" t="s">
        <v>652</v>
      </c>
      <c r="AF614">
        <v>-300</v>
      </c>
      <c r="AG614" t="s">
        <v>931</v>
      </c>
      <c r="AH614">
        <v>-5</v>
      </c>
      <c r="AI614" t="s">
        <v>769</v>
      </c>
      <c r="AJ614">
        <v>-4</v>
      </c>
      <c r="AK614" t="s">
        <v>651</v>
      </c>
      <c r="AL614">
        <v>-16</v>
      </c>
      <c r="AM614" t="s">
        <v>2243</v>
      </c>
      <c r="AN614">
        <v>-1</v>
      </c>
    </row>
    <row r="615" spans="12:40" x14ac:dyDescent="0.25">
      <c r="L615" t="s">
        <v>1321</v>
      </c>
      <c r="M615">
        <v>-301</v>
      </c>
      <c r="O615" t="s">
        <v>1072</v>
      </c>
      <c r="P615">
        <v>-10</v>
      </c>
      <c r="Q615" t="s">
        <v>1627</v>
      </c>
      <c r="R615">
        <v>-3.0000000000000009</v>
      </c>
      <c r="S615" t="s">
        <v>404</v>
      </c>
      <c r="T615">
        <v>-5488.0000000000036</v>
      </c>
      <c r="U615" t="s">
        <v>1356</v>
      </c>
      <c r="V615">
        <v>-2</v>
      </c>
      <c r="W615" t="s">
        <v>409</v>
      </c>
      <c r="X615">
        <v>-1705.9999999999995</v>
      </c>
      <c r="AC615" t="s">
        <v>577</v>
      </c>
      <c r="AD615">
        <v>-18</v>
      </c>
      <c r="AE615" t="s">
        <v>494</v>
      </c>
      <c r="AF615">
        <v>-800</v>
      </c>
      <c r="AG615" t="s">
        <v>103</v>
      </c>
      <c r="AH615">
        <v>-274</v>
      </c>
      <c r="AI615" t="s">
        <v>128</v>
      </c>
      <c r="AJ615">
        <v>-14</v>
      </c>
      <c r="AK615" t="s">
        <v>926</v>
      </c>
      <c r="AL615">
        <v>-4</v>
      </c>
      <c r="AM615" t="s">
        <v>2490</v>
      </c>
      <c r="AN615">
        <v>-2</v>
      </c>
    </row>
    <row r="616" spans="12:40" x14ac:dyDescent="0.25">
      <c r="L616" t="s">
        <v>1322</v>
      </c>
      <c r="M616">
        <v>-3</v>
      </c>
      <c r="O616" t="s">
        <v>1497</v>
      </c>
      <c r="P616">
        <v>-1</v>
      </c>
      <c r="Q616" t="s">
        <v>1628</v>
      </c>
      <c r="R616">
        <v>-5</v>
      </c>
      <c r="S616" t="s">
        <v>354</v>
      </c>
      <c r="T616">
        <v>-6512.9999999999973</v>
      </c>
      <c r="U616" t="s">
        <v>1774</v>
      </c>
      <c r="V616">
        <v>-0.99999999999999956</v>
      </c>
      <c r="W616" t="s">
        <v>492</v>
      </c>
      <c r="X616">
        <v>-3265.9999999999995</v>
      </c>
      <c r="AC616" t="s">
        <v>1542</v>
      </c>
      <c r="AD616">
        <v>-72</v>
      </c>
      <c r="AE616" t="s">
        <v>404</v>
      </c>
      <c r="AF616">
        <v>-1220</v>
      </c>
      <c r="AG616" t="s">
        <v>161</v>
      </c>
      <c r="AH616">
        <v>-1.25</v>
      </c>
      <c r="AI616" t="s">
        <v>281</v>
      </c>
      <c r="AJ616">
        <v>-36</v>
      </c>
      <c r="AK616" t="s">
        <v>927</v>
      </c>
      <c r="AL616">
        <v>-9</v>
      </c>
      <c r="AM616" t="s">
        <v>339</v>
      </c>
      <c r="AN616">
        <v>-1</v>
      </c>
    </row>
    <row r="617" spans="12:40" x14ac:dyDescent="0.25">
      <c r="L617" t="s">
        <v>1072</v>
      </c>
      <c r="M617">
        <v>-20</v>
      </c>
      <c r="O617" t="s">
        <v>1498</v>
      </c>
      <c r="P617">
        <v>-1</v>
      </c>
      <c r="Q617" t="s">
        <v>1095</v>
      </c>
      <c r="R617">
        <v>-300</v>
      </c>
      <c r="S617" t="s">
        <v>732</v>
      </c>
      <c r="T617">
        <v>-600</v>
      </c>
      <c r="U617" t="s">
        <v>1707</v>
      </c>
      <c r="V617">
        <v>-0.7</v>
      </c>
      <c r="W617" t="s">
        <v>407</v>
      </c>
      <c r="X617">
        <v>-3385.9999999999995</v>
      </c>
      <c r="AC617" t="s">
        <v>500</v>
      </c>
      <c r="AD617">
        <v>-27.600000000000005</v>
      </c>
      <c r="AE617" t="s">
        <v>354</v>
      </c>
      <c r="AF617">
        <v>-2416</v>
      </c>
      <c r="AG617" t="s">
        <v>587</v>
      </c>
      <c r="AH617">
        <v>-600</v>
      </c>
      <c r="AI617" t="s">
        <v>140</v>
      </c>
      <c r="AJ617">
        <v>-1</v>
      </c>
      <c r="AK617" t="s">
        <v>555</v>
      </c>
      <c r="AL617">
        <v>-500</v>
      </c>
      <c r="AM617" t="s">
        <v>897</v>
      </c>
      <c r="AN617">
        <v>-4</v>
      </c>
    </row>
    <row r="618" spans="12:40" x14ac:dyDescent="0.25">
      <c r="L618" t="s">
        <v>1323</v>
      </c>
      <c r="M618">
        <v>-1</v>
      </c>
      <c r="O618" t="s">
        <v>1499</v>
      </c>
      <c r="P618">
        <v>-1</v>
      </c>
      <c r="Q618" t="s">
        <v>556</v>
      </c>
      <c r="R618">
        <v>-199.99999999999997</v>
      </c>
      <c r="S618" t="s">
        <v>493</v>
      </c>
      <c r="T618">
        <v>-1487</v>
      </c>
      <c r="U618" t="s">
        <v>1708</v>
      </c>
      <c r="V618">
        <v>-5</v>
      </c>
      <c r="W618" t="s">
        <v>744</v>
      </c>
      <c r="X618">
        <v>-20</v>
      </c>
      <c r="AC618" t="s">
        <v>2029</v>
      </c>
      <c r="AD618">
        <v>-6</v>
      </c>
      <c r="AE618" t="s">
        <v>732</v>
      </c>
      <c r="AF618">
        <v>-146</v>
      </c>
      <c r="AG618" t="s">
        <v>597</v>
      </c>
      <c r="AH618">
        <v>-2</v>
      </c>
      <c r="AI618" t="s">
        <v>127</v>
      </c>
      <c r="AJ618">
        <v>-2</v>
      </c>
      <c r="AK618" t="s">
        <v>929</v>
      </c>
      <c r="AL618">
        <v>-2</v>
      </c>
      <c r="AM618" t="s">
        <v>231</v>
      </c>
      <c r="AN618">
        <v>-77</v>
      </c>
    </row>
    <row r="619" spans="12:40" x14ac:dyDescent="0.25">
      <c r="L619" t="s">
        <v>1324</v>
      </c>
      <c r="M619">
        <v>-1</v>
      </c>
      <c r="O619" t="s">
        <v>1500</v>
      </c>
      <c r="P619">
        <v>-12</v>
      </c>
      <c r="Q619" t="s">
        <v>944</v>
      </c>
      <c r="R619">
        <v>-74</v>
      </c>
      <c r="S619" t="s">
        <v>1629</v>
      </c>
      <c r="T619">
        <v>-1650</v>
      </c>
      <c r="U619" t="s">
        <v>1775</v>
      </c>
      <c r="V619">
        <v>-10</v>
      </c>
      <c r="W619" t="s">
        <v>624</v>
      </c>
      <c r="X619">
        <v>-100</v>
      </c>
      <c r="AC619" t="s">
        <v>572</v>
      </c>
      <c r="AD619">
        <v>-27</v>
      </c>
      <c r="AE619" t="s">
        <v>493</v>
      </c>
      <c r="AF619">
        <v>-750.00000000000011</v>
      </c>
      <c r="AG619" t="s">
        <v>599</v>
      </c>
      <c r="AH619">
        <v>-2</v>
      </c>
      <c r="AI619" t="s">
        <v>290</v>
      </c>
      <c r="AJ619">
        <v>-21</v>
      </c>
      <c r="AK619" t="s">
        <v>1352</v>
      </c>
      <c r="AL619">
        <v>-1</v>
      </c>
      <c r="AM619" t="s">
        <v>24</v>
      </c>
      <c r="AN619">
        <v>-2</v>
      </c>
    </row>
    <row r="620" spans="12:40" x14ac:dyDescent="0.25">
      <c r="L620" t="s">
        <v>1325</v>
      </c>
      <c r="M620">
        <v>-4.160000000000001</v>
      </c>
      <c r="O620" t="s">
        <v>254</v>
      </c>
      <c r="P620">
        <v>-15</v>
      </c>
      <c r="Q620" t="s">
        <v>652</v>
      </c>
      <c r="R620">
        <v>-300</v>
      </c>
      <c r="S620" t="s">
        <v>357</v>
      </c>
      <c r="T620">
        <v>-1559</v>
      </c>
      <c r="U620" t="s">
        <v>1776</v>
      </c>
      <c r="V620">
        <v>-6.0000000000000018</v>
      </c>
      <c r="W620" t="s">
        <v>406</v>
      </c>
      <c r="X620">
        <v>-10</v>
      </c>
      <c r="AC620" t="s">
        <v>839</v>
      </c>
      <c r="AD620">
        <v>-24</v>
      </c>
      <c r="AE620" t="s">
        <v>1629</v>
      </c>
      <c r="AF620">
        <v>-5</v>
      </c>
      <c r="AG620" t="s">
        <v>101</v>
      </c>
      <c r="AH620">
        <v>-11.5</v>
      </c>
      <c r="AI620" t="s">
        <v>288</v>
      </c>
      <c r="AJ620">
        <v>-28</v>
      </c>
      <c r="AK620" t="s">
        <v>1353</v>
      </c>
      <c r="AL620">
        <v>-1</v>
      </c>
      <c r="AM620" t="s">
        <v>2491</v>
      </c>
      <c r="AN620">
        <v>-2</v>
      </c>
    </row>
    <row r="621" spans="12:40" x14ac:dyDescent="0.25">
      <c r="L621" t="s">
        <v>1326</v>
      </c>
      <c r="M621">
        <v>-1</v>
      </c>
      <c r="O621" t="s">
        <v>900</v>
      </c>
      <c r="P621">
        <v>-18</v>
      </c>
      <c r="Q621" t="s">
        <v>594</v>
      </c>
      <c r="R621">
        <v>-100</v>
      </c>
      <c r="S621" t="s">
        <v>403</v>
      </c>
      <c r="T621">
        <v>-2600</v>
      </c>
      <c r="U621" t="s">
        <v>1626</v>
      </c>
      <c r="V621">
        <v>-1.9999999999999996</v>
      </c>
      <c r="W621" t="s">
        <v>946</v>
      </c>
      <c r="X621">
        <v>-300</v>
      </c>
      <c r="AC621" t="s">
        <v>2030</v>
      </c>
      <c r="AD621">
        <v>-1</v>
      </c>
      <c r="AE621" t="s">
        <v>357</v>
      </c>
      <c r="AF621">
        <v>-1004</v>
      </c>
      <c r="AG621" t="s">
        <v>1091</v>
      </c>
      <c r="AH621">
        <v>-2</v>
      </c>
      <c r="AI621" t="s">
        <v>47</v>
      </c>
      <c r="AJ621">
        <v>-8</v>
      </c>
      <c r="AK621" t="s">
        <v>586</v>
      </c>
      <c r="AL621">
        <v>-5798.3329999999978</v>
      </c>
      <c r="AM621" t="s">
        <v>1917</v>
      </c>
      <c r="AN621">
        <v>-1</v>
      </c>
    </row>
    <row r="622" spans="12:40" x14ac:dyDescent="0.25">
      <c r="L622" t="s">
        <v>1327</v>
      </c>
      <c r="M622">
        <v>-2</v>
      </c>
      <c r="O622" t="s">
        <v>256</v>
      </c>
      <c r="P622">
        <v>-12</v>
      </c>
      <c r="Q622" t="s">
        <v>494</v>
      </c>
      <c r="R622">
        <v>-2199.9999999999991</v>
      </c>
      <c r="S622" t="s">
        <v>408</v>
      </c>
      <c r="T622">
        <v>-4183.5</v>
      </c>
      <c r="U622" t="s">
        <v>1359</v>
      </c>
      <c r="V622">
        <v>-6.0000000000000009</v>
      </c>
      <c r="W622" t="s">
        <v>488</v>
      </c>
      <c r="X622">
        <v>-999.99999999999977</v>
      </c>
      <c r="AC622" t="s">
        <v>108</v>
      </c>
      <c r="AD622">
        <v>-5</v>
      </c>
      <c r="AE622" t="s">
        <v>403</v>
      </c>
      <c r="AF622">
        <v>-2499.9999999999995</v>
      </c>
      <c r="AG622" t="s">
        <v>1704</v>
      </c>
      <c r="AH622">
        <v>-200</v>
      </c>
      <c r="AI622" t="s">
        <v>724</v>
      </c>
      <c r="AJ622">
        <v>-0.23199999999999998</v>
      </c>
      <c r="AK622" t="s">
        <v>659</v>
      </c>
      <c r="AL622">
        <v>-300</v>
      </c>
      <c r="AM622" t="s">
        <v>2492</v>
      </c>
      <c r="AN622">
        <v>-6</v>
      </c>
    </row>
    <row r="623" spans="12:40" x14ac:dyDescent="0.25">
      <c r="L623" t="s">
        <v>1328</v>
      </c>
      <c r="M623">
        <v>-25</v>
      </c>
      <c r="O623" t="s">
        <v>901</v>
      </c>
      <c r="P623">
        <v>-3</v>
      </c>
      <c r="Q623" t="s">
        <v>625</v>
      </c>
      <c r="R623">
        <v>-320</v>
      </c>
      <c r="S623" t="s">
        <v>1360</v>
      </c>
      <c r="T623">
        <v>-375</v>
      </c>
      <c r="U623" t="s">
        <v>1777</v>
      </c>
      <c r="V623">
        <v>-6.0000000000000018</v>
      </c>
      <c r="W623" t="s">
        <v>947</v>
      </c>
      <c r="X623">
        <v>-5</v>
      </c>
      <c r="AC623" t="s">
        <v>0</v>
      </c>
      <c r="AD623">
        <v>-2</v>
      </c>
      <c r="AE623" t="s">
        <v>408</v>
      </c>
      <c r="AF623">
        <v>-3933.0000000000014</v>
      </c>
      <c r="AG623" t="s">
        <v>596</v>
      </c>
      <c r="AH623">
        <v>-1000</v>
      </c>
      <c r="AI623" t="s">
        <v>1085</v>
      </c>
      <c r="AJ623">
        <v>-1</v>
      </c>
      <c r="AK623" t="s">
        <v>163</v>
      </c>
      <c r="AL623">
        <v>-25</v>
      </c>
      <c r="AM623" t="s">
        <v>1617</v>
      </c>
      <c r="AN623">
        <v>-9</v>
      </c>
    </row>
    <row r="624" spans="12:40" x14ac:dyDescent="0.25">
      <c r="L624" t="s">
        <v>254</v>
      </c>
      <c r="M624">
        <v>-18</v>
      </c>
      <c r="O624" t="s">
        <v>46</v>
      </c>
      <c r="P624">
        <v>-3</v>
      </c>
      <c r="Q624" t="s">
        <v>404</v>
      </c>
      <c r="R624">
        <v>-2200.333599999999</v>
      </c>
      <c r="S624" t="s">
        <v>358</v>
      </c>
      <c r="T624">
        <v>-1470.9999999999986</v>
      </c>
      <c r="U624" t="s">
        <v>1778</v>
      </c>
      <c r="V624">
        <v>-11.999999999999998</v>
      </c>
      <c r="W624" t="s">
        <v>405</v>
      </c>
      <c r="X624">
        <v>-1410</v>
      </c>
      <c r="AC624" t="s">
        <v>1543</v>
      </c>
      <c r="AD624">
        <v>-10</v>
      </c>
      <c r="AE624" t="s">
        <v>358</v>
      </c>
      <c r="AF624">
        <v>-900.00000000000011</v>
      </c>
      <c r="AG624" t="s">
        <v>661</v>
      </c>
      <c r="AH624">
        <v>-201.00000000000011</v>
      </c>
      <c r="AI624" t="s">
        <v>617</v>
      </c>
      <c r="AJ624">
        <v>-22</v>
      </c>
      <c r="AK624" t="s">
        <v>930</v>
      </c>
      <c r="AL624">
        <v>-3.0000000000000004</v>
      </c>
      <c r="AM624" t="s">
        <v>2493</v>
      </c>
      <c r="AN624">
        <v>-4</v>
      </c>
    </row>
    <row r="625" spans="12:40" x14ac:dyDescent="0.25">
      <c r="L625" t="s">
        <v>1329</v>
      </c>
      <c r="M625">
        <v>-4</v>
      </c>
      <c r="O625" t="s">
        <v>1501</v>
      </c>
      <c r="P625">
        <v>-6</v>
      </c>
      <c r="Q625" t="s">
        <v>354</v>
      </c>
      <c r="R625">
        <v>-6007.0000000000009</v>
      </c>
      <c r="S625" t="s">
        <v>359</v>
      </c>
      <c r="T625">
        <v>-1058.9999999999995</v>
      </c>
      <c r="U625" t="s">
        <v>1779</v>
      </c>
      <c r="V625">
        <v>-1.9999999999999993</v>
      </c>
      <c r="W625" t="s">
        <v>487</v>
      </c>
      <c r="X625">
        <v>-800</v>
      </c>
      <c r="AC625" t="s">
        <v>1544</v>
      </c>
      <c r="AD625">
        <v>-10</v>
      </c>
      <c r="AE625" t="s">
        <v>359</v>
      </c>
      <c r="AF625">
        <v>-1420</v>
      </c>
      <c r="AG625" t="s">
        <v>935</v>
      </c>
      <c r="AH625">
        <v>-82</v>
      </c>
      <c r="AI625" t="s">
        <v>145</v>
      </c>
      <c r="AJ625">
        <v>-4</v>
      </c>
      <c r="AK625" t="s">
        <v>415</v>
      </c>
      <c r="AL625">
        <v>-7</v>
      </c>
      <c r="AM625" t="s">
        <v>2494</v>
      </c>
      <c r="AN625">
        <v>-2</v>
      </c>
    </row>
    <row r="626" spans="12:40" x14ac:dyDescent="0.25">
      <c r="L626" t="s">
        <v>256</v>
      </c>
      <c r="M626">
        <v>-9</v>
      </c>
      <c r="O626" t="s">
        <v>137</v>
      </c>
      <c r="P626">
        <v>-8</v>
      </c>
      <c r="Q626" t="s">
        <v>493</v>
      </c>
      <c r="R626">
        <v>-840</v>
      </c>
      <c r="S626" t="s">
        <v>1714</v>
      </c>
      <c r="T626">
        <v>-132</v>
      </c>
      <c r="U626" t="s">
        <v>1780</v>
      </c>
      <c r="V626">
        <v>-10</v>
      </c>
      <c r="W626" t="s">
        <v>676</v>
      </c>
      <c r="X626">
        <v>-886.00000000000034</v>
      </c>
      <c r="AC626" t="s">
        <v>612</v>
      </c>
      <c r="AD626">
        <v>-49.999999999999993</v>
      </c>
      <c r="AE626" t="s">
        <v>356</v>
      </c>
      <c r="AF626">
        <v>-2085.79</v>
      </c>
      <c r="AG626" t="s">
        <v>660</v>
      </c>
      <c r="AH626">
        <v>-3</v>
      </c>
      <c r="AI626" t="s">
        <v>911</v>
      </c>
      <c r="AJ626">
        <v>-5</v>
      </c>
      <c r="AK626" t="s">
        <v>103</v>
      </c>
      <c r="AL626">
        <v>-93</v>
      </c>
      <c r="AM626" t="s">
        <v>158</v>
      </c>
      <c r="AN626">
        <v>-14</v>
      </c>
    </row>
    <row r="627" spans="12:40" x14ac:dyDescent="0.25">
      <c r="L627" t="s">
        <v>1076</v>
      </c>
      <c r="M627">
        <v>-4</v>
      </c>
      <c r="O627" t="s">
        <v>1330</v>
      </c>
      <c r="P627">
        <v>-35</v>
      </c>
      <c r="Q627" t="s">
        <v>1629</v>
      </c>
      <c r="R627">
        <v>-262.5</v>
      </c>
      <c r="S627" t="s">
        <v>356</v>
      </c>
      <c r="T627">
        <v>-5769</v>
      </c>
      <c r="U627" t="s">
        <v>1781</v>
      </c>
      <c r="V627">
        <v>-2.9999999999999996</v>
      </c>
      <c r="W627" t="s">
        <v>1873</v>
      </c>
      <c r="X627">
        <v>-220</v>
      </c>
      <c r="AC627" t="s">
        <v>644</v>
      </c>
      <c r="AD627">
        <v>-3</v>
      </c>
      <c r="AE627" t="s">
        <v>402</v>
      </c>
      <c r="AF627">
        <v>-4013.9999999999995</v>
      </c>
      <c r="AG627" t="s">
        <v>72</v>
      </c>
      <c r="AH627">
        <v>-21.249999999999989</v>
      </c>
      <c r="AI627" t="s">
        <v>62</v>
      </c>
      <c r="AJ627">
        <v>-24</v>
      </c>
      <c r="AK627" t="s">
        <v>161</v>
      </c>
      <c r="AL627">
        <v>-1</v>
      </c>
      <c r="AM627" t="s">
        <v>898</v>
      </c>
      <c r="AN627">
        <v>-9</v>
      </c>
    </row>
    <row r="628" spans="12:40" x14ac:dyDescent="0.25">
      <c r="L628" t="s">
        <v>46</v>
      </c>
      <c r="M628">
        <v>-6</v>
      </c>
      <c r="O628" t="s">
        <v>1078</v>
      </c>
      <c r="P628">
        <v>-118</v>
      </c>
      <c r="Q628" t="s">
        <v>357</v>
      </c>
      <c r="R628">
        <v>-300</v>
      </c>
      <c r="S628" t="s">
        <v>402</v>
      </c>
      <c r="T628">
        <v>-12240.999999999996</v>
      </c>
      <c r="U628" t="s">
        <v>1782</v>
      </c>
      <c r="V628">
        <v>-1</v>
      </c>
      <c r="W628" t="s">
        <v>623</v>
      </c>
      <c r="X628">
        <v>-97</v>
      </c>
      <c r="AC628" t="s">
        <v>1718</v>
      </c>
      <c r="AD628">
        <v>-199.99999999999994</v>
      </c>
      <c r="AE628" t="s">
        <v>490</v>
      </c>
      <c r="AF628">
        <v>-308.54999999999995</v>
      </c>
      <c r="AG628" t="s">
        <v>937</v>
      </c>
      <c r="AH628">
        <v>-10</v>
      </c>
      <c r="AI628" t="s">
        <v>282</v>
      </c>
      <c r="AJ628">
        <v>-16</v>
      </c>
      <c r="AK628" t="s">
        <v>587</v>
      </c>
      <c r="AL628">
        <v>-880</v>
      </c>
      <c r="AM628" t="s">
        <v>144</v>
      </c>
      <c r="AN628">
        <v>-10</v>
      </c>
    </row>
    <row r="629" spans="12:40" x14ac:dyDescent="0.25">
      <c r="L629" t="s">
        <v>137</v>
      </c>
      <c r="M629">
        <v>-4</v>
      </c>
      <c r="O629" t="s">
        <v>1331</v>
      </c>
      <c r="P629">
        <v>-6</v>
      </c>
      <c r="Q629" t="s">
        <v>403</v>
      </c>
      <c r="R629">
        <v>-2120.9998000000001</v>
      </c>
      <c r="S629" t="s">
        <v>677</v>
      </c>
      <c r="T629">
        <v>-280</v>
      </c>
      <c r="U629" t="s">
        <v>621</v>
      </c>
      <c r="V629">
        <v>-397.99999999999994</v>
      </c>
      <c r="W629" t="s">
        <v>948</v>
      </c>
      <c r="X629">
        <v>-1000</v>
      </c>
      <c r="AC629" t="s">
        <v>740</v>
      </c>
      <c r="AD629">
        <v>-7</v>
      </c>
      <c r="AE629" t="s">
        <v>409</v>
      </c>
      <c r="AF629">
        <v>-1607.72</v>
      </c>
      <c r="AG629" t="s">
        <v>595</v>
      </c>
      <c r="AH629">
        <v>-20</v>
      </c>
      <c r="AI629" t="s">
        <v>77</v>
      </c>
      <c r="AJ629">
        <v>-20</v>
      </c>
      <c r="AK629" t="s">
        <v>597</v>
      </c>
      <c r="AL629">
        <v>-1</v>
      </c>
      <c r="AM629" t="s">
        <v>899</v>
      </c>
      <c r="AN629">
        <v>-2</v>
      </c>
    </row>
    <row r="630" spans="12:40" x14ac:dyDescent="0.25">
      <c r="L630" t="s">
        <v>1330</v>
      </c>
      <c r="M630">
        <v>-70</v>
      </c>
      <c r="O630" t="s">
        <v>903</v>
      </c>
      <c r="P630">
        <v>-6</v>
      </c>
      <c r="Q630" t="s">
        <v>408</v>
      </c>
      <c r="R630">
        <v>-3777.5</v>
      </c>
      <c r="S630" t="s">
        <v>490</v>
      </c>
      <c r="T630">
        <v>-518</v>
      </c>
      <c r="U630" t="s">
        <v>1712</v>
      </c>
      <c r="V630">
        <v>-200</v>
      </c>
      <c r="W630" t="s">
        <v>1096</v>
      </c>
      <c r="X630">
        <v>-49.999999999999986</v>
      </c>
      <c r="AC630" t="s">
        <v>741</v>
      </c>
      <c r="AD630">
        <v>-7</v>
      </c>
      <c r="AE630" t="s">
        <v>492</v>
      </c>
      <c r="AF630">
        <v>-1957.1500000000003</v>
      </c>
      <c r="AG630" t="s">
        <v>1519</v>
      </c>
      <c r="AH630">
        <v>-4</v>
      </c>
      <c r="AI630" t="s">
        <v>374</v>
      </c>
      <c r="AJ630">
        <v>-2</v>
      </c>
      <c r="AK630" t="s">
        <v>1772</v>
      </c>
      <c r="AL630">
        <v>-2</v>
      </c>
      <c r="AM630" t="s">
        <v>227</v>
      </c>
      <c r="AN630">
        <v>-40</v>
      </c>
    </row>
    <row r="631" spans="12:40" x14ac:dyDescent="0.25">
      <c r="L631" t="s">
        <v>1078</v>
      </c>
      <c r="M631">
        <v>-22</v>
      </c>
      <c r="O631" t="s">
        <v>1333</v>
      </c>
      <c r="P631">
        <v>-120</v>
      </c>
      <c r="Q631" t="s">
        <v>358</v>
      </c>
      <c r="R631">
        <v>-1340</v>
      </c>
      <c r="S631" t="s">
        <v>409</v>
      </c>
      <c r="T631">
        <v>-1239.5460999999993</v>
      </c>
      <c r="U631" t="s">
        <v>944</v>
      </c>
      <c r="V631">
        <v>-61</v>
      </c>
      <c r="W631" t="s">
        <v>1524</v>
      </c>
      <c r="X631">
        <v>-300</v>
      </c>
      <c r="AC631" t="s">
        <v>742</v>
      </c>
      <c r="AD631">
        <v>-7</v>
      </c>
      <c r="AE631" t="s">
        <v>624</v>
      </c>
      <c r="AF631">
        <v>-14</v>
      </c>
      <c r="AG631" t="s">
        <v>938</v>
      </c>
      <c r="AH631">
        <v>-20</v>
      </c>
      <c r="AI631" t="s">
        <v>2179</v>
      </c>
      <c r="AJ631">
        <v>-1</v>
      </c>
      <c r="AK631" t="s">
        <v>933</v>
      </c>
      <c r="AL631">
        <v>-2</v>
      </c>
      <c r="AM631" t="s">
        <v>648</v>
      </c>
      <c r="AN631">
        <v>-50</v>
      </c>
    </row>
    <row r="632" spans="12:40" x14ac:dyDescent="0.25">
      <c r="L632" t="s">
        <v>1331</v>
      </c>
      <c r="M632">
        <v>-3</v>
      </c>
      <c r="O632" t="s">
        <v>113</v>
      </c>
      <c r="P632">
        <v>-102</v>
      </c>
      <c r="Q632" t="s">
        <v>359</v>
      </c>
      <c r="R632">
        <v>-1550</v>
      </c>
      <c r="S632" t="s">
        <v>492</v>
      </c>
      <c r="T632">
        <v>-2421.0000000000014</v>
      </c>
      <c r="U632" t="s">
        <v>652</v>
      </c>
      <c r="V632">
        <v>-275.03999999999996</v>
      </c>
      <c r="W632" t="s">
        <v>1874</v>
      </c>
      <c r="X632">
        <v>-150</v>
      </c>
      <c r="AC632" t="s">
        <v>781</v>
      </c>
      <c r="AE632" t="s">
        <v>622</v>
      </c>
      <c r="AF632">
        <v>-642.90000000000009</v>
      </c>
      <c r="AG632" t="s">
        <v>939</v>
      </c>
      <c r="AH632">
        <v>-20</v>
      </c>
      <c r="AI632" t="s">
        <v>2251</v>
      </c>
      <c r="AJ632">
        <v>-1</v>
      </c>
      <c r="AK632" t="s">
        <v>599</v>
      </c>
      <c r="AL632">
        <v>-1</v>
      </c>
      <c r="AM632" t="s">
        <v>2495</v>
      </c>
      <c r="AN632">
        <v>-42</v>
      </c>
    </row>
    <row r="633" spans="12:40" x14ac:dyDescent="0.25">
      <c r="L633" t="s">
        <v>1332</v>
      </c>
      <c r="M633">
        <v>-16</v>
      </c>
      <c r="O633" t="s">
        <v>1502</v>
      </c>
      <c r="P633">
        <v>-80</v>
      </c>
      <c r="Q633" t="s">
        <v>356</v>
      </c>
      <c r="R633">
        <v>-4320.3333000000021</v>
      </c>
      <c r="S633" t="s">
        <v>407</v>
      </c>
      <c r="T633">
        <v>-1715.3332000000012</v>
      </c>
      <c r="U633" t="s">
        <v>494</v>
      </c>
      <c r="V633">
        <v>-2640.0000000000005</v>
      </c>
      <c r="W633" t="s">
        <v>1875</v>
      </c>
      <c r="X633">
        <v>-60</v>
      </c>
      <c r="AC633" t="s">
        <v>782</v>
      </c>
      <c r="AD633">
        <v>-36862.541999999994</v>
      </c>
      <c r="AE633" t="s">
        <v>491</v>
      </c>
      <c r="AF633">
        <v>-428.54999999999995</v>
      </c>
      <c r="AG633" t="s">
        <v>940</v>
      </c>
      <c r="AH633">
        <v>-20</v>
      </c>
      <c r="AI633" t="s">
        <v>63</v>
      </c>
      <c r="AJ633">
        <v>-21</v>
      </c>
      <c r="AK633" t="s">
        <v>101</v>
      </c>
      <c r="AL633">
        <v>-10</v>
      </c>
      <c r="AM633" t="s">
        <v>388</v>
      </c>
      <c r="AN633">
        <v>-28</v>
      </c>
    </row>
    <row r="634" spans="12:40" x14ac:dyDescent="0.25">
      <c r="L634" t="s">
        <v>903</v>
      </c>
      <c r="M634">
        <v>-16</v>
      </c>
      <c r="O634" t="s">
        <v>1503</v>
      </c>
      <c r="P634">
        <v>-39</v>
      </c>
      <c r="Q634" t="s">
        <v>402</v>
      </c>
      <c r="R634">
        <v>-8079.9999999999973</v>
      </c>
      <c r="S634" t="s">
        <v>945</v>
      </c>
      <c r="T634">
        <v>-555.55560000000014</v>
      </c>
      <c r="U634" t="s">
        <v>625</v>
      </c>
      <c r="V634">
        <v>-425.16569999999996</v>
      </c>
      <c r="W634" t="s">
        <v>1876</v>
      </c>
      <c r="X634">
        <v>-999.99999999999977</v>
      </c>
      <c r="AE634" t="s">
        <v>406</v>
      </c>
      <c r="AF634">
        <v>-786</v>
      </c>
      <c r="AG634" t="s">
        <v>109</v>
      </c>
      <c r="AH634">
        <v>-1</v>
      </c>
      <c r="AI634" t="s">
        <v>195</v>
      </c>
      <c r="AJ634">
        <v>-18</v>
      </c>
      <c r="AK634" t="s">
        <v>661</v>
      </c>
      <c r="AL634">
        <v>-20</v>
      </c>
      <c r="AM634" t="s">
        <v>247</v>
      </c>
      <c r="AN634">
        <v>-3</v>
      </c>
    </row>
    <row r="635" spans="12:40" x14ac:dyDescent="0.25">
      <c r="L635" t="s">
        <v>1079</v>
      </c>
      <c r="M635">
        <v>-30</v>
      </c>
      <c r="O635" t="s">
        <v>1504</v>
      </c>
      <c r="P635">
        <v>-3</v>
      </c>
      <c r="Q635" t="s">
        <v>677</v>
      </c>
      <c r="R635">
        <v>-240</v>
      </c>
      <c r="S635" t="s">
        <v>1630</v>
      </c>
      <c r="T635">
        <v>-396.25</v>
      </c>
      <c r="U635" t="s">
        <v>404</v>
      </c>
      <c r="V635">
        <v>-4694.4444999999969</v>
      </c>
      <c r="W635" t="s">
        <v>949</v>
      </c>
      <c r="X635">
        <v>-10.000000000000005</v>
      </c>
      <c r="AE635" t="s">
        <v>946</v>
      </c>
      <c r="AF635">
        <v>-100</v>
      </c>
      <c r="AG635" t="s">
        <v>102</v>
      </c>
      <c r="AH635">
        <v>-5</v>
      </c>
      <c r="AI635" t="s">
        <v>2252</v>
      </c>
      <c r="AJ635">
        <v>-1</v>
      </c>
      <c r="AK635" t="s">
        <v>935</v>
      </c>
      <c r="AL635">
        <v>-8</v>
      </c>
      <c r="AM635" t="s">
        <v>476</v>
      </c>
      <c r="AN635">
        <v>-3</v>
      </c>
    </row>
    <row r="636" spans="12:40" x14ac:dyDescent="0.25">
      <c r="L636" t="s">
        <v>1080</v>
      </c>
      <c r="M636">
        <v>-60</v>
      </c>
      <c r="O636" t="s">
        <v>1505</v>
      </c>
      <c r="P636">
        <v>-5</v>
      </c>
      <c r="Q636" t="s">
        <v>490</v>
      </c>
      <c r="R636">
        <v>-632</v>
      </c>
      <c r="S636" t="s">
        <v>744</v>
      </c>
      <c r="T636">
        <v>-520</v>
      </c>
      <c r="U636" t="s">
        <v>354</v>
      </c>
      <c r="V636">
        <v>-6345.4444999999942</v>
      </c>
      <c r="W636" t="s">
        <v>505</v>
      </c>
      <c r="X636">
        <v>-5</v>
      </c>
      <c r="AE636" t="s">
        <v>488</v>
      </c>
      <c r="AF636">
        <v>-1000</v>
      </c>
      <c r="AG636" t="s">
        <v>104</v>
      </c>
      <c r="AH636">
        <v>-197</v>
      </c>
      <c r="AI636" t="s">
        <v>727</v>
      </c>
      <c r="AJ636">
        <v>-20</v>
      </c>
      <c r="AK636" t="s">
        <v>72</v>
      </c>
      <c r="AL636">
        <v>-10</v>
      </c>
      <c r="AM636" t="s">
        <v>717</v>
      </c>
      <c r="AN636">
        <v>-2</v>
      </c>
    </row>
    <row r="637" spans="12:40" x14ac:dyDescent="0.25">
      <c r="L637" t="s">
        <v>1081</v>
      </c>
      <c r="M637">
        <v>-60</v>
      </c>
      <c r="O637" t="s">
        <v>904</v>
      </c>
      <c r="P637">
        <v>-5</v>
      </c>
      <c r="Q637" t="s">
        <v>409</v>
      </c>
      <c r="R637">
        <v>-640</v>
      </c>
      <c r="S637" t="s">
        <v>624</v>
      </c>
      <c r="T637">
        <v>-288.75</v>
      </c>
      <c r="U637" t="s">
        <v>732</v>
      </c>
      <c r="V637">
        <v>-150</v>
      </c>
      <c r="W637" t="s">
        <v>156</v>
      </c>
      <c r="X637">
        <v>-11.080000000000002</v>
      </c>
      <c r="AE637" t="s">
        <v>362</v>
      </c>
      <c r="AF637">
        <v>-100</v>
      </c>
      <c r="AG637" t="s">
        <v>588</v>
      </c>
      <c r="AH637">
        <v>-1</v>
      </c>
      <c r="AI637" t="s">
        <v>728</v>
      </c>
      <c r="AJ637">
        <v>-9</v>
      </c>
      <c r="AK637" t="s">
        <v>109</v>
      </c>
      <c r="AL637">
        <v>-1</v>
      </c>
      <c r="AM637" t="s">
        <v>716</v>
      </c>
      <c r="AN637">
        <v>-7</v>
      </c>
    </row>
    <row r="638" spans="12:40" x14ac:dyDescent="0.25">
      <c r="L638" t="s">
        <v>1333</v>
      </c>
      <c r="M638">
        <v>-87</v>
      </c>
      <c r="O638" t="s">
        <v>1506</v>
      </c>
      <c r="P638">
        <v>-1</v>
      </c>
      <c r="Q638" t="s">
        <v>492</v>
      </c>
      <c r="R638">
        <v>-1260</v>
      </c>
      <c r="S638" t="s">
        <v>622</v>
      </c>
      <c r="T638">
        <v>-1190</v>
      </c>
      <c r="U638" t="s">
        <v>493</v>
      </c>
      <c r="V638">
        <v>-869.99999999999955</v>
      </c>
      <c r="W638" t="s">
        <v>155</v>
      </c>
      <c r="X638">
        <v>-3.9650000000000003</v>
      </c>
      <c r="AE638" t="s">
        <v>947</v>
      </c>
      <c r="AF638">
        <v>-20</v>
      </c>
      <c r="AG638" t="s">
        <v>1706</v>
      </c>
      <c r="AH638">
        <v>-2</v>
      </c>
      <c r="AI638" t="s">
        <v>1869</v>
      </c>
      <c r="AJ638">
        <v>-7</v>
      </c>
      <c r="AK638" t="s">
        <v>104</v>
      </c>
      <c r="AL638">
        <v>-65</v>
      </c>
      <c r="AM638" t="s">
        <v>76</v>
      </c>
      <c r="AN638">
        <v>-16</v>
      </c>
    </row>
    <row r="639" spans="12:40" x14ac:dyDescent="0.25">
      <c r="L639" t="s">
        <v>1082</v>
      </c>
      <c r="M639">
        <v>-30</v>
      </c>
      <c r="O639" t="s">
        <v>1507</v>
      </c>
      <c r="P639">
        <v>-2</v>
      </c>
      <c r="Q639" t="s">
        <v>407</v>
      </c>
      <c r="R639">
        <v>-295</v>
      </c>
      <c r="S639" t="s">
        <v>491</v>
      </c>
      <c r="T639">
        <v>-604.99999999999989</v>
      </c>
      <c r="U639" t="s">
        <v>357</v>
      </c>
      <c r="V639">
        <v>-960.00000000000034</v>
      </c>
      <c r="W639" t="s">
        <v>157</v>
      </c>
      <c r="X639">
        <v>-15.499999999999996</v>
      </c>
      <c r="AE639" t="s">
        <v>405</v>
      </c>
      <c r="AF639">
        <v>-350</v>
      </c>
      <c r="AG639" t="s">
        <v>1625</v>
      </c>
      <c r="AH639">
        <v>-8</v>
      </c>
      <c r="AI639" t="s">
        <v>355</v>
      </c>
      <c r="AJ639">
        <v>-3132</v>
      </c>
      <c r="AK639" t="s">
        <v>588</v>
      </c>
      <c r="AL639">
        <v>-2</v>
      </c>
      <c r="AM639" t="s">
        <v>2496</v>
      </c>
      <c r="AN639">
        <v>-3</v>
      </c>
    </row>
    <row r="640" spans="12:40" x14ac:dyDescent="0.25">
      <c r="L640" t="s">
        <v>113</v>
      </c>
      <c r="M640">
        <v>-54</v>
      </c>
      <c r="O640" t="s">
        <v>1335</v>
      </c>
      <c r="P640">
        <v>-36</v>
      </c>
      <c r="Q640" t="s">
        <v>945</v>
      </c>
      <c r="R640">
        <v>-92.999999999999986</v>
      </c>
      <c r="S640" t="s">
        <v>406</v>
      </c>
      <c r="T640">
        <v>-1955</v>
      </c>
      <c r="U640" t="s">
        <v>403</v>
      </c>
      <c r="V640">
        <v>-1900.0000000000005</v>
      </c>
      <c r="W640" t="s">
        <v>1787</v>
      </c>
      <c r="X640">
        <v>-7.5999999999999998E-2</v>
      </c>
      <c r="AE640" t="s">
        <v>363</v>
      </c>
      <c r="AF640">
        <v>-500</v>
      </c>
      <c r="AG640" t="s">
        <v>1356</v>
      </c>
      <c r="AH640">
        <v>-2</v>
      </c>
      <c r="AI640" t="s">
        <v>384</v>
      </c>
      <c r="AJ640">
        <v>-120</v>
      </c>
      <c r="AK640" t="s">
        <v>160</v>
      </c>
      <c r="AL640">
        <v>-2</v>
      </c>
      <c r="AM640" t="s">
        <v>2497</v>
      </c>
      <c r="AN640">
        <v>-10</v>
      </c>
    </row>
    <row r="641" spans="12:40" x14ac:dyDescent="0.25">
      <c r="L641" t="s">
        <v>85</v>
      </c>
      <c r="M641">
        <v>-60</v>
      </c>
      <c r="O641" t="s">
        <v>769</v>
      </c>
      <c r="P641">
        <v>-1</v>
      </c>
      <c r="Q641" t="s">
        <v>1630</v>
      </c>
      <c r="R641">
        <v>-215</v>
      </c>
      <c r="S641" t="s">
        <v>362</v>
      </c>
      <c r="T641">
        <v>-187.00000000000003</v>
      </c>
      <c r="U641" t="s">
        <v>408</v>
      </c>
      <c r="V641">
        <v>-2838.5000000000014</v>
      </c>
      <c r="W641" t="s">
        <v>604</v>
      </c>
      <c r="X641">
        <v>-1.2000000000000002</v>
      </c>
      <c r="AE641" t="s">
        <v>623</v>
      </c>
      <c r="AF641">
        <v>-385</v>
      </c>
      <c r="AG641" t="s">
        <v>1093</v>
      </c>
      <c r="AH641">
        <v>-6</v>
      </c>
      <c r="AI641" t="s">
        <v>733</v>
      </c>
      <c r="AJ641">
        <v>-310</v>
      </c>
      <c r="AK641" t="s">
        <v>1356</v>
      </c>
      <c r="AL641">
        <v>-12</v>
      </c>
      <c r="AM641" t="s">
        <v>2113</v>
      </c>
      <c r="AN641">
        <v>-1</v>
      </c>
    </row>
    <row r="642" spans="12:40" x14ac:dyDescent="0.25">
      <c r="L642" t="s">
        <v>1334</v>
      </c>
      <c r="M642">
        <v>-4</v>
      </c>
      <c r="O642" t="s">
        <v>128</v>
      </c>
      <c r="P642">
        <v>-4</v>
      </c>
      <c r="Q642" t="s">
        <v>624</v>
      </c>
      <c r="R642">
        <v>-320</v>
      </c>
      <c r="S642" t="s">
        <v>405</v>
      </c>
      <c r="T642">
        <v>-1060</v>
      </c>
      <c r="U642" t="s">
        <v>358</v>
      </c>
      <c r="V642">
        <v>-1160</v>
      </c>
      <c r="W642" t="s">
        <v>371</v>
      </c>
      <c r="X642">
        <v>-3</v>
      </c>
      <c r="AE642" t="s">
        <v>1524</v>
      </c>
      <c r="AF642">
        <v>-200</v>
      </c>
      <c r="AG642" t="s">
        <v>1708</v>
      </c>
      <c r="AH642">
        <v>-5</v>
      </c>
      <c r="AI642" t="s">
        <v>2253</v>
      </c>
      <c r="AJ642">
        <v>-2</v>
      </c>
      <c r="AK642" t="s">
        <v>1359</v>
      </c>
      <c r="AL642">
        <v>-2</v>
      </c>
      <c r="AM642" t="s">
        <v>2498</v>
      </c>
      <c r="AN642">
        <v>-1</v>
      </c>
    </row>
    <row r="643" spans="12:40" x14ac:dyDescent="0.25">
      <c r="L643" t="s">
        <v>1335</v>
      </c>
      <c r="M643">
        <v>-36</v>
      </c>
      <c r="O643" t="s">
        <v>281</v>
      </c>
      <c r="P643">
        <v>-29</v>
      </c>
      <c r="Q643" t="s">
        <v>622</v>
      </c>
      <c r="R643">
        <v>-500</v>
      </c>
      <c r="S643" t="s">
        <v>676</v>
      </c>
      <c r="T643">
        <v>-287.69360000000006</v>
      </c>
      <c r="U643" t="s">
        <v>359</v>
      </c>
      <c r="V643">
        <v>-894.00000000000023</v>
      </c>
      <c r="W643" t="s">
        <v>343</v>
      </c>
      <c r="X643">
        <v>-17.22</v>
      </c>
      <c r="AE643" t="s">
        <v>1874</v>
      </c>
      <c r="AF643">
        <v>-120</v>
      </c>
      <c r="AG643" t="s">
        <v>1359</v>
      </c>
      <c r="AH643">
        <v>-1.9999999999999998</v>
      </c>
      <c r="AI643" t="s">
        <v>1516</v>
      </c>
      <c r="AJ643">
        <v>-156</v>
      </c>
      <c r="AK643" t="s">
        <v>1710</v>
      </c>
      <c r="AL643">
        <v>-5</v>
      </c>
      <c r="AM643" t="s">
        <v>2245</v>
      </c>
      <c r="AN643">
        <v>-6</v>
      </c>
    </row>
    <row r="644" spans="12:40" x14ac:dyDescent="0.25">
      <c r="L644" t="s">
        <v>769</v>
      </c>
      <c r="M644">
        <v>-3</v>
      </c>
      <c r="O644" t="s">
        <v>1508</v>
      </c>
      <c r="P644">
        <v>-1</v>
      </c>
      <c r="Q644" t="s">
        <v>491</v>
      </c>
      <c r="R644">
        <v>-510</v>
      </c>
      <c r="S644" t="s">
        <v>363</v>
      </c>
      <c r="T644">
        <v>-500</v>
      </c>
      <c r="U644" t="s">
        <v>356</v>
      </c>
      <c r="V644">
        <v>-4400.4999999999973</v>
      </c>
      <c r="W644" t="s">
        <v>419</v>
      </c>
      <c r="X644">
        <v>-19</v>
      </c>
      <c r="AE644" t="s">
        <v>1527</v>
      </c>
      <c r="AF644">
        <v>-1000</v>
      </c>
      <c r="AG644" t="s">
        <v>1520</v>
      </c>
      <c r="AH644">
        <v>-2</v>
      </c>
      <c r="AI644" t="s">
        <v>441</v>
      </c>
      <c r="AJ644">
        <v>-159.5</v>
      </c>
      <c r="AK644" t="s">
        <v>1780</v>
      </c>
      <c r="AL644">
        <v>-1</v>
      </c>
      <c r="AM644" t="s">
        <v>1075</v>
      </c>
      <c r="AN644">
        <v>-2</v>
      </c>
    </row>
    <row r="645" spans="12:40" x14ac:dyDescent="0.25">
      <c r="L645" t="s">
        <v>128</v>
      </c>
      <c r="M645">
        <v>-6</v>
      </c>
      <c r="O645" t="s">
        <v>127</v>
      </c>
      <c r="P645">
        <v>-6</v>
      </c>
      <c r="Q645" t="s">
        <v>406</v>
      </c>
      <c r="R645">
        <v>-449</v>
      </c>
      <c r="S645" t="s">
        <v>623</v>
      </c>
      <c r="T645">
        <v>-119.00000000000001</v>
      </c>
      <c r="U645" t="s">
        <v>402</v>
      </c>
      <c r="V645">
        <v>-7899.9999999999945</v>
      </c>
      <c r="W645" t="s">
        <v>430</v>
      </c>
      <c r="X645">
        <v>-6</v>
      </c>
      <c r="AE645" t="s">
        <v>2133</v>
      </c>
      <c r="AF645">
        <v>-30</v>
      </c>
      <c r="AG645" t="s">
        <v>1933</v>
      </c>
      <c r="AH645">
        <v>-10</v>
      </c>
      <c r="AI645" t="s">
        <v>341</v>
      </c>
      <c r="AJ645">
        <v>-420</v>
      </c>
      <c r="AK645" t="s">
        <v>1871</v>
      </c>
      <c r="AL645">
        <v>-12.000000000000002</v>
      </c>
      <c r="AM645" t="s">
        <v>2246</v>
      </c>
      <c r="AN645">
        <v>-2</v>
      </c>
    </row>
    <row r="646" spans="12:40" x14ac:dyDescent="0.25">
      <c r="L646" t="s">
        <v>281</v>
      </c>
      <c r="M646">
        <v>-33</v>
      </c>
      <c r="O646" t="s">
        <v>907</v>
      </c>
      <c r="P646">
        <v>-36</v>
      </c>
      <c r="Q646" t="s">
        <v>488</v>
      </c>
      <c r="R646">
        <v>-2233.3350999999998</v>
      </c>
      <c r="S646" t="s">
        <v>1715</v>
      </c>
      <c r="T646">
        <v>-150</v>
      </c>
      <c r="U646" t="s">
        <v>490</v>
      </c>
      <c r="V646">
        <v>-481.99980000000011</v>
      </c>
      <c r="W646" t="s">
        <v>432</v>
      </c>
      <c r="X646">
        <v>-0.5</v>
      </c>
      <c r="AE646" t="s">
        <v>2134</v>
      </c>
      <c r="AF646">
        <v>-50</v>
      </c>
      <c r="AG646" t="s">
        <v>2024</v>
      </c>
      <c r="AH646">
        <v>-5</v>
      </c>
      <c r="AI646" t="s">
        <v>590</v>
      </c>
      <c r="AJ646">
        <v>-99</v>
      </c>
      <c r="AK646" t="s">
        <v>621</v>
      </c>
      <c r="AL646">
        <v>-400</v>
      </c>
      <c r="AM646" t="s">
        <v>2499</v>
      </c>
      <c r="AN646">
        <v>-2</v>
      </c>
    </row>
    <row r="647" spans="12:40" x14ac:dyDescent="0.25">
      <c r="L647" t="s">
        <v>1083</v>
      </c>
      <c r="M647">
        <v>-8</v>
      </c>
      <c r="O647" t="s">
        <v>290</v>
      </c>
      <c r="P647">
        <v>-22</v>
      </c>
      <c r="Q647" t="s">
        <v>947</v>
      </c>
      <c r="R647">
        <v>-15</v>
      </c>
      <c r="S647" t="s">
        <v>1529</v>
      </c>
      <c r="T647">
        <v>-68.75</v>
      </c>
      <c r="U647" t="s">
        <v>409</v>
      </c>
      <c r="V647">
        <v>-1200.4539</v>
      </c>
      <c r="W647" t="s">
        <v>342</v>
      </c>
      <c r="X647">
        <v>-10</v>
      </c>
      <c r="AE647" t="s">
        <v>2135</v>
      </c>
      <c r="AF647">
        <v>-50</v>
      </c>
      <c r="AG647" t="s">
        <v>621</v>
      </c>
      <c r="AH647">
        <v>-200</v>
      </c>
      <c r="AI647" t="s">
        <v>443</v>
      </c>
      <c r="AJ647">
        <v>-19</v>
      </c>
      <c r="AK647" t="s">
        <v>2318</v>
      </c>
      <c r="AL647">
        <v>-100.00000000000001</v>
      </c>
      <c r="AM647" t="s">
        <v>2500</v>
      </c>
      <c r="AN647">
        <v>-1</v>
      </c>
    </row>
    <row r="648" spans="12:40" x14ac:dyDescent="0.25">
      <c r="L648" t="s">
        <v>1336</v>
      </c>
      <c r="M648">
        <v>-16</v>
      </c>
      <c r="O648" t="s">
        <v>288</v>
      </c>
      <c r="P648">
        <v>-40</v>
      </c>
      <c r="Q648" t="s">
        <v>405</v>
      </c>
      <c r="R648">
        <v>-1001.9997999999999</v>
      </c>
      <c r="S648" t="s">
        <v>949</v>
      </c>
      <c r="T648">
        <v>-4.9999999999999982</v>
      </c>
      <c r="U648" t="s">
        <v>492</v>
      </c>
      <c r="V648">
        <v>-1532.0000000000002</v>
      </c>
      <c r="W648" t="s">
        <v>837</v>
      </c>
      <c r="X648">
        <v>-18</v>
      </c>
      <c r="AE648" t="s">
        <v>2136</v>
      </c>
      <c r="AF648">
        <v>-100</v>
      </c>
      <c r="AG648" t="s">
        <v>1095</v>
      </c>
      <c r="AH648">
        <v>-250</v>
      </c>
      <c r="AI648" t="s">
        <v>442</v>
      </c>
      <c r="AJ648">
        <v>-178</v>
      </c>
      <c r="AK648" t="s">
        <v>652</v>
      </c>
      <c r="AL648">
        <v>-66</v>
      </c>
      <c r="AM648" t="s">
        <v>2309</v>
      </c>
      <c r="AN648">
        <v>-1</v>
      </c>
    </row>
    <row r="649" spans="12:40" x14ac:dyDescent="0.25">
      <c r="L649" t="s">
        <v>907</v>
      </c>
      <c r="M649">
        <v>-36</v>
      </c>
      <c r="O649" t="s">
        <v>47</v>
      </c>
      <c r="P649">
        <v>-1</v>
      </c>
      <c r="Q649" t="s">
        <v>487</v>
      </c>
      <c r="R649">
        <v>-1800</v>
      </c>
      <c r="S649" t="s">
        <v>505</v>
      </c>
      <c r="T649">
        <v>-6</v>
      </c>
      <c r="U649" t="s">
        <v>407</v>
      </c>
      <c r="V649">
        <v>-800</v>
      </c>
      <c r="W649" t="s">
        <v>436</v>
      </c>
      <c r="X649">
        <v>-5</v>
      </c>
      <c r="AE649" t="s">
        <v>949</v>
      </c>
      <c r="AF649">
        <v>-19.999999999999993</v>
      </c>
      <c r="AG649" t="s">
        <v>944</v>
      </c>
      <c r="AH649">
        <v>-24</v>
      </c>
      <c r="AI649" t="s">
        <v>1695</v>
      </c>
      <c r="AJ649">
        <v>-5</v>
      </c>
      <c r="AK649" t="s">
        <v>2319</v>
      </c>
      <c r="AL649">
        <v>-150</v>
      </c>
      <c r="AM649" t="s">
        <v>2248</v>
      </c>
      <c r="AN649">
        <v>-1</v>
      </c>
    </row>
    <row r="650" spans="12:40" x14ac:dyDescent="0.25">
      <c r="L650" t="s">
        <v>1337</v>
      </c>
      <c r="M650">
        <v>-25</v>
      </c>
      <c r="O650" t="s">
        <v>132</v>
      </c>
      <c r="P650">
        <v>-1</v>
      </c>
      <c r="Q650" t="s">
        <v>676</v>
      </c>
      <c r="R650">
        <v>-325</v>
      </c>
      <c r="S650" t="s">
        <v>156</v>
      </c>
      <c r="T650">
        <v>-7.9199000000000011</v>
      </c>
      <c r="U650" t="s">
        <v>1783</v>
      </c>
      <c r="V650">
        <v>-49.999999999999993</v>
      </c>
      <c r="W650" t="s">
        <v>437</v>
      </c>
      <c r="X650">
        <v>-20</v>
      </c>
      <c r="AE650" t="s">
        <v>156</v>
      </c>
      <c r="AF650">
        <v>-4.9999999999999982</v>
      </c>
      <c r="AG650" t="s">
        <v>494</v>
      </c>
      <c r="AH650">
        <v>-400</v>
      </c>
      <c r="AI650" t="s">
        <v>2254</v>
      </c>
      <c r="AJ650">
        <v>-5</v>
      </c>
      <c r="AK650" t="s">
        <v>404</v>
      </c>
      <c r="AL650">
        <v>-428.57099999999997</v>
      </c>
      <c r="AM650" t="s">
        <v>254</v>
      </c>
      <c r="AN650">
        <v>-6</v>
      </c>
    </row>
    <row r="651" spans="12:40" x14ac:dyDescent="0.25">
      <c r="L651" t="s">
        <v>290</v>
      </c>
      <c r="M651">
        <v>-15</v>
      </c>
      <c r="O651" t="s">
        <v>1509</v>
      </c>
      <c r="P651">
        <v>-2</v>
      </c>
      <c r="Q651" t="s">
        <v>623</v>
      </c>
      <c r="R651">
        <v>-54</v>
      </c>
      <c r="S651" t="s">
        <v>155</v>
      </c>
      <c r="T651">
        <v>-12.6204</v>
      </c>
      <c r="U651" t="s">
        <v>1784</v>
      </c>
      <c r="V651">
        <v>-200</v>
      </c>
      <c r="W651" t="s">
        <v>347</v>
      </c>
      <c r="X651">
        <v>-5.339999999999999</v>
      </c>
      <c r="AE651" t="s">
        <v>155</v>
      </c>
      <c r="AF651">
        <v>-6</v>
      </c>
      <c r="AG651" t="s">
        <v>625</v>
      </c>
      <c r="AH651">
        <v>-42</v>
      </c>
      <c r="AI651" t="s">
        <v>2255</v>
      </c>
      <c r="AJ651">
        <v>-2</v>
      </c>
      <c r="AK651" t="s">
        <v>354</v>
      </c>
      <c r="AL651">
        <v>-2192</v>
      </c>
      <c r="AM651" t="s">
        <v>256</v>
      </c>
      <c r="AN651">
        <v>-6</v>
      </c>
    </row>
    <row r="652" spans="12:40" x14ac:dyDescent="0.25">
      <c r="L652" t="s">
        <v>288</v>
      </c>
      <c r="M652">
        <v>-32</v>
      </c>
      <c r="O652" t="s">
        <v>724</v>
      </c>
      <c r="P652">
        <v>-8</v>
      </c>
      <c r="Q652" t="s">
        <v>628</v>
      </c>
      <c r="R652">
        <v>-100</v>
      </c>
      <c r="S652" t="s">
        <v>157</v>
      </c>
      <c r="T652">
        <v>-7.000200000000004</v>
      </c>
      <c r="U652" t="s">
        <v>744</v>
      </c>
      <c r="V652">
        <v>-386.99999999999994</v>
      </c>
      <c r="W652" t="s">
        <v>483</v>
      </c>
      <c r="X652">
        <v>-2.8414999999999999</v>
      </c>
      <c r="AE652" t="s">
        <v>157</v>
      </c>
      <c r="AF652">
        <v>-2.9000000000000004</v>
      </c>
      <c r="AG652" t="s">
        <v>489</v>
      </c>
      <c r="AH652">
        <v>-500</v>
      </c>
      <c r="AI652" t="s">
        <v>739</v>
      </c>
      <c r="AJ652">
        <v>-9</v>
      </c>
      <c r="AK652" t="s">
        <v>493</v>
      </c>
      <c r="AL652">
        <v>-850</v>
      </c>
      <c r="AM652" t="s">
        <v>46</v>
      </c>
      <c r="AN652">
        <v>-12</v>
      </c>
    </row>
    <row r="653" spans="12:40" x14ac:dyDescent="0.25">
      <c r="L653" t="s">
        <v>1338</v>
      </c>
      <c r="M653">
        <v>-4</v>
      </c>
      <c r="O653" t="s">
        <v>1085</v>
      </c>
      <c r="P653">
        <v>-10</v>
      </c>
      <c r="Q653" t="s">
        <v>948</v>
      </c>
      <c r="R653">
        <v>-1667</v>
      </c>
      <c r="S653" t="s">
        <v>1716</v>
      </c>
      <c r="T653">
        <v>-0.06</v>
      </c>
      <c r="U653" t="s">
        <v>624</v>
      </c>
      <c r="V653">
        <v>-210</v>
      </c>
      <c r="W653" t="s">
        <v>1532</v>
      </c>
      <c r="X653">
        <v>-18</v>
      </c>
      <c r="AE653" t="s">
        <v>343</v>
      </c>
      <c r="AF653">
        <v>-18.315000000000023</v>
      </c>
      <c r="AG653" t="s">
        <v>404</v>
      </c>
      <c r="AH653">
        <v>-1500</v>
      </c>
      <c r="AI653" t="s">
        <v>918</v>
      </c>
      <c r="AJ653">
        <v>-102.99999999999997</v>
      </c>
      <c r="AK653" t="s">
        <v>357</v>
      </c>
      <c r="AL653">
        <v>-1000</v>
      </c>
      <c r="AM653" t="s">
        <v>2116</v>
      </c>
      <c r="AN653">
        <v>-4</v>
      </c>
    </row>
    <row r="654" spans="12:40" x14ac:dyDescent="0.25">
      <c r="L654" t="s">
        <v>1339</v>
      </c>
      <c r="M654">
        <v>-24</v>
      </c>
      <c r="O654" t="s">
        <v>910</v>
      </c>
      <c r="P654">
        <v>-1</v>
      </c>
      <c r="Q654" t="s">
        <v>1631</v>
      </c>
      <c r="R654">
        <v>-300</v>
      </c>
      <c r="S654" t="s">
        <v>371</v>
      </c>
      <c r="T654">
        <v>-9</v>
      </c>
      <c r="U654" t="s">
        <v>622</v>
      </c>
      <c r="V654">
        <v>-600</v>
      </c>
      <c r="W654" t="s">
        <v>1533</v>
      </c>
      <c r="X654">
        <v>-10</v>
      </c>
      <c r="AE654" t="s">
        <v>419</v>
      </c>
      <c r="AF654">
        <v>-19</v>
      </c>
      <c r="AG654" t="s">
        <v>354</v>
      </c>
      <c r="AH654">
        <v>-3200</v>
      </c>
      <c r="AI654" t="s">
        <v>629</v>
      </c>
      <c r="AJ654">
        <v>-21</v>
      </c>
      <c r="AK654" t="s">
        <v>2257</v>
      </c>
      <c r="AL654">
        <v>-560</v>
      </c>
      <c r="AM654" t="s">
        <v>137</v>
      </c>
      <c r="AN654">
        <v>-6</v>
      </c>
    </row>
    <row r="655" spans="12:40" x14ac:dyDescent="0.25">
      <c r="L655" t="s">
        <v>47</v>
      </c>
      <c r="M655">
        <v>-3</v>
      </c>
      <c r="O655" t="s">
        <v>617</v>
      </c>
      <c r="P655">
        <v>-8</v>
      </c>
      <c r="Q655" t="s">
        <v>1528</v>
      </c>
      <c r="R655">
        <v>-240</v>
      </c>
      <c r="S655" t="s">
        <v>343</v>
      </c>
      <c r="T655">
        <v>-18.1496</v>
      </c>
      <c r="U655" t="s">
        <v>491</v>
      </c>
      <c r="V655">
        <v>-900</v>
      </c>
      <c r="W655" t="s">
        <v>370</v>
      </c>
      <c r="X655">
        <v>-5</v>
      </c>
      <c r="AE655" t="s">
        <v>430</v>
      </c>
      <c r="AF655">
        <v>-14</v>
      </c>
      <c r="AG655" t="s">
        <v>493</v>
      </c>
      <c r="AH655">
        <v>-750</v>
      </c>
      <c r="AI655" t="s">
        <v>630</v>
      </c>
      <c r="AJ655">
        <v>-36</v>
      </c>
      <c r="AK655" t="s">
        <v>403</v>
      </c>
      <c r="AL655">
        <v>-4136</v>
      </c>
      <c r="AM655" t="s">
        <v>1923</v>
      </c>
      <c r="AN655">
        <v>-1</v>
      </c>
    </row>
    <row r="656" spans="12:40" x14ac:dyDescent="0.25">
      <c r="L656" t="s">
        <v>724</v>
      </c>
      <c r="M656">
        <v>-5</v>
      </c>
      <c r="O656" t="s">
        <v>145</v>
      </c>
      <c r="P656">
        <v>-9</v>
      </c>
      <c r="Q656" t="s">
        <v>949</v>
      </c>
      <c r="R656">
        <v>-7.0000000000000036</v>
      </c>
      <c r="S656" t="s">
        <v>419</v>
      </c>
      <c r="T656">
        <v>-20.5</v>
      </c>
      <c r="U656" t="s">
        <v>406</v>
      </c>
      <c r="V656">
        <v>-1724</v>
      </c>
      <c r="W656" t="s">
        <v>429</v>
      </c>
      <c r="X656">
        <v>-9</v>
      </c>
      <c r="AE656" t="s">
        <v>432</v>
      </c>
      <c r="AF656">
        <v>-19.98</v>
      </c>
      <c r="AG656" t="s">
        <v>1629</v>
      </c>
      <c r="AH656">
        <v>-800</v>
      </c>
      <c r="AI656" t="s">
        <v>641</v>
      </c>
      <c r="AJ656">
        <v>-29.199999999999996</v>
      </c>
      <c r="AK656" t="s">
        <v>408</v>
      </c>
      <c r="AL656">
        <v>-9100.0000000000018</v>
      </c>
      <c r="AM656" t="s">
        <v>2501</v>
      </c>
      <c r="AN656">
        <v>-12</v>
      </c>
    </row>
    <row r="657" spans="12:40" x14ac:dyDescent="0.25">
      <c r="L657" t="s">
        <v>1085</v>
      </c>
      <c r="M657">
        <v>-5</v>
      </c>
      <c r="O657" t="s">
        <v>1510</v>
      </c>
      <c r="P657">
        <v>-1</v>
      </c>
      <c r="Q657" t="s">
        <v>1364</v>
      </c>
      <c r="R657">
        <v>-0.22999999999999998</v>
      </c>
      <c r="S657" t="s">
        <v>430</v>
      </c>
      <c r="T657">
        <v>-6</v>
      </c>
      <c r="U657" t="s">
        <v>488</v>
      </c>
      <c r="V657">
        <v>-2366.6645999999992</v>
      </c>
      <c r="W657" t="s">
        <v>484</v>
      </c>
      <c r="X657">
        <v>-1</v>
      </c>
      <c r="AE657" t="s">
        <v>434</v>
      </c>
      <c r="AF657">
        <v>-10</v>
      </c>
      <c r="AG657" t="s">
        <v>357</v>
      </c>
      <c r="AH657">
        <v>-300.00000000000006</v>
      </c>
      <c r="AI657" t="s">
        <v>1087</v>
      </c>
      <c r="AJ657">
        <v>-20</v>
      </c>
      <c r="AK657" t="s">
        <v>358</v>
      </c>
      <c r="AL657">
        <v>-300</v>
      </c>
      <c r="AM657" t="s">
        <v>753</v>
      </c>
      <c r="AN657">
        <v>-4</v>
      </c>
    </row>
    <row r="658" spans="12:40" x14ac:dyDescent="0.25">
      <c r="L658" t="s">
        <v>617</v>
      </c>
      <c r="M658">
        <v>-12</v>
      </c>
      <c r="O658" t="s">
        <v>1086</v>
      </c>
      <c r="P658">
        <v>-2</v>
      </c>
      <c r="Q658" t="s">
        <v>505</v>
      </c>
      <c r="R658">
        <v>-4.9995000000000003</v>
      </c>
      <c r="S658" t="s">
        <v>342</v>
      </c>
      <c r="T658">
        <v>-15.5</v>
      </c>
      <c r="U658" t="s">
        <v>362</v>
      </c>
      <c r="V658">
        <v>-500</v>
      </c>
      <c r="W658" t="s">
        <v>1100</v>
      </c>
      <c r="X658">
        <v>-5</v>
      </c>
      <c r="AE658" t="s">
        <v>431</v>
      </c>
      <c r="AF658">
        <v>-36</v>
      </c>
      <c r="AG658" t="s">
        <v>403</v>
      </c>
      <c r="AH658">
        <v>-1100</v>
      </c>
      <c r="AI658" t="s">
        <v>640</v>
      </c>
      <c r="AJ658">
        <v>-21.998999999999999</v>
      </c>
      <c r="AK658" t="s">
        <v>359</v>
      </c>
      <c r="AL658">
        <v>-1600</v>
      </c>
      <c r="AM658" t="s">
        <v>1079</v>
      </c>
      <c r="AN658">
        <v>-50</v>
      </c>
    </row>
    <row r="659" spans="12:40" x14ac:dyDescent="0.25">
      <c r="L659" t="s">
        <v>1340</v>
      </c>
      <c r="M659">
        <v>-7</v>
      </c>
      <c r="O659" t="s">
        <v>62</v>
      </c>
      <c r="P659">
        <v>-20</v>
      </c>
      <c r="Q659" t="s">
        <v>156</v>
      </c>
      <c r="R659">
        <v>-2.5</v>
      </c>
      <c r="S659" t="s">
        <v>837</v>
      </c>
      <c r="T659">
        <v>-28</v>
      </c>
      <c r="U659" t="s">
        <v>405</v>
      </c>
      <c r="V659">
        <v>-999.99839999999961</v>
      </c>
      <c r="W659" t="s">
        <v>576</v>
      </c>
      <c r="X659">
        <v>-184.1</v>
      </c>
      <c r="AE659" t="s">
        <v>433</v>
      </c>
      <c r="AF659">
        <v>-10</v>
      </c>
      <c r="AG659" t="s">
        <v>408</v>
      </c>
      <c r="AH659">
        <v>-5067</v>
      </c>
      <c r="AI659" t="s">
        <v>650</v>
      </c>
      <c r="AJ659">
        <v>-26</v>
      </c>
      <c r="AK659" t="s">
        <v>356</v>
      </c>
      <c r="AL659">
        <v>-3169</v>
      </c>
      <c r="AM659" t="s">
        <v>1080</v>
      </c>
      <c r="AN659">
        <v>-100</v>
      </c>
    </row>
    <row r="660" spans="12:40" x14ac:dyDescent="0.25">
      <c r="L660" t="s">
        <v>62</v>
      </c>
      <c r="M660">
        <v>-22</v>
      </c>
      <c r="O660" t="s">
        <v>1511</v>
      </c>
      <c r="P660">
        <v>-2</v>
      </c>
      <c r="Q660" t="s">
        <v>155</v>
      </c>
      <c r="R660">
        <v>-20.419899999999998</v>
      </c>
      <c r="S660" t="s">
        <v>436</v>
      </c>
      <c r="T660">
        <v>-14</v>
      </c>
      <c r="U660" t="s">
        <v>363</v>
      </c>
      <c r="V660">
        <v>-500</v>
      </c>
      <c r="W660" t="s">
        <v>1102</v>
      </c>
      <c r="X660">
        <v>-3.5</v>
      </c>
      <c r="AE660" t="s">
        <v>342</v>
      </c>
      <c r="AF660">
        <v>-12</v>
      </c>
      <c r="AG660" t="s">
        <v>358</v>
      </c>
      <c r="AH660">
        <v>-262</v>
      </c>
      <c r="AI660" t="s">
        <v>114</v>
      </c>
      <c r="AJ660">
        <v>-1.9999999999999998</v>
      </c>
      <c r="AK660" t="s">
        <v>402</v>
      </c>
      <c r="AL660">
        <v>-9050</v>
      </c>
      <c r="AM660" t="s">
        <v>1081</v>
      </c>
      <c r="AN660">
        <v>-100</v>
      </c>
    </row>
    <row r="661" spans="12:40" x14ac:dyDescent="0.25">
      <c r="L661" t="s">
        <v>282</v>
      </c>
      <c r="M661">
        <v>-16</v>
      </c>
      <c r="O661" t="s">
        <v>1512</v>
      </c>
      <c r="P661">
        <v>-1</v>
      </c>
      <c r="Q661" t="s">
        <v>157</v>
      </c>
      <c r="R661">
        <v>-21.062299999999979</v>
      </c>
      <c r="S661" t="s">
        <v>437</v>
      </c>
      <c r="T661">
        <v>-28</v>
      </c>
      <c r="U661" t="s">
        <v>628</v>
      </c>
      <c r="V661">
        <v>-200</v>
      </c>
      <c r="W661" t="s">
        <v>715</v>
      </c>
      <c r="X661">
        <v>-35.799999999999997</v>
      </c>
      <c r="AE661" t="s">
        <v>837</v>
      </c>
      <c r="AF661">
        <v>-18</v>
      </c>
      <c r="AG661" t="s">
        <v>359</v>
      </c>
      <c r="AH661">
        <v>-650</v>
      </c>
      <c r="AI661" t="s">
        <v>920</v>
      </c>
      <c r="AJ661">
        <v>-10</v>
      </c>
      <c r="AK661" t="s">
        <v>490</v>
      </c>
      <c r="AL661">
        <v>-160</v>
      </c>
      <c r="AM661" t="s">
        <v>1333</v>
      </c>
      <c r="AN661">
        <v>-15</v>
      </c>
    </row>
    <row r="662" spans="12:40" x14ac:dyDescent="0.25">
      <c r="L662" t="s">
        <v>77</v>
      </c>
      <c r="M662">
        <v>-34</v>
      </c>
      <c r="O662" t="s">
        <v>1513</v>
      </c>
      <c r="P662">
        <v>-3</v>
      </c>
      <c r="Q662" t="s">
        <v>1098</v>
      </c>
      <c r="R662">
        <v>-14</v>
      </c>
      <c r="S662" t="s">
        <v>1717</v>
      </c>
      <c r="T662">
        <v>-2</v>
      </c>
      <c r="U662" t="s">
        <v>1362</v>
      </c>
      <c r="V662">
        <v>-200</v>
      </c>
      <c r="W662" t="s">
        <v>344</v>
      </c>
      <c r="X662">
        <v>-442.59000000000003</v>
      </c>
      <c r="AE662" t="s">
        <v>437</v>
      </c>
      <c r="AF662">
        <v>-25</v>
      </c>
      <c r="AG662" t="s">
        <v>356</v>
      </c>
      <c r="AH662">
        <v>-1235</v>
      </c>
      <c r="AI662" t="s">
        <v>584</v>
      </c>
      <c r="AJ662">
        <v>-14</v>
      </c>
      <c r="AK662" t="s">
        <v>409</v>
      </c>
      <c r="AL662">
        <v>-1175</v>
      </c>
      <c r="AM662" t="s">
        <v>113</v>
      </c>
      <c r="AN662">
        <v>-60</v>
      </c>
    </row>
    <row r="663" spans="12:40" x14ac:dyDescent="0.25">
      <c r="L663" t="s">
        <v>374</v>
      </c>
      <c r="M663">
        <v>-4</v>
      </c>
      <c r="O663" t="s">
        <v>282</v>
      </c>
      <c r="P663">
        <v>-20</v>
      </c>
      <c r="Q663" t="s">
        <v>1099</v>
      </c>
      <c r="R663">
        <v>-6</v>
      </c>
      <c r="S663" t="s">
        <v>347</v>
      </c>
      <c r="T663">
        <v>-7.9996</v>
      </c>
      <c r="U663" t="s">
        <v>1528</v>
      </c>
      <c r="V663">
        <v>-167</v>
      </c>
      <c r="W663" t="s">
        <v>561</v>
      </c>
      <c r="X663">
        <v>-72</v>
      </c>
      <c r="AE663" t="s">
        <v>1717</v>
      </c>
      <c r="AF663">
        <v>-2</v>
      </c>
      <c r="AG663" t="s">
        <v>402</v>
      </c>
      <c r="AH663">
        <v>-5676.9999999999991</v>
      </c>
      <c r="AI663" t="s">
        <v>1346</v>
      </c>
      <c r="AJ663">
        <v>-4</v>
      </c>
      <c r="AK663" t="s">
        <v>492</v>
      </c>
      <c r="AL663">
        <v>-2150</v>
      </c>
      <c r="AM663" t="s">
        <v>678</v>
      </c>
      <c r="AN663">
        <v>-4.42</v>
      </c>
    </row>
    <row r="664" spans="12:40" x14ac:dyDescent="0.25">
      <c r="L664" t="s">
        <v>63</v>
      </c>
      <c r="M664">
        <v>-33</v>
      </c>
      <c r="O664" t="s">
        <v>77</v>
      </c>
      <c r="P664">
        <v>-42</v>
      </c>
      <c r="Q664" t="s">
        <v>1530</v>
      </c>
      <c r="R664">
        <v>-0.49</v>
      </c>
      <c r="S664" t="s">
        <v>483</v>
      </c>
      <c r="T664">
        <v>-1.4965999999999999</v>
      </c>
      <c r="U664" t="s">
        <v>1715</v>
      </c>
      <c r="V664">
        <v>-250</v>
      </c>
      <c r="W664" t="s">
        <v>482</v>
      </c>
      <c r="X664">
        <v>-2.6</v>
      </c>
      <c r="AE664" t="s">
        <v>583</v>
      </c>
      <c r="AF664">
        <v>-3</v>
      </c>
      <c r="AG664" t="s">
        <v>490</v>
      </c>
      <c r="AH664">
        <v>-518</v>
      </c>
      <c r="AI664" t="s">
        <v>921</v>
      </c>
      <c r="AJ664">
        <v>-7.9999999999999991</v>
      </c>
      <c r="AK664" t="s">
        <v>407</v>
      </c>
      <c r="AL664">
        <v>-49.999099999999999</v>
      </c>
      <c r="AM664" t="s">
        <v>335</v>
      </c>
      <c r="AN664">
        <v>-3</v>
      </c>
    </row>
    <row r="665" spans="12:40" x14ac:dyDescent="0.25">
      <c r="L665" t="s">
        <v>195</v>
      </c>
      <c r="M665">
        <v>-6</v>
      </c>
      <c r="O665" t="s">
        <v>1514</v>
      </c>
      <c r="P665">
        <v>-6</v>
      </c>
      <c r="Q665" t="s">
        <v>343</v>
      </c>
      <c r="R665">
        <v>-11.049600000000002</v>
      </c>
      <c r="S665" t="s">
        <v>429</v>
      </c>
      <c r="T665">
        <v>-4</v>
      </c>
      <c r="U665" t="s">
        <v>1529</v>
      </c>
      <c r="V665">
        <v>-64.582999999999998</v>
      </c>
      <c r="W665" t="s">
        <v>566</v>
      </c>
      <c r="X665">
        <v>-40.674999999999997</v>
      </c>
      <c r="AE665" t="s">
        <v>347</v>
      </c>
      <c r="AF665">
        <v>-11.65</v>
      </c>
      <c r="AG665" t="s">
        <v>409</v>
      </c>
      <c r="AH665">
        <v>-650</v>
      </c>
      <c r="AI665" t="s">
        <v>2181</v>
      </c>
      <c r="AJ665">
        <v>-1</v>
      </c>
      <c r="AK665" t="s">
        <v>744</v>
      </c>
      <c r="AL665">
        <v>-600</v>
      </c>
      <c r="AM665" t="s">
        <v>1762</v>
      </c>
      <c r="AN665">
        <v>-2</v>
      </c>
    </row>
    <row r="666" spans="12:40" x14ac:dyDescent="0.25">
      <c r="L666" t="s">
        <v>727</v>
      </c>
      <c r="M666">
        <v>-12</v>
      </c>
      <c r="O666" t="s">
        <v>63</v>
      </c>
      <c r="P666">
        <v>-33</v>
      </c>
      <c r="Q666" t="s">
        <v>419</v>
      </c>
      <c r="R666">
        <v>-17</v>
      </c>
      <c r="S666" t="s">
        <v>1100</v>
      </c>
      <c r="T666">
        <v>-5</v>
      </c>
      <c r="U666" t="s">
        <v>1785</v>
      </c>
      <c r="V666">
        <v>-555.55560000000014</v>
      </c>
      <c r="W666" t="s">
        <v>1534</v>
      </c>
      <c r="X666">
        <v>-1.6199999999999999</v>
      </c>
      <c r="AE666" t="s">
        <v>1532</v>
      </c>
      <c r="AF666">
        <v>-7</v>
      </c>
      <c r="AG666" t="s">
        <v>492</v>
      </c>
      <c r="AH666">
        <v>-772</v>
      </c>
      <c r="AI666" t="s">
        <v>922</v>
      </c>
      <c r="AJ666">
        <v>-2</v>
      </c>
      <c r="AK666" t="s">
        <v>624</v>
      </c>
      <c r="AL666">
        <v>-600</v>
      </c>
      <c r="AM666" t="s">
        <v>1863</v>
      </c>
      <c r="AN666">
        <v>-2</v>
      </c>
    </row>
    <row r="667" spans="12:40" x14ac:dyDescent="0.25">
      <c r="L667" t="s">
        <v>728</v>
      </c>
      <c r="M667">
        <v>-4</v>
      </c>
      <c r="O667" t="s">
        <v>913</v>
      </c>
      <c r="P667">
        <v>-4</v>
      </c>
      <c r="Q667" t="s">
        <v>430</v>
      </c>
      <c r="R667">
        <v>-6</v>
      </c>
      <c r="S667" t="s">
        <v>576</v>
      </c>
      <c r="T667">
        <v>-506.05999999999995</v>
      </c>
      <c r="U667" t="s">
        <v>1786</v>
      </c>
      <c r="V667">
        <v>-100</v>
      </c>
      <c r="W667" t="s">
        <v>1535</v>
      </c>
      <c r="X667">
        <v>-0.1</v>
      </c>
      <c r="AE667" t="s">
        <v>484</v>
      </c>
      <c r="AF667">
        <v>-6.5999999999999988</v>
      </c>
      <c r="AG667" t="s">
        <v>407</v>
      </c>
      <c r="AH667">
        <v>-350</v>
      </c>
      <c r="AI667" t="s">
        <v>923</v>
      </c>
      <c r="AJ667">
        <v>-125.99999999999996</v>
      </c>
      <c r="AK667" t="s">
        <v>622</v>
      </c>
      <c r="AL667">
        <v>-160</v>
      </c>
      <c r="AM667" t="s">
        <v>1864</v>
      </c>
      <c r="AN667">
        <v>-2</v>
      </c>
    </row>
    <row r="668" spans="12:40" x14ac:dyDescent="0.25">
      <c r="L668" t="s">
        <v>355</v>
      </c>
      <c r="M668">
        <v>-1183</v>
      </c>
      <c r="O668" t="s">
        <v>635</v>
      </c>
      <c r="P668">
        <v>-15</v>
      </c>
      <c r="Q668" t="s">
        <v>434</v>
      </c>
      <c r="R668">
        <v>-3</v>
      </c>
      <c r="S668" t="s">
        <v>715</v>
      </c>
      <c r="T668">
        <v>-42.94</v>
      </c>
      <c r="U668" t="s">
        <v>949</v>
      </c>
      <c r="V668">
        <v>-8.0000000000000018</v>
      </c>
      <c r="W668" t="s">
        <v>412</v>
      </c>
      <c r="X668">
        <v>-48.999999999999993</v>
      </c>
      <c r="AE668" t="s">
        <v>1100</v>
      </c>
      <c r="AF668">
        <v>-6</v>
      </c>
      <c r="AG668" t="s">
        <v>945</v>
      </c>
      <c r="AH668">
        <v>-500</v>
      </c>
      <c r="AI668" t="s">
        <v>924</v>
      </c>
      <c r="AJ668">
        <v>-40</v>
      </c>
      <c r="AK668" t="s">
        <v>1935</v>
      </c>
      <c r="AL668">
        <v>-91</v>
      </c>
      <c r="AM668" t="s">
        <v>2502</v>
      </c>
      <c r="AN668">
        <v>-5</v>
      </c>
    </row>
    <row r="669" spans="12:40" x14ac:dyDescent="0.25">
      <c r="L669" t="s">
        <v>384</v>
      </c>
      <c r="M669">
        <v>-72</v>
      </c>
      <c r="O669" t="s">
        <v>1515</v>
      </c>
      <c r="P669">
        <v>-13</v>
      </c>
      <c r="Q669" t="s">
        <v>431</v>
      </c>
      <c r="R669">
        <v>-4</v>
      </c>
      <c r="S669" t="s">
        <v>344</v>
      </c>
      <c r="T669">
        <v>-183.14</v>
      </c>
      <c r="U669" t="s">
        <v>156</v>
      </c>
      <c r="V669">
        <v>-2.35</v>
      </c>
      <c r="W669" t="s">
        <v>585</v>
      </c>
      <c r="X669">
        <v>-19.5</v>
      </c>
      <c r="AE669" t="s">
        <v>576</v>
      </c>
      <c r="AF669">
        <v>-78</v>
      </c>
      <c r="AG669" t="s">
        <v>491</v>
      </c>
      <c r="AH669">
        <v>-350</v>
      </c>
      <c r="AI669" t="s">
        <v>1347</v>
      </c>
      <c r="AJ669">
        <v>-2.9999999999999996</v>
      </c>
      <c r="AK669" t="s">
        <v>406</v>
      </c>
      <c r="AL669">
        <v>-1160</v>
      </c>
      <c r="AM669" t="s">
        <v>711</v>
      </c>
      <c r="AN669">
        <v>-5</v>
      </c>
    </row>
    <row r="670" spans="12:40" x14ac:dyDescent="0.25">
      <c r="L670" t="s">
        <v>733</v>
      </c>
      <c r="M670">
        <v>-128</v>
      </c>
      <c r="O670" t="s">
        <v>728</v>
      </c>
      <c r="P670">
        <v>-2</v>
      </c>
      <c r="Q670" t="s">
        <v>342</v>
      </c>
      <c r="R670">
        <v>-13.3</v>
      </c>
      <c r="S670" t="s">
        <v>561</v>
      </c>
      <c r="T670">
        <v>-30</v>
      </c>
      <c r="U670" t="s">
        <v>157</v>
      </c>
      <c r="V670">
        <v>-6.2704999999999993</v>
      </c>
      <c r="W670" t="s">
        <v>1791</v>
      </c>
      <c r="X670">
        <v>-0.26</v>
      </c>
      <c r="AE670" t="s">
        <v>715</v>
      </c>
      <c r="AF670">
        <v>-12.49</v>
      </c>
      <c r="AG670" t="s">
        <v>406</v>
      </c>
      <c r="AH670">
        <v>-390</v>
      </c>
      <c r="AI670" t="s">
        <v>146</v>
      </c>
      <c r="AJ670">
        <v>-5</v>
      </c>
      <c r="AK670" t="s">
        <v>488</v>
      </c>
      <c r="AL670">
        <v>-1142</v>
      </c>
      <c r="AM670" t="s">
        <v>2503</v>
      </c>
      <c r="AN670">
        <v>-2</v>
      </c>
    </row>
    <row r="671" spans="12:40" x14ac:dyDescent="0.25">
      <c r="L671" t="s">
        <v>1341</v>
      </c>
      <c r="M671">
        <v>-84</v>
      </c>
      <c r="O671" t="s">
        <v>355</v>
      </c>
      <c r="P671">
        <v>-2149.0001000000002</v>
      </c>
      <c r="Q671" t="s">
        <v>836</v>
      </c>
      <c r="R671">
        <v>-2</v>
      </c>
      <c r="S671" t="s">
        <v>482</v>
      </c>
      <c r="T671">
        <v>-4</v>
      </c>
      <c r="U671" t="s">
        <v>1787</v>
      </c>
      <c r="V671">
        <v>-0.20020000000000002</v>
      </c>
      <c r="W671" t="s">
        <v>578</v>
      </c>
      <c r="X671">
        <v>-45</v>
      </c>
      <c r="AE671" t="s">
        <v>344</v>
      </c>
      <c r="AF671">
        <v>-2195.6884</v>
      </c>
      <c r="AG671" t="s">
        <v>488</v>
      </c>
      <c r="AH671">
        <v>-1000</v>
      </c>
      <c r="AI671" t="s">
        <v>162</v>
      </c>
      <c r="AJ671">
        <v>-135.00000000000003</v>
      </c>
      <c r="AK671" t="s">
        <v>947</v>
      </c>
      <c r="AL671">
        <v>-19</v>
      </c>
      <c r="AM671" t="s">
        <v>703</v>
      </c>
      <c r="AN671">
        <v>-1</v>
      </c>
    </row>
    <row r="672" spans="12:40" x14ac:dyDescent="0.25">
      <c r="L672" t="s">
        <v>835</v>
      </c>
      <c r="M672">
        <v>-39</v>
      </c>
      <c r="O672" t="s">
        <v>384</v>
      </c>
      <c r="P672">
        <v>-36</v>
      </c>
      <c r="Q672" t="s">
        <v>837</v>
      </c>
      <c r="R672">
        <v>-18</v>
      </c>
      <c r="S672" t="s">
        <v>566</v>
      </c>
      <c r="T672">
        <v>-8.17</v>
      </c>
      <c r="U672" t="s">
        <v>1365</v>
      </c>
      <c r="V672">
        <v>-1.1200000000000001</v>
      </c>
      <c r="W672" t="s">
        <v>714</v>
      </c>
      <c r="X672">
        <v>-12.549999999999999</v>
      </c>
      <c r="AE672" t="s">
        <v>561</v>
      </c>
      <c r="AF672">
        <v>-92.52000000000001</v>
      </c>
      <c r="AG672" t="s">
        <v>362</v>
      </c>
      <c r="AH672">
        <v>-500</v>
      </c>
      <c r="AI672" t="s">
        <v>468</v>
      </c>
      <c r="AJ672">
        <v>-1.9999999999999998</v>
      </c>
      <c r="AK672" t="s">
        <v>676</v>
      </c>
      <c r="AL672">
        <v>-191</v>
      </c>
      <c r="AM672" t="s">
        <v>704</v>
      </c>
      <c r="AN672">
        <v>-2</v>
      </c>
    </row>
    <row r="673" spans="12:40" x14ac:dyDescent="0.25">
      <c r="L673" t="s">
        <v>1342</v>
      </c>
      <c r="M673">
        <v>-15</v>
      </c>
      <c r="O673" t="s">
        <v>733</v>
      </c>
      <c r="P673">
        <v>-96</v>
      </c>
      <c r="Q673" t="s">
        <v>436</v>
      </c>
      <c r="R673">
        <v>-7</v>
      </c>
      <c r="S673" t="s">
        <v>412</v>
      </c>
      <c r="T673">
        <v>-18.350000000000001</v>
      </c>
      <c r="U673" t="s">
        <v>1097</v>
      </c>
      <c r="V673">
        <v>-10.002800000000001</v>
      </c>
      <c r="W673" t="s">
        <v>567</v>
      </c>
      <c r="X673">
        <v>-41.8</v>
      </c>
      <c r="AE673" t="s">
        <v>566</v>
      </c>
      <c r="AF673">
        <v>-21.560000000000002</v>
      </c>
      <c r="AG673" t="s">
        <v>947</v>
      </c>
      <c r="AH673">
        <v>-11</v>
      </c>
      <c r="AI673" t="s">
        <v>642</v>
      </c>
      <c r="AJ673">
        <v>-5</v>
      </c>
      <c r="AK673" t="s">
        <v>1873</v>
      </c>
      <c r="AL673">
        <v>-228</v>
      </c>
      <c r="AM673" t="s">
        <v>2504</v>
      </c>
      <c r="AN673">
        <v>-3</v>
      </c>
    </row>
    <row r="674" spans="12:40" x14ac:dyDescent="0.25">
      <c r="L674" t="s">
        <v>1343</v>
      </c>
      <c r="M674">
        <v>-60</v>
      </c>
      <c r="O674" t="s">
        <v>1341</v>
      </c>
      <c r="P674">
        <v>-49</v>
      </c>
      <c r="Q674" t="s">
        <v>437</v>
      </c>
      <c r="R674">
        <v>-20</v>
      </c>
      <c r="S674" t="s">
        <v>585</v>
      </c>
      <c r="T674">
        <v>-6.75</v>
      </c>
      <c r="U674" t="s">
        <v>480</v>
      </c>
      <c r="V674">
        <v>-1</v>
      </c>
      <c r="W674" t="s">
        <v>568</v>
      </c>
      <c r="X674">
        <v>-58</v>
      </c>
      <c r="AE674" t="s">
        <v>412</v>
      </c>
      <c r="AF674">
        <v>-5</v>
      </c>
      <c r="AG674" t="s">
        <v>405</v>
      </c>
      <c r="AH674">
        <v>-300</v>
      </c>
      <c r="AI674" t="s">
        <v>1088</v>
      </c>
      <c r="AJ674">
        <v>-4</v>
      </c>
      <c r="AK674" t="s">
        <v>363</v>
      </c>
      <c r="AL674">
        <v>-500</v>
      </c>
      <c r="AM674" t="s">
        <v>128</v>
      </c>
      <c r="AN674">
        <v>-12</v>
      </c>
    </row>
    <row r="675" spans="12:40" x14ac:dyDescent="0.25">
      <c r="L675" t="s">
        <v>441</v>
      </c>
      <c r="M675">
        <v>-210.00120000000021</v>
      </c>
      <c r="O675" t="s">
        <v>1516</v>
      </c>
      <c r="P675">
        <v>-65</v>
      </c>
      <c r="Q675" t="s">
        <v>583</v>
      </c>
      <c r="R675">
        <v>-18.5</v>
      </c>
      <c r="S675" t="s">
        <v>578</v>
      </c>
      <c r="T675">
        <v>-2.504</v>
      </c>
      <c r="U675" t="s">
        <v>1098</v>
      </c>
      <c r="V675">
        <v>-0.99999999999999989</v>
      </c>
      <c r="W675" t="s">
        <v>1792</v>
      </c>
      <c r="X675">
        <v>-0.24</v>
      </c>
      <c r="AE675" t="s">
        <v>585</v>
      </c>
      <c r="AF675">
        <v>-0.5</v>
      </c>
      <c r="AG675" t="s">
        <v>487</v>
      </c>
      <c r="AH675">
        <v>-200</v>
      </c>
      <c r="AI675" t="s">
        <v>557</v>
      </c>
      <c r="AJ675">
        <v>-48</v>
      </c>
      <c r="AK675" t="s">
        <v>2320</v>
      </c>
      <c r="AL675">
        <v>-150</v>
      </c>
      <c r="AM675" t="s">
        <v>281</v>
      </c>
      <c r="AN675">
        <v>-20</v>
      </c>
    </row>
    <row r="676" spans="12:40" x14ac:dyDescent="0.25">
      <c r="L676" t="s">
        <v>341</v>
      </c>
      <c r="M676">
        <v>-360</v>
      </c>
      <c r="O676" t="s">
        <v>1343</v>
      </c>
      <c r="P676">
        <v>-15</v>
      </c>
      <c r="Q676" t="s">
        <v>417</v>
      </c>
      <c r="R676">
        <v>-7.3334999999999981</v>
      </c>
      <c r="S676" t="s">
        <v>714</v>
      </c>
      <c r="T676">
        <v>-6</v>
      </c>
      <c r="U676" t="s">
        <v>1788</v>
      </c>
      <c r="V676">
        <v>-2.9</v>
      </c>
      <c r="W676" t="s">
        <v>609</v>
      </c>
      <c r="X676">
        <v>-58.199999999999996</v>
      </c>
      <c r="AE676" t="s">
        <v>578</v>
      </c>
      <c r="AF676">
        <v>-23</v>
      </c>
      <c r="AG676" t="s">
        <v>676</v>
      </c>
      <c r="AH676">
        <v>-83</v>
      </c>
      <c r="AI676" t="s">
        <v>558</v>
      </c>
      <c r="AJ676">
        <v>-20</v>
      </c>
      <c r="AK676" t="s">
        <v>2321</v>
      </c>
      <c r="AL676">
        <v>-150</v>
      </c>
      <c r="AM676" t="s">
        <v>2505</v>
      </c>
      <c r="AN676">
        <v>-1</v>
      </c>
    </row>
    <row r="677" spans="12:40" x14ac:dyDescent="0.25">
      <c r="L677" t="s">
        <v>590</v>
      </c>
      <c r="M677">
        <v>-45</v>
      </c>
      <c r="O677" t="s">
        <v>1517</v>
      </c>
      <c r="P677">
        <v>-20</v>
      </c>
      <c r="Q677" t="s">
        <v>347</v>
      </c>
      <c r="R677">
        <v>-8.6804000000000023</v>
      </c>
      <c r="S677" t="s">
        <v>567</v>
      </c>
      <c r="T677">
        <v>-30.96</v>
      </c>
      <c r="U677" t="s">
        <v>343</v>
      </c>
      <c r="V677">
        <v>-0.56610000000000005</v>
      </c>
      <c r="W677" t="s">
        <v>478</v>
      </c>
      <c r="X677">
        <v>-299.68000000000012</v>
      </c>
      <c r="AE677" t="s">
        <v>567</v>
      </c>
      <c r="AF677">
        <v>-5.74</v>
      </c>
      <c r="AG677" t="s">
        <v>1873</v>
      </c>
      <c r="AH677">
        <v>-37</v>
      </c>
      <c r="AI677" t="s">
        <v>466</v>
      </c>
      <c r="AJ677">
        <v>-400</v>
      </c>
      <c r="AK677" t="s">
        <v>2186</v>
      </c>
      <c r="AL677">
        <v>-120</v>
      </c>
      <c r="AM677" t="s">
        <v>705</v>
      </c>
      <c r="AN677">
        <v>-1</v>
      </c>
    </row>
    <row r="678" spans="12:40" x14ac:dyDescent="0.25">
      <c r="L678" t="s">
        <v>443</v>
      </c>
      <c r="M678">
        <v>-63</v>
      </c>
      <c r="O678" t="s">
        <v>441</v>
      </c>
      <c r="P678">
        <v>-96.00030000000001</v>
      </c>
      <c r="Q678" t="s">
        <v>483</v>
      </c>
      <c r="R678">
        <v>-3.0001000000000007</v>
      </c>
      <c r="S678" t="s">
        <v>568</v>
      </c>
      <c r="T678">
        <v>-127.63600000000002</v>
      </c>
      <c r="U678" t="s">
        <v>419</v>
      </c>
      <c r="V678">
        <v>-17</v>
      </c>
      <c r="W678" t="s">
        <v>346</v>
      </c>
      <c r="X678">
        <v>-148.57000000000005</v>
      </c>
      <c r="AE678" t="s">
        <v>568</v>
      </c>
      <c r="AF678">
        <v>-38.28</v>
      </c>
      <c r="AG678" t="s">
        <v>363</v>
      </c>
      <c r="AH678">
        <v>-500</v>
      </c>
      <c r="AI678" t="s">
        <v>1349</v>
      </c>
      <c r="AJ678">
        <v>-1</v>
      </c>
      <c r="AK678" t="s">
        <v>623</v>
      </c>
      <c r="AL678">
        <v>-250</v>
      </c>
      <c r="AM678" t="s">
        <v>2506</v>
      </c>
      <c r="AN678">
        <v>-2</v>
      </c>
    </row>
    <row r="679" spans="12:40" x14ac:dyDescent="0.25">
      <c r="L679" t="s">
        <v>442</v>
      </c>
      <c r="M679">
        <v>-173</v>
      </c>
      <c r="O679" t="s">
        <v>341</v>
      </c>
      <c r="P679">
        <v>-214.5</v>
      </c>
      <c r="Q679" t="s">
        <v>429</v>
      </c>
      <c r="R679">
        <v>-3</v>
      </c>
      <c r="S679" t="s">
        <v>609</v>
      </c>
      <c r="T679">
        <v>-508.81999999999994</v>
      </c>
      <c r="U679" t="s">
        <v>430</v>
      </c>
      <c r="V679">
        <v>-5</v>
      </c>
      <c r="W679" t="s">
        <v>679</v>
      </c>
      <c r="X679">
        <v>-56.94</v>
      </c>
      <c r="AE679" t="s">
        <v>609</v>
      </c>
      <c r="AF679">
        <v>-2.5</v>
      </c>
      <c r="AG679" t="s">
        <v>2186</v>
      </c>
      <c r="AH679">
        <v>-30</v>
      </c>
      <c r="AI679" t="s">
        <v>651</v>
      </c>
      <c r="AJ679">
        <v>-30.999999999999996</v>
      </c>
      <c r="AK679" t="s">
        <v>628</v>
      </c>
      <c r="AL679">
        <v>-162</v>
      </c>
      <c r="AM679" t="s">
        <v>2507</v>
      </c>
      <c r="AN679">
        <v>-2</v>
      </c>
    </row>
    <row r="680" spans="12:40" x14ac:dyDescent="0.25">
      <c r="L680" t="s">
        <v>739</v>
      </c>
      <c r="M680">
        <v>-7</v>
      </c>
      <c r="O680" t="s">
        <v>590</v>
      </c>
      <c r="P680">
        <v>-80.945999999999998</v>
      </c>
      <c r="Q680" t="s">
        <v>435</v>
      </c>
      <c r="R680">
        <v>-7</v>
      </c>
      <c r="S680" t="s">
        <v>478</v>
      </c>
      <c r="T680">
        <v>-61.06</v>
      </c>
      <c r="U680" t="s">
        <v>432</v>
      </c>
      <c r="V680">
        <v>-3</v>
      </c>
      <c r="W680" t="s">
        <v>451</v>
      </c>
      <c r="X680">
        <v>-1.9</v>
      </c>
      <c r="AE680" t="s">
        <v>478</v>
      </c>
      <c r="AF680">
        <v>-115.83</v>
      </c>
      <c r="AG680" t="s">
        <v>628</v>
      </c>
      <c r="AH680">
        <v>-38</v>
      </c>
      <c r="AI680" t="s">
        <v>926</v>
      </c>
      <c r="AJ680">
        <v>-13.999999999999998</v>
      </c>
      <c r="AK680" t="s">
        <v>948</v>
      </c>
      <c r="AL680">
        <v>-1000</v>
      </c>
      <c r="AM680" t="s">
        <v>290</v>
      </c>
      <c r="AN680">
        <v>-10</v>
      </c>
    </row>
    <row r="681" spans="12:40" x14ac:dyDescent="0.25">
      <c r="L681" t="s">
        <v>918</v>
      </c>
      <c r="M681">
        <v>-53</v>
      </c>
      <c r="O681" t="s">
        <v>917</v>
      </c>
      <c r="P681">
        <v>-10</v>
      </c>
      <c r="Q681" t="s">
        <v>1100</v>
      </c>
      <c r="R681">
        <v>-6</v>
      </c>
      <c r="S681" t="s">
        <v>346</v>
      </c>
      <c r="T681">
        <v>-98.879999999999981</v>
      </c>
      <c r="U681" t="s">
        <v>434</v>
      </c>
      <c r="V681">
        <v>-2</v>
      </c>
      <c r="W681" t="s">
        <v>1877</v>
      </c>
      <c r="X681">
        <v>-0.05</v>
      </c>
      <c r="AE681" t="s">
        <v>346</v>
      </c>
      <c r="AF681">
        <v>-29.779999999999998</v>
      </c>
      <c r="AG681" t="s">
        <v>948</v>
      </c>
      <c r="AH681">
        <v>-1000</v>
      </c>
      <c r="AI681" t="s">
        <v>559</v>
      </c>
      <c r="AJ681">
        <v>-30</v>
      </c>
      <c r="AK681" t="s">
        <v>1362</v>
      </c>
      <c r="AL681">
        <v>-500</v>
      </c>
      <c r="AM681" t="s">
        <v>288</v>
      </c>
      <c r="AN681">
        <v>-24</v>
      </c>
    </row>
    <row r="682" spans="12:40" x14ac:dyDescent="0.25">
      <c r="L682" t="s">
        <v>629</v>
      </c>
      <c r="M682">
        <v>-6</v>
      </c>
      <c r="O682" t="s">
        <v>443</v>
      </c>
      <c r="P682">
        <v>-70.714799999999997</v>
      </c>
      <c r="Q682" t="s">
        <v>1101</v>
      </c>
      <c r="R682">
        <v>-12</v>
      </c>
      <c r="S682" t="s">
        <v>679</v>
      </c>
      <c r="T682">
        <v>-55.711999999999989</v>
      </c>
      <c r="U682" t="s">
        <v>431</v>
      </c>
      <c r="V682">
        <v>-7</v>
      </c>
      <c r="W682" t="s">
        <v>1372</v>
      </c>
      <c r="X682">
        <v>-0.02</v>
      </c>
      <c r="AE682" t="s">
        <v>268</v>
      </c>
      <c r="AF682">
        <v>-7.3599999999999994</v>
      </c>
      <c r="AG682" t="s">
        <v>1785</v>
      </c>
      <c r="AH682">
        <v>-500</v>
      </c>
      <c r="AI682" t="s">
        <v>418</v>
      </c>
      <c r="AJ682">
        <v>-0.99999999999999989</v>
      </c>
      <c r="AK682" t="s">
        <v>1528</v>
      </c>
      <c r="AL682">
        <v>-136</v>
      </c>
      <c r="AM682" t="s">
        <v>47</v>
      </c>
      <c r="AN682">
        <v>-3</v>
      </c>
    </row>
    <row r="683" spans="12:40" x14ac:dyDescent="0.25">
      <c r="L683" t="s">
        <v>630</v>
      </c>
      <c r="M683">
        <v>-11</v>
      </c>
      <c r="O683" t="s">
        <v>442</v>
      </c>
      <c r="P683">
        <v>-87.000500000000002</v>
      </c>
      <c r="Q683" t="s">
        <v>576</v>
      </c>
      <c r="R683">
        <v>-284.12200000000001</v>
      </c>
      <c r="S683" t="s">
        <v>268</v>
      </c>
      <c r="T683">
        <v>-3.2</v>
      </c>
      <c r="U683" t="s">
        <v>433</v>
      </c>
      <c r="V683">
        <v>-4</v>
      </c>
      <c r="W683" t="s">
        <v>1375</v>
      </c>
      <c r="X683">
        <v>-0.25</v>
      </c>
      <c r="AE683" t="s">
        <v>1793</v>
      </c>
      <c r="AF683">
        <v>-2</v>
      </c>
      <c r="AG683" t="s">
        <v>2133</v>
      </c>
      <c r="AH683">
        <v>-20</v>
      </c>
      <c r="AI683" t="s">
        <v>927</v>
      </c>
      <c r="AJ683">
        <v>-2</v>
      </c>
      <c r="AK683" t="s">
        <v>949</v>
      </c>
      <c r="AL683">
        <v>-11</v>
      </c>
      <c r="AM683" t="s">
        <v>132</v>
      </c>
      <c r="AN683">
        <v>-2</v>
      </c>
    </row>
    <row r="684" spans="12:40" x14ac:dyDescent="0.25">
      <c r="L684" t="s">
        <v>1344</v>
      </c>
      <c r="M684">
        <v>-4</v>
      </c>
      <c r="O684" t="s">
        <v>918</v>
      </c>
      <c r="P684">
        <v>-110.00000000000001</v>
      </c>
      <c r="Q684" t="s">
        <v>715</v>
      </c>
      <c r="R684">
        <v>-87</v>
      </c>
      <c r="S684" t="s">
        <v>1369</v>
      </c>
      <c r="T684">
        <v>-15</v>
      </c>
      <c r="U684" t="s">
        <v>342</v>
      </c>
      <c r="V684">
        <v>-4.5</v>
      </c>
      <c r="W684" t="s">
        <v>452</v>
      </c>
      <c r="X684">
        <v>-2</v>
      </c>
      <c r="AE684" t="s">
        <v>451</v>
      </c>
      <c r="AF684">
        <v>-1.52</v>
      </c>
      <c r="AG684" t="s">
        <v>949</v>
      </c>
      <c r="AH684">
        <v>-5.0000000000000009</v>
      </c>
      <c r="AI684" t="s">
        <v>737</v>
      </c>
      <c r="AJ684">
        <v>-564</v>
      </c>
      <c r="AK684" t="s">
        <v>505</v>
      </c>
      <c r="AL684">
        <v>-2</v>
      </c>
      <c r="AM684" t="s">
        <v>2313</v>
      </c>
      <c r="AN684">
        <v>-6</v>
      </c>
    </row>
    <row r="685" spans="12:40" x14ac:dyDescent="0.25">
      <c r="L685" t="s">
        <v>641</v>
      </c>
      <c r="M685">
        <v>-42.75</v>
      </c>
      <c r="O685" t="s">
        <v>919</v>
      </c>
      <c r="P685">
        <v>-6</v>
      </c>
      <c r="Q685" t="s">
        <v>344</v>
      </c>
      <c r="R685">
        <v>-365</v>
      </c>
      <c r="S685" t="s">
        <v>451</v>
      </c>
      <c r="T685">
        <v>-0.69440000000000013</v>
      </c>
      <c r="U685" t="s">
        <v>1789</v>
      </c>
      <c r="V685">
        <v>-1.6665999999999999</v>
      </c>
      <c r="W685" t="s">
        <v>569</v>
      </c>
      <c r="X685">
        <v>-0.26900000000000002</v>
      </c>
      <c r="AE685" t="s">
        <v>688</v>
      </c>
      <c r="AF685">
        <v>-1</v>
      </c>
      <c r="AG685" t="s">
        <v>505</v>
      </c>
      <c r="AH685">
        <v>-2</v>
      </c>
      <c r="AI685" t="s">
        <v>555</v>
      </c>
      <c r="AJ685">
        <v>-100</v>
      </c>
      <c r="AK685" t="s">
        <v>156</v>
      </c>
      <c r="AL685">
        <v>-6.4</v>
      </c>
      <c r="AM685" t="s">
        <v>2508</v>
      </c>
      <c r="AN685">
        <v>-2</v>
      </c>
    </row>
    <row r="686" spans="12:40" x14ac:dyDescent="0.25">
      <c r="L686" t="s">
        <v>738</v>
      </c>
      <c r="M686">
        <v>-7</v>
      </c>
      <c r="O686" t="s">
        <v>629</v>
      </c>
      <c r="P686">
        <v>-22.999999999999996</v>
      </c>
      <c r="Q686" t="s">
        <v>561</v>
      </c>
      <c r="R686">
        <v>-24</v>
      </c>
      <c r="S686" t="s">
        <v>452</v>
      </c>
      <c r="T686">
        <v>-11</v>
      </c>
      <c r="U686" t="s">
        <v>836</v>
      </c>
      <c r="V686">
        <v>-4</v>
      </c>
      <c r="W686" t="s">
        <v>106</v>
      </c>
      <c r="X686">
        <v>-2</v>
      </c>
      <c r="AE686" t="s">
        <v>1877</v>
      </c>
      <c r="AF686">
        <v>-0.05</v>
      </c>
      <c r="AG686" t="s">
        <v>156</v>
      </c>
      <c r="AH686">
        <v>-12.78</v>
      </c>
      <c r="AI686" t="s">
        <v>586</v>
      </c>
      <c r="AJ686">
        <v>-3204.9990000000007</v>
      </c>
      <c r="AK686" t="s">
        <v>155</v>
      </c>
      <c r="AL686">
        <v>-1</v>
      </c>
      <c r="AM686" t="s">
        <v>2509</v>
      </c>
      <c r="AN686">
        <v>-1</v>
      </c>
    </row>
    <row r="687" spans="12:40" x14ac:dyDescent="0.25">
      <c r="L687" t="s">
        <v>650</v>
      </c>
      <c r="M687">
        <v>-20</v>
      </c>
      <c r="O687" t="s">
        <v>630</v>
      </c>
      <c r="P687">
        <v>-28.000000000000004</v>
      </c>
      <c r="Q687" t="s">
        <v>482</v>
      </c>
      <c r="R687">
        <v>-6</v>
      </c>
      <c r="S687" t="s">
        <v>106</v>
      </c>
      <c r="T687">
        <v>-4</v>
      </c>
      <c r="U687" t="s">
        <v>1790</v>
      </c>
      <c r="V687">
        <v>-3</v>
      </c>
      <c r="W687" t="s">
        <v>71</v>
      </c>
      <c r="X687">
        <v>-1</v>
      </c>
      <c r="AE687" t="s">
        <v>1632</v>
      </c>
      <c r="AF687">
        <v>-3</v>
      </c>
      <c r="AG687" t="s">
        <v>155</v>
      </c>
      <c r="AH687">
        <v>-12</v>
      </c>
      <c r="AI687" t="s">
        <v>163</v>
      </c>
      <c r="AJ687">
        <v>-20</v>
      </c>
      <c r="AK687" t="s">
        <v>157</v>
      </c>
      <c r="AL687">
        <v>-9.7500000000000053</v>
      </c>
      <c r="AM687" t="s">
        <v>617</v>
      </c>
      <c r="AN687">
        <v>-8</v>
      </c>
    </row>
    <row r="688" spans="12:40" x14ac:dyDescent="0.25">
      <c r="L688" t="s">
        <v>1345</v>
      </c>
      <c r="M688">
        <v>-2</v>
      </c>
      <c r="O688" t="s">
        <v>1344</v>
      </c>
      <c r="P688">
        <v>-2</v>
      </c>
      <c r="Q688" t="s">
        <v>566</v>
      </c>
      <c r="R688">
        <v>-51.5</v>
      </c>
      <c r="S688" t="s">
        <v>71</v>
      </c>
      <c r="T688">
        <v>-4</v>
      </c>
      <c r="U688" t="s">
        <v>436</v>
      </c>
      <c r="V688">
        <v>-1</v>
      </c>
      <c r="W688" t="s">
        <v>691</v>
      </c>
      <c r="X688">
        <v>-1.5</v>
      </c>
      <c r="AE688" t="s">
        <v>2137</v>
      </c>
      <c r="AF688">
        <v>-1</v>
      </c>
      <c r="AG688" t="s">
        <v>157</v>
      </c>
      <c r="AH688">
        <v>-17.900000000000006</v>
      </c>
      <c r="AI688" t="s">
        <v>930</v>
      </c>
      <c r="AJ688">
        <v>-4</v>
      </c>
      <c r="AK688" t="s">
        <v>604</v>
      </c>
      <c r="AL688">
        <v>-0.23199999999999998</v>
      </c>
      <c r="AM688" t="s">
        <v>62</v>
      </c>
      <c r="AN688">
        <v>-14</v>
      </c>
    </row>
    <row r="689" spans="12:40" x14ac:dyDescent="0.25">
      <c r="L689" t="s">
        <v>589</v>
      </c>
      <c r="M689">
        <v>-121.5</v>
      </c>
      <c r="O689" t="s">
        <v>498</v>
      </c>
      <c r="P689">
        <v>-6</v>
      </c>
      <c r="Q689" t="s">
        <v>1535</v>
      </c>
      <c r="R689">
        <v>-1</v>
      </c>
      <c r="S689" t="s">
        <v>638</v>
      </c>
      <c r="T689">
        <v>-36</v>
      </c>
      <c r="U689" t="s">
        <v>1717</v>
      </c>
      <c r="V689">
        <v>-2.0000000000000001E-4</v>
      </c>
      <c r="W689" t="s">
        <v>638</v>
      </c>
      <c r="X689">
        <v>-55.9</v>
      </c>
      <c r="AE689" t="s">
        <v>1371</v>
      </c>
      <c r="AF689">
        <v>-29.000000000000004</v>
      </c>
      <c r="AG689" t="s">
        <v>1787</v>
      </c>
      <c r="AH689">
        <v>-0.06</v>
      </c>
      <c r="AI689" t="s">
        <v>89</v>
      </c>
      <c r="AJ689">
        <v>-10.000000000000002</v>
      </c>
      <c r="AK689" t="s">
        <v>2260</v>
      </c>
      <c r="AL689">
        <v>-0.05</v>
      </c>
      <c r="AM689" t="s">
        <v>282</v>
      </c>
      <c r="AN689">
        <v>-12</v>
      </c>
    </row>
    <row r="690" spans="12:40" x14ac:dyDescent="0.25">
      <c r="L690" t="s">
        <v>114</v>
      </c>
      <c r="M690">
        <v>-1.9999999999999998</v>
      </c>
      <c r="O690" t="s">
        <v>499</v>
      </c>
      <c r="P690">
        <v>-5</v>
      </c>
      <c r="Q690" t="s">
        <v>585</v>
      </c>
      <c r="R690">
        <v>-127.5</v>
      </c>
      <c r="S690" t="s">
        <v>577</v>
      </c>
      <c r="T690">
        <v>-16</v>
      </c>
      <c r="U690" t="s">
        <v>583</v>
      </c>
      <c r="V690">
        <v>-4</v>
      </c>
      <c r="W690" t="s">
        <v>500</v>
      </c>
      <c r="X690">
        <v>-11.5</v>
      </c>
      <c r="AE690" t="s">
        <v>1372</v>
      </c>
      <c r="AF690">
        <v>-4.9999999999999991</v>
      </c>
      <c r="AG690" t="s">
        <v>604</v>
      </c>
      <c r="AH690">
        <v>-0.502</v>
      </c>
      <c r="AI690" t="s">
        <v>735</v>
      </c>
      <c r="AJ690">
        <v>-1000</v>
      </c>
      <c r="AK690" t="s">
        <v>371</v>
      </c>
      <c r="AL690">
        <v>-2</v>
      </c>
      <c r="AM690" t="s">
        <v>2510</v>
      </c>
      <c r="AN690">
        <v>-2</v>
      </c>
    </row>
    <row r="691" spans="12:40" x14ac:dyDescent="0.25">
      <c r="L691" t="s">
        <v>920</v>
      </c>
      <c r="M691">
        <v>-5</v>
      </c>
      <c r="O691" t="s">
        <v>641</v>
      </c>
      <c r="P691">
        <v>-11</v>
      </c>
      <c r="Q691" t="s">
        <v>578</v>
      </c>
      <c r="R691">
        <v>-85.25</v>
      </c>
      <c r="S691" t="s">
        <v>503</v>
      </c>
      <c r="T691">
        <v>-12</v>
      </c>
      <c r="U691" t="s">
        <v>347</v>
      </c>
      <c r="V691">
        <v>-2.0063999999999997</v>
      </c>
      <c r="W691" t="s">
        <v>572</v>
      </c>
      <c r="X691">
        <v>-12</v>
      </c>
      <c r="AE691" t="s">
        <v>1375</v>
      </c>
      <c r="AF691">
        <v>-4.26</v>
      </c>
      <c r="AG691" t="s">
        <v>2187</v>
      </c>
      <c r="AH691">
        <v>-2</v>
      </c>
      <c r="AI691" t="s">
        <v>415</v>
      </c>
      <c r="AJ691">
        <v>-21</v>
      </c>
      <c r="AK691" t="s">
        <v>343</v>
      </c>
      <c r="AL691">
        <v>-20.659999999999997</v>
      </c>
      <c r="AM691" t="s">
        <v>77</v>
      </c>
      <c r="AN691">
        <v>-4</v>
      </c>
    </row>
    <row r="692" spans="12:40" x14ac:dyDescent="0.25">
      <c r="L692" t="s">
        <v>584</v>
      </c>
      <c r="M692">
        <v>-28</v>
      </c>
      <c r="O692" t="s">
        <v>1087</v>
      </c>
      <c r="P692">
        <v>-8</v>
      </c>
      <c r="Q692" t="s">
        <v>714</v>
      </c>
      <c r="R692">
        <v>-5.5</v>
      </c>
      <c r="S692" t="s">
        <v>1379</v>
      </c>
      <c r="T692">
        <v>-3.8039999999999998</v>
      </c>
      <c r="U692" t="s">
        <v>483</v>
      </c>
      <c r="V692">
        <v>-4</v>
      </c>
      <c r="W692" t="s">
        <v>574</v>
      </c>
      <c r="X692">
        <v>-2</v>
      </c>
      <c r="AE692" t="s">
        <v>1376</v>
      </c>
      <c r="AF692">
        <v>-13.5</v>
      </c>
      <c r="AG692" t="s">
        <v>371</v>
      </c>
      <c r="AH692">
        <v>-4</v>
      </c>
      <c r="AI692" t="s">
        <v>103</v>
      </c>
      <c r="AJ692">
        <v>-73.000000000000014</v>
      </c>
      <c r="AK692" t="s">
        <v>419</v>
      </c>
      <c r="AL692">
        <v>-6.2</v>
      </c>
      <c r="AM692" t="s">
        <v>63</v>
      </c>
      <c r="AN692">
        <v>-3</v>
      </c>
    </row>
    <row r="693" spans="12:40" x14ac:dyDescent="0.25">
      <c r="L693" t="s">
        <v>1346</v>
      </c>
      <c r="M693">
        <v>-7</v>
      </c>
      <c r="O693" t="s">
        <v>413</v>
      </c>
      <c r="P693">
        <v>-1</v>
      </c>
      <c r="Q693" t="s">
        <v>1368</v>
      </c>
      <c r="R693">
        <v>-12</v>
      </c>
      <c r="S693" t="s">
        <v>504</v>
      </c>
      <c r="T693">
        <v>-11.999999999999998</v>
      </c>
      <c r="U693" t="s">
        <v>1532</v>
      </c>
      <c r="V693">
        <v>-20</v>
      </c>
      <c r="W693" t="s">
        <v>504</v>
      </c>
      <c r="X693">
        <v>-6</v>
      </c>
      <c r="AE693" t="s">
        <v>452</v>
      </c>
      <c r="AF693">
        <v>-5.9600000000000017</v>
      </c>
      <c r="AG693" t="s">
        <v>343</v>
      </c>
      <c r="AH693">
        <v>-20.98500000000001</v>
      </c>
      <c r="AI693" t="s">
        <v>161</v>
      </c>
      <c r="AJ693">
        <v>-15.000000000000002</v>
      </c>
      <c r="AK693" t="s">
        <v>610</v>
      </c>
      <c r="AL693">
        <v>-1</v>
      </c>
      <c r="AM693" t="s">
        <v>195</v>
      </c>
      <c r="AN693">
        <v>-8</v>
      </c>
    </row>
    <row r="694" spans="12:40" x14ac:dyDescent="0.25">
      <c r="L694" t="s">
        <v>164</v>
      </c>
      <c r="M694">
        <v>-1</v>
      </c>
      <c r="O694" t="s">
        <v>738</v>
      </c>
      <c r="P694">
        <v>-3.0004</v>
      </c>
      <c r="Q694" t="s">
        <v>568</v>
      </c>
      <c r="R694">
        <v>-6.6</v>
      </c>
      <c r="S694" t="s">
        <v>108</v>
      </c>
      <c r="T694">
        <v>-103</v>
      </c>
      <c r="U694" t="s">
        <v>1533</v>
      </c>
      <c r="V694">
        <v>-20.009999999999998</v>
      </c>
      <c r="W694" t="s">
        <v>839</v>
      </c>
      <c r="X694">
        <v>-24</v>
      </c>
      <c r="AE694" t="s">
        <v>106</v>
      </c>
      <c r="AF694">
        <v>-4.4000000000000004</v>
      </c>
      <c r="AG694" t="s">
        <v>419</v>
      </c>
      <c r="AH694">
        <v>-20</v>
      </c>
      <c r="AI694" t="s">
        <v>587</v>
      </c>
      <c r="AJ694">
        <v>-300</v>
      </c>
      <c r="AK694" t="s">
        <v>431</v>
      </c>
      <c r="AL694">
        <v>-12</v>
      </c>
      <c r="AM694" t="s">
        <v>2511</v>
      </c>
      <c r="AN694">
        <v>-2</v>
      </c>
    </row>
    <row r="695" spans="12:40" x14ac:dyDescent="0.25">
      <c r="L695" t="s">
        <v>923</v>
      </c>
      <c r="M695">
        <v>-107</v>
      </c>
      <c r="O695" t="s">
        <v>640</v>
      </c>
      <c r="P695">
        <v>-84</v>
      </c>
      <c r="Q695" t="s">
        <v>609</v>
      </c>
      <c r="R695">
        <v>-540</v>
      </c>
      <c r="S695" t="s">
        <v>0</v>
      </c>
      <c r="T695">
        <v>-2</v>
      </c>
      <c r="U695" t="s">
        <v>429</v>
      </c>
      <c r="V695">
        <v>-10</v>
      </c>
      <c r="W695" t="s">
        <v>0</v>
      </c>
      <c r="X695">
        <v>-13</v>
      </c>
      <c r="AE695" t="s">
        <v>71</v>
      </c>
      <c r="AF695">
        <v>-2.1999999999999997</v>
      </c>
      <c r="AG695" t="s">
        <v>428</v>
      </c>
      <c r="AH695">
        <v>-3</v>
      </c>
      <c r="AI695" t="s">
        <v>1703</v>
      </c>
      <c r="AJ695">
        <v>-4</v>
      </c>
      <c r="AK695" t="s">
        <v>2322</v>
      </c>
      <c r="AL695">
        <v>-0.01</v>
      </c>
      <c r="AM695" t="s">
        <v>2512</v>
      </c>
      <c r="AN695">
        <v>-2</v>
      </c>
    </row>
    <row r="696" spans="12:40" x14ac:dyDescent="0.25">
      <c r="L696" t="s">
        <v>924</v>
      </c>
      <c r="M696">
        <v>-51.999999999999972</v>
      </c>
      <c r="O696" t="s">
        <v>650</v>
      </c>
      <c r="P696">
        <v>-50.000000000000007</v>
      </c>
      <c r="Q696" t="s">
        <v>478</v>
      </c>
      <c r="R696">
        <v>-218.44399999999993</v>
      </c>
      <c r="S696" t="s">
        <v>469</v>
      </c>
      <c r="T696">
        <v>-0.33339999999999997</v>
      </c>
      <c r="U696" t="s">
        <v>576</v>
      </c>
      <c r="V696">
        <v>-233.80000000000007</v>
      </c>
      <c r="W696" t="s">
        <v>611</v>
      </c>
      <c r="X696">
        <v>-10</v>
      </c>
      <c r="AE696" t="s">
        <v>691</v>
      </c>
      <c r="AF696">
        <v>-0.3</v>
      </c>
      <c r="AG696" t="s">
        <v>430</v>
      </c>
      <c r="AH696">
        <v>-14</v>
      </c>
      <c r="AI696" t="s">
        <v>933</v>
      </c>
      <c r="AJ696">
        <v>-4</v>
      </c>
      <c r="AK696" t="s">
        <v>837</v>
      </c>
      <c r="AL696">
        <v>-3</v>
      </c>
      <c r="AM696" t="s">
        <v>727</v>
      </c>
      <c r="AN696">
        <v>-21</v>
      </c>
    </row>
    <row r="697" spans="12:40" x14ac:dyDescent="0.25">
      <c r="L697" t="s">
        <v>1347</v>
      </c>
      <c r="M697">
        <v>-3.0000000000000009</v>
      </c>
      <c r="O697" t="s">
        <v>589</v>
      </c>
      <c r="P697">
        <v>-59</v>
      </c>
      <c r="Q697" t="s">
        <v>346</v>
      </c>
      <c r="R697">
        <v>-49.347900000000003</v>
      </c>
      <c r="S697" t="s">
        <v>1543</v>
      </c>
      <c r="T697">
        <v>-21</v>
      </c>
      <c r="U697" t="s">
        <v>715</v>
      </c>
      <c r="V697">
        <v>-74</v>
      </c>
      <c r="W697" t="s">
        <v>612</v>
      </c>
      <c r="X697">
        <v>-19.999999999999986</v>
      </c>
      <c r="AE697" t="s">
        <v>694</v>
      </c>
      <c r="AF697">
        <v>-8</v>
      </c>
      <c r="AG697" t="s">
        <v>432</v>
      </c>
      <c r="AH697">
        <v>-10.499999999999998</v>
      </c>
      <c r="AI697" t="s">
        <v>599</v>
      </c>
      <c r="AJ697">
        <v>-3.9999999999999996</v>
      </c>
      <c r="AK697" t="s">
        <v>436</v>
      </c>
      <c r="AL697">
        <v>-10</v>
      </c>
      <c r="AM697" t="s">
        <v>728</v>
      </c>
      <c r="AN697">
        <v>-2</v>
      </c>
    </row>
    <row r="698" spans="12:40" x14ac:dyDescent="0.25">
      <c r="L698" t="s">
        <v>146</v>
      </c>
      <c r="M698">
        <v>-8.0000000000000018</v>
      </c>
      <c r="O698" t="s">
        <v>114</v>
      </c>
      <c r="P698">
        <v>-1.9999999999999998</v>
      </c>
      <c r="Q698" t="s">
        <v>679</v>
      </c>
      <c r="R698">
        <v>-143.99919999999992</v>
      </c>
      <c r="S698" t="s">
        <v>1544</v>
      </c>
      <c r="T698">
        <v>-21</v>
      </c>
      <c r="U698" t="s">
        <v>344</v>
      </c>
      <c r="V698">
        <v>-379.25</v>
      </c>
      <c r="W698" t="s">
        <v>644</v>
      </c>
      <c r="X698">
        <v>-4.0000000000000009</v>
      </c>
      <c r="AE698" t="s">
        <v>2138</v>
      </c>
      <c r="AF698">
        <v>-2</v>
      </c>
      <c r="AG698" t="s">
        <v>434</v>
      </c>
      <c r="AH698">
        <v>-2</v>
      </c>
      <c r="AI698" t="s">
        <v>101</v>
      </c>
      <c r="AJ698">
        <v>-16.5</v>
      </c>
      <c r="AK698" t="s">
        <v>437</v>
      </c>
      <c r="AL698">
        <v>-6</v>
      </c>
      <c r="AM698" t="s">
        <v>355</v>
      </c>
      <c r="AN698">
        <v>-1944.9999999999998</v>
      </c>
    </row>
    <row r="699" spans="12:40" x14ac:dyDescent="0.25">
      <c r="L699" t="s">
        <v>162</v>
      </c>
      <c r="M699">
        <v>-190.00000000000006</v>
      </c>
      <c r="O699" t="s">
        <v>584</v>
      </c>
      <c r="P699">
        <v>-17</v>
      </c>
      <c r="Q699" t="s">
        <v>268</v>
      </c>
      <c r="R699">
        <v>-1.6</v>
      </c>
      <c r="S699" t="s">
        <v>612</v>
      </c>
      <c r="T699">
        <v>-10</v>
      </c>
      <c r="U699" t="s">
        <v>561</v>
      </c>
      <c r="V699">
        <v>-78</v>
      </c>
      <c r="W699" t="s">
        <v>485</v>
      </c>
      <c r="X699">
        <v>-10</v>
      </c>
      <c r="AE699" t="s">
        <v>577</v>
      </c>
      <c r="AF699">
        <v>-42</v>
      </c>
      <c r="AG699" t="s">
        <v>610</v>
      </c>
      <c r="AH699">
        <v>-9</v>
      </c>
      <c r="AI699" t="s">
        <v>1091</v>
      </c>
      <c r="AJ699">
        <v>-1.9999999999999998</v>
      </c>
      <c r="AK699" t="s">
        <v>1717</v>
      </c>
      <c r="AL699">
        <v>-6</v>
      </c>
      <c r="AM699" t="s">
        <v>384</v>
      </c>
      <c r="AN699">
        <v>-48</v>
      </c>
    </row>
    <row r="700" spans="12:40" x14ac:dyDescent="0.25">
      <c r="L700" t="s">
        <v>643</v>
      </c>
      <c r="M700">
        <v>-5</v>
      </c>
      <c r="O700" t="s">
        <v>1346</v>
      </c>
      <c r="P700">
        <v>-2</v>
      </c>
      <c r="Q700" t="s">
        <v>1369</v>
      </c>
      <c r="R700">
        <v>-5</v>
      </c>
      <c r="S700" t="s">
        <v>644</v>
      </c>
      <c r="T700">
        <v>-4</v>
      </c>
      <c r="U700" t="s">
        <v>482</v>
      </c>
      <c r="V700">
        <v>-5</v>
      </c>
      <c r="W700" t="s">
        <v>123</v>
      </c>
      <c r="X700">
        <v>-19.999999999999996</v>
      </c>
      <c r="AE700" t="s">
        <v>1542</v>
      </c>
      <c r="AF700">
        <v>-60</v>
      </c>
      <c r="AG700" t="s">
        <v>431</v>
      </c>
      <c r="AH700">
        <v>-8</v>
      </c>
      <c r="AI700" t="s">
        <v>1518</v>
      </c>
      <c r="AJ700">
        <v>-5</v>
      </c>
      <c r="AK700" t="s">
        <v>1531</v>
      </c>
      <c r="AL700">
        <v>-2</v>
      </c>
      <c r="AM700" t="s">
        <v>733</v>
      </c>
      <c r="AN700">
        <v>-64</v>
      </c>
    </row>
    <row r="701" spans="12:40" x14ac:dyDescent="0.25">
      <c r="L701" t="s">
        <v>646</v>
      </c>
      <c r="M701">
        <v>-10</v>
      </c>
      <c r="O701" t="s">
        <v>921</v>
      </c>
      <c r="P701">
        <v>-1.9999999999999998</v>
      </c>
      <c r="Q701" t="s">
        <v>451</v>
      </c>
      <c r="R701">
        <v>-0.67999999999999994</v>
      </c>
      <c r="S701" t="s">
        <v>485</v>
      </c>
      <c r="T701">
        <v>-5.1124999999999998</v>
      </c>
      <c r="U701" t="s">
        <v>566</v>
      </c>
      <c r="V701">
        <v>-24.7</v>
      </c>
      <c r="W701" t="s">
        <v>486</v>
      </c>
      <c r="X701">
        <v>-13.999999999999991</v>
      </c>
      <c r="AE701" t="s">
        <v>572</v>
      </c>
      <c r="AF701">
        <v>-7</v>
      </c>
      <c r="AG701" t="s">
        <v>342</v>
      </c>
      <c r="AH701">
        <v>-10.199999999999999</v>
      </c>
      <c r="AI701" t="s">
        <v>596</v>
      </c>
      <c r="AJ701">
        <v>-1000</v>
      </c>
      <c r="AK701" t="s">
        <v>583</v>
      </c>
      <c r="AL701">
        <v>-1</v>
      </c>
      <c r="AM701" t="s">
        <v>2124</v>
      </c>
      <c r="AN701">
        <v>-15</v>
      </c>
    </row>
    <row r="702" spans="12:40" x14ac:dyDescent="0.25">
      <c r="L702" t="s">
        <v>468</v>
      </c>
      <c r="M702">
        <v>-2</v>
      </c>
      <c r="O702" t="s">
        <v>164</v>
      </c>
      <c r="P702">
        <v>-18.5</v>
      </c>
      <c r="Q702" t="s">
        <v>688</v>
      </c>
      <c r="R702">
        <v>-0.16</v>
      </c>
      <c r="S702" t="s">
        <v>1718</v>
      </c>
      <c r="T702">
        <v>-10</v>
      </c>
      <c r="U702" t="s">
        <v>1535</v>
      </c>
      <c r="V702">
        <v>-0.25</v>
      </c>
      <c r="W702" t="s">
        <v>740</v>
      </c>
      <c r="X702">
        <v>-4</v>
      </c>
      <c r="AE702" t="s">
        <v>503</v>
      </c>
      <c r="AF702">
        <v>-1</v>
      </c>
      <c r="AG702" t="s">
        <v>837</v>
      </c>
      <c r="AH702">
        <v>-30</v>
      </c>
      <c r="AI702" t="s">
        <v>2256</v>
      </c>
      <c r="AJ702">
        <v>-1000</v>
      </c>
      <c r="AK702" t="s">
        <v>347</v>
      </c>
      <c r="AL702">
        <v>-5.5</v>
      </c>
      <c r="AM702" t="s">
        <v>1342</v>
      </c>
      <c r="AN702">
        <v>-30</v>
      </c>
    </row>
    <row r="703" spans="12:40" x14ac:dyDescent="0.25">
      <c r="L703" t="s">
        <v>642</v>
      </c>
      <c r="M703">
        <v>-25.999999999999993</v>
      </c>
      <c r="O703" t="s">
        <v>923</v>
      </c>
      <c r="P703">
        <v>-68.999999999999986</v>
      </c>
      <c r="Q703" t="s">
        <v>1632</v>
      </c>
      <c r="R703">
        <v>-0.08</v>
      </c>
      <c r="S703" t="s">
        <v>123</v>
      </c>
      <c r="T703">
        <v>-14</v>
      </c>
      <c r="U703" t="s">
        <v>412</v>
      </c>
      <c r="V703">
        <v>-32</v>
      </c>
      <c r="W703" t="s">
        <v>741</v>
      </c>
      <c r="X703">
        <v>-4</v>
      </c>
      <c r="AE703" t="s">
        <v>1799</v>
      </c>
      <c r="AF703">
        <v>-2</v>
      </c>
      <c r="AG703" t="s">
        <v>436</v>
      </c>
      <c r="AH703">
        <v>-10</v>
      </c>
      <c r="AI703" t="s">
        <v>661</v>
      </c>
      <c r="AJ703">
        <v>-176.00000000000006</v>
      </c>
      <c r="AK703" t="s">
        <v>483</v>
      </c>
      <c r="AL703">
        <v>-1.4500000000000002</v>
      </c>
      <c r="AM703" t="s">
        <v>2513</v>
      </c>
      <c r="AN703">
        <v>-15</v>
      </c>
    </row>
    <row r="704" spans="12:40" x14ac:dyDescent="0.25">
      <c r="L704" t="s">
        <v>1088</v>
      </c>
      <c r="M704">
        <v>-2</v>
      </c>
      <c r="O704" t="s">
        <v>1347</v>
      </c>
      <c r="P704">
        <v>-5</v>
      </c>
      <c r="Q704" t="s">
        <v>1370</v>
      </c>
      <c r="R704">
        <v>-7.5</v>
      </c>
      <c r="S704" t="s">
        <v>486</v>
      </c>
      <c r="T704">
        <v>-10.249999999999996</v>
      </c>
      <c r="U704" t="s">
        <v>1791</v>
      </c>
      <c r="V704">
        <v>-0.65</v>
      </c>
      <c r="W704" t="s">
        <v>742</v>
      </c>
      <c r="X704">
        <v>-4</v>
      </c>
      <c r="AE704" t="s">
        <v>574</v>
      </c>
      <c r="AF704">
        <v>-1</v>
      </c>
      <c r="AG704" t="s">
        <v>437</v>
      </c>
      <c r="AH704">
        <v>-41</v>
      </c>
      <c r="AI704" t="s">
        <v>935</v>
      </c>
      <c r="AJ704">
        <v>-64.000000000000014</v>
      </c>
      <c r="AK704" t="s">
        <v>1532</v>
      </c>
      <c r="AL704">
        <v>-16</v>
      </c>
      <c r="AM704" t="s">
        <v>441</v>
      </c>
      <c r="AN704">
        <v>-85</v>
      </c>
    </row>
    <row r="705" spans="12:40" x14ac:dyDescent="0.25">
      <c r="L705" t="s">
        <v>557</v>
      </c>
      <c r="M705">
        <v>-60</v>
      </c>
      <c r="O705" t="s">
        <v>146</v>
      </c>
      <c r="P705">
        <v>-7</v>
      </c>
      <c r="Q705" t="s">
        <v>1633</v>
      </c>
      <c r="R705">
        <v>-0.45</v>
      </c>
      <c r="S705" t="s">
        <v>951</v>
      </c>
      <c r="T705">
        <v>-10</v>
      </c>
      <c r="U705" t="s">
        <v>578</v>
      </c>
      <c r="V705">
        <v>-18.25</v>
      </c>
      <c r="W705" t="s">
        <v>781</v>
      </c>
      <c r="AE705" t="s">
        <v>504</v>
      </c>
      <c r="AF705">
        <v>-3.6</v>
      </c>
      <c r="AG705" t="s">
        <v>1717</v>
      </c>
      <c r="AH705">
        <v>-4</v>
      </c>
      <c r="AI705" t="s">
        <v>660</v>
      </c>
      <c r="AJ705">
        <v>-9</v>
      </c>
      <c r="AK705" t="s">
        <v>1100</v>
      </c>
      <c r="AL705">
        <v>-1</v>
      </c>
      <c r="AM705" t="s">
        <v>341</v>
      </c>
      <c r="AN705">
        <v>-252</v>
      </c>
    </row>
    <row r="706" spans="12:40" x14ac:dyDescent="0.25">
      <c r="L706" t="s">
        <v>558</v>
      </c>
      <c r="M706">
        <v>-40</v>
      </c>
      <c r="O706" t="s">
        <v>162</v>
      </c>
      <c r="P706">
        <v>-125</v>
      </c>
      <c r="Q706" t="s">
        <v>1371</v>
      </c>
      <c r="R706">
        <v>-2</v>
      </c>
      <c r="S706" t="s">
        <v>740</v>
      </c>
      <c r="T706">
        <v>-1</v>
      </c>
      <c r="U706" t="s">
        <v>567</v>
      </c>
      <c r="V706">
        <v>-24.85</v>
      </c>
      <c r="W706" t="s">
        <v>782</v>
      </c>
      <c r="X706">
        <v>-76945.006400000013</v>
      </c>
      <c r="AE706" t="s">
        <v>766</v>
      </c>
      <c r="AF706">
        <v>-0.24</v>
      </c>
      <c r="AG706" t="s">
        <v>1531</v>
      </c>
      <c r="AH706">
        <v>-10</v>
      </c>
      <c r="AI706" t="s">
        <v>72</v>
      </c>
      <c r="AJ706">
        <v>-22.000000000000014</v>
      </c>
      <c r="AK706" t="s">
        <v>1101</v>
      </c>
      <c r="AL706">
        <v>-0.3</v>
      </c>
      <c r="AM706" t="s">
        <v>590</v>
      </c>
      <c r="AN706">
        <v>-72.000200000000035</v>
      </c>
    </row>
    <row r="707" spans="12:40" x14ac:dyDescent="0.25">
      <c r="L707" t="s">
        <v>925</v>
      </c>
      <c r="M707">
        <v>-2</v>
      </c>
      <c r="O707" t="s">
        <v>643</v>
      </c>
      <c r="P707">
        <v>-2</v>
      </c>
      <c r="Q707" t="s">
        <v>1374</v>
      </c>
      <c r="R707">
        <v>-1.5</v>
      </c>
      <c r="S707" t="s">
        <v>781</v>
      </c>
      <c r="U707" t="s">
        <v>568</v>
      </c>
      <c r="V707">
        <v>-124.67000000000004</v>
      </c>
      <c r="AE707" t="s">
        <v>108</v>
      </c>
      <c r="AF707">
        <v>-2</v>
      </c>
      <c r="AG707" t="s">
        <v>347</v>
      </c>
      <c r="AH707">
        <v>-16.359999999999996</v>
      </c>
      <c r="AI707" t="s">
        <v>937</v>
      </c>
      <c r="AJ707">
        <v>-15</v>
      </c>
      <c r="AK707" t="s">
        <v>576</v>
      </c>
      <c r="AL707">
        <v>-36.440000000000005</v>
      </c>
      <c r="AM707" t="s">
        <v>2315</v>
      </c>
      <c r="AN707">
        <v>-6</v>
      </c>
    </row>
    <row r="708" spans="12:40" x14ac:dyDescent="0.25">
      <c r="L708" t="s">
        <v>1348</v>
      </c>
      <c r="M708">
        <v>-1</v>
      </c>
      <c r="O708" t="s">
        <v>468</v>
      </c>
      <c r="P708">
        <v>-8</v>
      </c>
      <c r="Q708" t="s">
        <v>1375</v>
      </c>
      <c r="R708">
        <v>-4</v>
      </c>
      <c r="S708" t="s">
        <v>782</v>
      </c>
      <c r="T708">
        <v>-114624.52960000001</v>
      </c>
      <c r="U708" t="s">
        <v>1792</v>
      </c>
      <c r="V708">
        <v>-0.6</v>
      </c>
      <c r="AE708" t="s">
        <v>0</v>
      </c>
      <c r="AF708">
        <v>-14</v>
      </c>
      <c r="AG708" t="s">
        <v>483</v>
      </c>
      <c r="AH708">
        <v>-15.1</v>
      </c>
      <c r="AI708" t="s">
        <v>1519</v>
      </c>
      <c r="AJ708">
        <v>-5</v>
      </c>
      <c r="AK708" t="s">
        <v>715</v>
      </c>
      <c r="AL708">
        <v>-45.970000000000013</v>
      </c>
      <c r="AM708" t="s">
        <v>2514</v>
      </c>
      <c r="AN708">
        <v>-15</v>
      </c>
    </row>
    <row r="709" spans="12:40" x14ac:dyDescent="0.25">
      <c r="L709" t="s">
        <v>93</v>
      </c>
      <c r="M709">
        <v>-5</v>
      </c>
      <c r="O709" t="s">
        <v>642</v>
      </c>
      <c r="P709">
        <v>-21.999999999999989</v>
      </c>
      <c r="Q709" t="s">
        <v>1376</v>
      </c>
      <c r="R709">
        <v>-1</v>
      </c>
      <c r="U709" t="s">
        <v>609</v>
      </c>
      <c r="V709">
        <v>-86.5</v>
      </c>
      <c r="AE709" t="s">
        <v>1543</v>
      </c>
      <c r="AF709">
        <v>-29.999999999999996</v>
      </c>
      <c r="AG709" t="s">
        <v>1532</v>
      </c>
      <c r="AH709">
        <v>-1</v>
      </c>
      <c r="AI709" t="s">
        <v>104</v>
      </c>
      <c r="AJ709">
        <v>-59.000000000000007</v>
      </c>
      <c r="AK709" t="s">
        <v>344</v>
      </c>
      <c r="AL709">
        <v>-402</v>
      </c>
      <c r="AM709" t="s">
        <v>442</v>
      </c>
      <c r="AN709">
        <v>-180</v>
      </c>
    </row>
    <row r="710" spans="12:40" x14ac:dyDescent="0.25">
      <c r="L710" t="s">
        <v>1349</v>
      </c>
      <c r="M710">
        <v>-1.9999999999999998</v>
      </c>
      <c r="O710" t="s">
        <v>1088</v>
      </c>
      <c r="P710">
        <v>-1</v>
      </c>
      <c r="Q710" t="s">
        <v>452</v>
      </c>
      <c r="R710">
        <v>-1</v>
      </c>
      <c r="U710" t="s">
        <v>478</v>
      </c>
      <c r="V710">
        <v>-252.01600000000002</v>
      </c>
      <c r="AE710" t="s">
        <v>1544</v>
      </c>
      <c r="AF710">
        <v>-29.999999999999996</v>
      </c>
      <c r="AG710" t="s">
        <v>370</v>
      </c>
      <c r="AH710">
        <v>-2</v>
      </c>
      <c r="AI710" t="s">
        <v>588</v>
      </c>
      <c r="AJ710">
        <v>-10</v>
      </c>
      <c r="AK710" t="s">
        <v>561</v>
      </c>
      <c r="AL710">
        <v>-54</v>
      </c>
      <c r="AM710" t="s">
        <v>2515</v>
      </c>
      <c r="AN710">
        <v>-1</v>
      </c>
    </row>
    <row r="711" spans="12:40" x14ac:dyDescent="0.25">
      <c r="L711" t="s">
        <v>1350</v>
      </c>
      <c r="M711">
        <v>-10</v>
      </c>
      <c r="O711" t="s">
        <v>122</v>
      </c>
      <c r="P711">
        <v>-2</v>
      </c>
      <c r="Q711" t="s">
        <v>569</v>
      </c>
      <c r="R711">
        <v>-0.69900000000000007</v>
      </c>
      <c r="U711" t="s">
        <v>346</v>
      </c>
      <c r="V711">
        <v>-66.600000000000009</v>
      </c>
      <c r="AE711" t="s">
        <v>611</v>
      </c>
      <c r="AF711">
        <v>-50</v>
      </c>
      <c r="AG711" t="s">
        <v>435</v>
      </c>
      <c r="AH711">
        <v>-2</v>
      </c>
      <c r="AI711" t="s">
        <v>160</v>
      </c>
      <c r="AJ711">
        <v>-1</v>
      </c>
      <c r="AK711" t="s">
        <v>482</v>
      </c>
      <c r="AL711">
        <v>-50</v>
      </c>
      <c r="AM711" t="s">
        <v>2255</v>
      </c>
      <c r="AN711">
        <v>-2</v>
      </c>
    </row>
    <row r="712" spans="12:40" x14ac:dyDescent="0.25">
      <c r="L712" t="s">
        <v>651</v>
      </c>
      <c r="M712">
        <v>-76.999999999999972</v>
      </c>
      <c r="O712" t="s">
        <v>557</v>
      </c>
      <c r="P712">
        <v>-20</v>
      </c>
      <c r="Q712" t="s">
        <v>1634</v>
      </c>
      <c r="R712">
        <v>-5.9999999999999991</v>
      </c>
      <c r="U712" t="s">
        <v>268</v>
      </c>
      <c r="V712">
        <v>-7.8</v>
      </c>
      <c r="AE712" t="s">
        <v>612</v>
      </c>
      <c r="AF712">
        <v>-50</v>
      </c>
      <c r="AG712" t="s">
        <v>2188</v>
      </c>
      <c r="AH712">
        <v>-1</v>
      </c>
      <c r="AI712" t="s">
        <v>1356</v>
      </c>
      <c r="AJ712">
        <v>-6</v>
      </c>
      <c r="AK712" t="s">
        <v>566</v>
      </c>
      <c r="AL712">
        <v>-60.5</v>
      </c>
      <c r="AM712" t="s">
        <v>739</v>
      </c>
      <c r="AN712">
        <v>-1</v>
      </c>
    </row>
    <row r="713" spans="12:40" x14ac:dyDescent="0.25">
      <c r="L713" t="s">
        <v>1351</v>
      </c>
      <c r="M713">
        <v>-2</v>
      </c>
      <c r="O713" t="s">
        <v>558</v>
      </c>
      <c r="P713">
        <v>-20</v>
      </c>
      <c r="Q713" t="s">
        <v>638</v>
      </c>
      <c r="R713">
        <v>-30</v>
      </c>
      <c r="U713" t="s">
        <v>1793</v>
      </c>
      <c r="V713">
        <v>-1</v>
      </c>
      <c r="AE713" t="s">
        <v>644</v>
      </c>
      <c r="AF713">
        <v>-3</v>
      </c>
      <c r="AG713" t="s">
        <v>1100</v>
      </c>
      <c r="AH713">
        <v>-6</v>
      </c>
      <c r="AI713" t="s">
        <v>1708</v>
      </c>
      <c r="AJ713">
        <v>-5</v>
      </c>
      <c r="AK713" t="s">
        <v>1535</v>
      </c>
      <c r="AL713">
        <v>-1.5</v>
      </c>
      <c r="AM713" t="s">
        <v>918</v>
      </c>
      <c r="AN713">
        <v>-68</v>
      </c>
    </row>
    <row r="714" spans="12:40" x14ac:dyDescent="0.25">
      <c r="L714" t="s">
        <v>926</v>
      </c>
      <c r="M714">
        <v>-5.0000000000000009</v>
      </c>
      <c r="O714" t="s">
        <v>925</v>
      </c>
      <c r="P714">
        <v>-0.57979999999999998</v>
      </c>
      <c r="Q714" t="s">
        <v>692</v>
      </c>
      <c r="R714">
        <v>-43.26</v>
      </c>
      <c r="U714" t="s">
        <v>451</v>
      </c>
      <c r="V714">
        <v>-0.42</v>
      </c>
      <c r="AE714" t="s">
        <v>485</v>
      </c>
      <c r="AF714">
        <v>-49.999999999999986</v>
      </c>
      <c r="AG714" t="s">
        <v>576</v>
      </c>
      <c r="AH714">
        <v>-67.070000000000007</v>
      </c>
      <c r="AI714" t="s">
        <v>1359</v>
      </c>
      <c r="AJ714">
        <v>-2</v>
      </c>
      <c r="AK714" t="s">
        <v>412</v>
      </c>
      <c r="AL714">
        <v>-57</v>
      </c>
      <c r="AM714" t="s">
        <v>629</v>
      </c>
      <c r="AN714">
        <v>-23</v>
      </c>
    </row>
    <row r="715" spans="12:40" x14ac:dyDescent="0.25">
      <c r="L715" t="s">
        <v>559</v>
      </c>
      <c r="M715">
        <v>-11.75</v>
      </c>
      <c r="O715" t="s">
        <v>1348</v>
      </c>
      <c r="P715">
        <v>-1</v>
      </c>
      <c r="Q715" t="s">
        <v>1635</v>
      </c>
      <c r="R715">
        <v>-0.1</v>
      </c>
      <c r="U715" t="s">
        <v>1794</v>
      </c>
      <c r="V715">
        <v>-4.0000000000000002E-4</v>
      </c>
      <c r="AE715" t="s">
        <v>123</v>
      </c>
      <c r="AF715">
        <v>-13.999999999999998</v>
      </c>
      <c r="AG715" t="s">
        <v>715</v>
      </c>
      <c r="AH715">
        <v>-158</v>
      </c>
      <c r="AI715" t="s">
        <v>1933</v>
      </c>
      <c r="AJ715">
        <v>-2</v>
      </c>
      <c r="AK715" t="s">
        <v>585</v>
      </c>
      <c r="AL715">
        <v>-1.5</v>
      </c>
      <c r="AM715" t="s">
        <v>630</v>
      </c>
      <c r="AN715">
        <v>-28.999999999999996</v>
      </c>
    </row>
    <row r="716" spans="12:40" x14ac:dyDescent="0.25">
      <c r="L716" t="s">
        <v>418</v>
      </c>
      <c r="M716">
        <v>-4.6668000000000003</v>
      </c>
      <c r="O716" t="s">
        <v>93</v>
      </c>
      <c r="P716">
        <v>-5</v>
      </c>
      <c r="Q716" t="s">
        <v>1636</v>
      </c>
      <c r="R716">
        <v>-0.13</v>
      </c>
      <c r="U716" t="s">
        <v>1795</v>
      </c>
      <c r="V716">
        <v>-0.52</v>
      </c>
      <c r="AE716" t="s">
        <v>486</v>
      </c>
      <c r="AF716">
        <v>-13</v>
      </c>
      <c r="AG716" t="s">
        <v>344</v>
      </c>
      <c r="AH716">
        <v>-320.01</v>
      </c>
      <c r="AI716" t="s">
        <v>2023</v>
      </c>
      <c r="AJ716">
        <v>-4</v>
      </c>
      <c r="AK716" t="s">
        <v>1791</v>
      </c>
      <c r="AL716">
        <v>-0.13</v>
      </c>
      <c r="AM716" t="s">
        <v>1344</v>
      </c>
      <c r="AN716">
        <v>-2.9999999999999991</v>
      </c>
    </row>
    <row r="717" spans="12:40" x14ac:dyDescent="0.25">
      <c r="L717" t="s">
        <v>927</v>
      </c>
      <c r="M717">
        <v>-10</v>
      </c>
      <c r="O717" t="s">
        <v>1349</v>
      </c>
      <c r="P717">
        <v>-1</v>
      </c>
      <c r="Q717" t="s">
        <v>1637</v>
      </c>
      <c r="R717">
        <v>-0.19</v>
      </c>
      <c r="U717" t="s">
        <v>1796</v>
      </c>
      <c r="V717">
        <v>-1.5</v>
      </c>
      <c r="AE717" t="s">
        <v>740</v>
      </c>
      <c r="AF717">
        <v>-5</v>
      </c>
      <c r="AG717" t="s">
        <v>561</v>
      </c>
      <c r="AH717">
        <v>-133.76</v>
      </c>
      <c r="AI717" t="s">
        <v>621</v>
      </c>
      <c r="AJ717">
        <v>-200</v>
      </c>
      <c r="AK717" t="s">
        <v>578</v>
      </c>
      <c r="AL717">
        <v>-18.5</v>
      </c>
      <c r="AM717" t="s">
        <v>641</v>
      </c>
      <c r="AN717">
        <v>-6.0000000000000009</v>
      </c>
    </row>
    <row r="718" spans="12:40" x14ac:dyDescent="0.25">
      <c r="L718" t="s">
        <v>555</v>
      </c>
      <c r="M718">
        <v>-400</v>
      </c>
      <c r="O718" t="s">
        <v>651</v>
      </c>
      <c r="P718">
        <v>-64.000000000000014</v>
      </c>
      <c r="Q718" t="s">
        <v>1638</v>
      </c>
      <c r="R718">
        <v>-0.08</v>
      </c>
      <c r="U718" t="s">
        <v>452</v>
      </c>
      <c r="V718">
        <v>-1</v>
      </c>
      <c r="AE718" t="s">
        <v>741</v>
      </c>
      <c r="AF718">
        <v>-5</v>
      </c>
      <c r="AG718" t="s">
        <v>482</v>
      </c>
      <c r="AH718">
        <v>-0.52</v>
      </c>
      <c r="AI718" t="s">
        <v>943</v>
      </c>
      <c r="AJ718">
        <v>-300</v>
      </c>
      <c r="AK718" t="s">
        <v>714</v>
      </c>
      <c r="AL718">
        <v>-10.480000000000002</v>
      </c>
      <c r="AM718" t="s">
        <v>738</v>
      </c>
      <c r="AN718">
        <v>-9.8610000000000007</v>
      </c>
    </row>
    <row r="719" spans="12:40" x14ac:dyDescent="0.25">
      <c r="L719" t="s">
        <v>1352</v>
      </c>
      <c r="M719">
        <v>-1</v>
      </c>
      <c r="O719" t="s">
        <v>1351</v>
      </c>
      <c r="P719">
        <v>-8</v>
      </c>
      <c r="Q719" t="s">
        <v>1377</v>
      </c>
      <c r="R719">
        <v>-0.92</v>
      </c>
      <c r="U719" t="s">
        <v>569</v>
      </c>
      <c r="V719">
        <v>-0.4</v>
      </c>
      <c r="AE719" t="s">
        <v>742</v>
      </c>
      <c r="AF719">
        <v>-5</v>
      </c>
      <c r="AG719" t="s">
        <v>566</v>
      </c>
      <c r="AH719">
        <v>-128.5</v>
      </c>
      <c r="AI719" t="s">
        <v>556</v>
      </c>
      <c r="AJ719">
        <v>-439</v>
      </c>
      <c r="AK719" t="s">
        <v>568</v>
      </c>
      <c r="AL719">
        <v>-112</v>
      </c>
      <c r="AM719" t="s">
        <v>640</v>
      </c>
      <c r="AN719">
        <v>-12</v>
      </c>
    </row>
    <row r="720" spans="12:40" x14ac:dyDescent="0.25">
      <c r="L720" t="s">
        <v>1353</v>
      </c>
      <c r="M720">
        <v>-3</v>
      </c>
      <c r="O720" t="s">
        <v>926</v>
      </c>
      <c r="P720">
        <v>-13.999999999999996</v>
      </c>
      <c r="Q720" t="s">
        <v>500</v>
      </c>
      <c r="R720">
        <v>-2.2999999999999998</v>
      </c>
      <c r="U720" t="s">
        <v>106</v>
      </c>
      <c r="V720">
        <v>-1.5</v>
      </c>
      <c r="AE720" t="s">
        <v>781</v>
      </c>
      <c r="AG720" t="s">
        <v>1534</v>
      </c>
      <c r="AH720">
        <v>-3</v>
      </c>
      <c r="AI720" t="s">
        <v>944</v>
      </c>
      <c r="AJ720">
        <v>-12</v>
      </c>
      <c r="AK720" t="s">
        <v>1792</v>
      </c>
      <c r="AL720">
        <v>-0.12</v>
      </c>
      <c r="AM720" t="s">
        <v>650</v>
      </c>
      <c r="AN720">
        <v>-21.999999999999989</v>
      </c>
    </row>
    <row r="721" spans="12:40" x14ac:dyDescent="0.25">
      <c r="L721" t="s">
        <v>586</v>
      </c>
      <c r="M721">
        <v>-1005</v>
      </c>
      <c r="O721" t="s">
        <v>559</v>
      </c>
      <c r="P721">
        <v>-30</v>
      </c>
      <c r="Q721" t="s">
        <v>572</v>
      </c>
      <c r="R721">
        <v>-24</v>
      </c>
      <c r="U721" t="s">
        <v>1634</v>
      </c>
      <c r="V721">
        <v>-4.6475999999999997</v>
      </c>
      <c r="AE721" t="s">
        <v>782</v>
      </c>
      <c r="AF721">
        <v>-71255.147400000031</v>
      </c>
      <c r="AG721" t="s">
        <v>412</v>
      </c>
      <c r="AH721">
        <v>-18.11</v>
      </c>
      <c r="AI721" t="s">
        <v>652</v>
      </c>
      <c r="AJ721">
        <v>-16</v>
      </c>
      <c r="AK721" t="s">
        <v>609</v>
      </c>
      <c r="AL721">
        <v>-50</v>
      </c>
      <c r="AM721" t="s">
        <v>589</v>
      </c>
      <c r="AN721">
        <v>-4</v>
      </c>
    </row>
    <row r="722" spans="12:40" x14ac:dyDescent="0.25">
      <c r="L722" t="s">
        <v>659</v>
      </c>
      <c r="M722">
        <v>-200</v>
      </c>
      <c r="O722" t="s">
        <v>927</v>
      </c>
      <c r="P722">
        <v>-27</v>
      </c>
      <c r="Q722" t="s">
        <v>503</v>
      </c>
      <c r="R722">
        <v>-6.5999999999999988</v>
      </c>
      <c r="U722" t="s">
        <v>638</v>
      </c>
      <c r="V722">
        <v>-36.6</v>
      </c>
      <c r="AG722" t="s">
        <v>585</v>
      </c>
      <c r="AH722">
        <v>-19.2</v>
      </c>
      <c r="AI722" t="s">
        <v>494</v>
      </c>
      <c r="AJ722">
        <v>-800</v>
      </c>
      <c r="AK722" t="s">
        <v>478</v>
      </c>
      <c r="AL722">
        <v>-311</v>
      </c>
      <c r="AM722" t="s">
        <v>114</v>
      </c>
      <c r="AN722">
        <v>-1</v>
      </c>
    </row>
    <row r="723" spans="12:40" x14ac:dyDescent="0.25">
      <c r="L723" t="s">
        <v>163</v>
      </c>
      <c r="M723">
        <v>-10</v>
      </c>
      <c r="O723" t="s">
        <v>555</v>
      </c>
      <c r="P723">
        <v>-200</v>
      </c>
      <c r="Q723" t="s">
        <v>573</v>
      </c>
      <c r="R723">
        <v>-12</v>
      </c>
      <c r="U723" t="s">
        <v>1797</v>
      </c>
      <c r="V723">
        <v>-3.95</v>
      </c>
      <c r="AG723" t="s">
        <v>578</v>
      </c>
      <c r="AH723">
        <v>-63.25</v>
      </c>
      <c r="AI723" t="s">
        <v>404</v>
      </c>
      <c r="AJ723">
        <v>-2280</v>
      </c>
      <c r="AK723" t="s">
        <v>346</v>
      </c>
      <c r="AL723">
        <v>-179.93</v>
      </c>
      <c r="AM723" t="s">
        <v>920</v>
      </c>
      <c r="AN723">
        <v>-12</v>
      </c>
    </row>
    <row r="724" spans="12:40" x14ac:dyDescent="0.25">
      <c r="L724" t="s">
        <v>1354</v>
      </c>
      <c r="M724">
        <v>-1</v>
      </c>
      <c r="O724" t="s">
        <v>1352</v>
      </c>
      <c r="P724">
        <v>-1</v>
      </c>
      <c r="Q724" t="s">
        <v>574</v>
      </c>
      <c r="R724">
        <v>-12.799999999999999</v>
      </c>
      <c r="U724" t="s">
        <v>1798</v>
      </c>
      <c r="V724">
        <v>-2</v>
      </c>
      <c r="AG724" t="s">
        <v>714</v>
      </c>
      <c r="AH724">
        <v>-19.839999999999996</v>
      </c>
      <c r="AI724" t="s">
        <v>354</v>
      </c>
      <c r="AJ724">
        <v>-3000</v>
      </c>
      <c r="AK724" t="s">
        <v>679</v>
      </c>
      <c r="AL724">
        <v>-20</v>
      </c>
      <c r="AM724" t="s">
        <v>924</v>
      </c>
      <c r="AN724">
        <v>-40</v>
      </c>
    </row>
    <row r="725" spans="12:40" x14ac:dyDescent="0.25">
      <c r="L725" t="s">
        <v>1355</v>
      </c>
      <c r="M725">
        <v>-6</v>
      </c>
      <c r="O725" t="s">
        <v>586</v>
      </c>
      <c r="P725">
        <v>-3200</v>
      </c>
      <c r="Q725" t="s">
        <v>1639</v>
      </c>
      <c r="R725">
        <v>-0.8</v>
      </c>
      <c r="U725" t="s">
        <v>577</v>
      </c>
      <c r="V725">
        <v>-30</v>
      </c>
      <c r="AG725" t="s">
        <v>567</v>
      </c>
      <c r="AH725">
        <v>-3.2800000000000002</v>
      </c>
      <c r="AI725" t="s">
        <v>732</v>
      </c>
      <c r="AJ725">
        <v>-130</v>
      </c>
      <c r="AK725" t="s">
        <v>268</v>
      </c>
      <c r="AL725">
        <v>-21.84</v>
      </c>
      <c r="AM725" t="s">
        <v>162</v>
      </c>
      <c r="AN725">
        <v>-176.00000000000006</v>
      </c>
    </row>
    <row r="726" spans="12:40" x14ac:dyDescent="0.25">
      <c r="L726" t="s">
        <v>930</v>
      </c>
      <c r="M726">
        <v>-21</v>
      </c>
      <c r="O726" t="s">
        <v>659</v>
      </c>
      <c r="P726">
        <v>-224.97589999999991</v>
      </c>
      <c r="Q726" t="s">
        <v>504</v>
      </c>
      <c r="R726">
        <v>-60.029999999999994</v>
      </c>
      <c r="U726" t="s">
        <v>500</v>
      </c>
      <c r="V726">
        <v>-54.899999999999991</v>
      </c>
      <c r="AG726" t="s">
        <v>568</v>
      </c>
      <c r="AH726">
        <v>-45</v>
      </c>
      <c r="AI726" t="s">
        <v>493</v>
      </c>
      <c r="AJ726">
        <v>-1000</v>
      </c>
      <c r="AK726" t="s">
        <v>2323</v>
      </c>
      <c r="AL726">
        <v>-0.7</v>
      </c>
      <c r="AM726" t="s">
        <v>642</v>
      </c>
      <c r="AN726">
        <v>-4</v>
      </c>
    </row>
    <row r="727" spans="12:40" x14ac:dyDescent="0.25">
      <c r="L727" t="s">
        <v>89</v>
      </c>
      <c r="M727">
        <v>-8</v>
      </c>
      <c r="O727" t="s">
        <v>163</v>
      </c>
      <c r="P727">
        <v>-35</v>
      </c>
      <c r="Q727" t="s">
        <v>839</v>
      </c>
      <c r="R727">
        <v>-24</v>
      </c>
      <c r="U727" t="s">
        <v>572</v>
      </c>
      <c r="V727">
        <v>-16.619999999999997</v>
      </c>
      <c r="AG727" t="s">
        <v>609</v>
      </c>
      <c r="AH727">
        <v>-44.819999999999993</v>
      </c>
      <c r="AI727" t="s">
        <v>2257</v>
      </c>
      <c r="AJ727">
        <v>-140</v>
      </c>
      <c r="AK727" t="s">
        <v>451</v>
      </c>
      <c r="AL727">
        <v>-1.9</v>
      </c>
      <c r="AM727" t="s">
        <v>1088</v>
      </c>
      <c r="AN727">
        <v>-4</v>
      </c>
    </row>
    <row r="728" spans="12:40" x14ac:dyDescent="0.25">
      <c r="L728" t="s">
        <v>735</v>
      </c>
      <c r="M728">
        <v>-1000</v>
      </c>
      <c r="O728" t="s">
        <v>930</v>
      </c>
      <c r="P728">
        <v>-7.5</v>
      </c>
      <c r="Q728" t="s">
        <v>108</v>
      </c>
      <c r="R728">
        <v>-137.99999999999997</v>
      </c>
      <c r="U728" t="s">
        <v>503</v>
      </c>
      <c r="V728">
        <v>-14.299999999999999</v>
      </c>
      <c r="AG728" t="s">
        <v>478</v>
      </c>
      <c r="AH728">
        <v>-204.15</v>
      </c>
      <c r="AI728" t="s">
        <v>403</v>
      </c>
      <c r="AJ728">
        <v>-2732.9999999999995</v>
      </c>
      <c r="AK728" t="s">
        <v>1877</v>
      </c>
      <c r="AL728">
        <v>-0.05</v>
      </c>
      <c r="AM728" t="s">
        <v>557</v>
      </c>
      <c r="AN728">
        <v>-49.999999999999993</v>
      </c>
    </row>
    <row r="729" spans="12:40" x14ac:dyDescent="0.25">
      <c r="L729" t="s">
        <v>415</v>
      </c>
      <c r="M729">
        <v>-19</v>
      </c>
      <c r="O729" t="s">
        <v>89</v>
      </c>
      <c r="P729">
        <v>-9</v>
      </c>
      <c r="Q729" t="s">
        <v>0</v>
      </c>
      <c r="R729">
        <v>-6</v>
      </c>
      <c r="U729" t="s">
        <v>1799</v>
      </c>
      <c r="V729">
        <v>-3</v>
      </c>
      <c r="AG729" t="s">
        <v>346</v>
      </c>
      <c r="AH729">
        <v>-60.68</v>
      </c>
      <c r="AI729" t="s">
        <v>408</v>
      </c>
      <c r="AJ729">
        <v>-4509.9999999999982</v>
      </c>
      <c r="AK729" t="s">
        <v>2137</v>
      </c>
      <c r="AL729">
        <v>-1</v>
      </c>
      <c r="AM729" t="s">
        <v>558</v>
      </c>
      <c r="AN729">
        <v>-33.000000000000007</v>
      </c>
    </row>
    <row r="730" spans="12:40" x14ac:dyDescent="0.25">
      <c r="L730" t="s">
        <v>931</v>
      </c>
      <c r="M730">
        <v>-4.5</v>
      </c>
      <c r="O730" t="s">
        <v>415</v>
      </c>
      <c r="P730">
        <v>-35.666699999999992</v>
      </c>
      <c r="Q730" t="s">
        <v>1640</v>
      </c>
      <c r="R730">
        <v>-5</v>
      </c>
      <c r="U730" t="s">
        <v>573</v>
      </c>
      <c r="V730">
        <v>-0.39</v>
      </c>
      <c r="AG730" t="s">
        <v>679</v>
      </c>
      <c r="AH730">
        <v>-49.84</v>
      </c>
      <c r="AI730" t="s">
        <v>358</v>
      </c>
      <c r="AJ730">
        <v>-1060</v>
      </c>
      <c r="AK730" t="s">
        <v>452</v>
      </c>
      <c r="AL730">
        <v>-0.1</v>
      </c>
      <c r="AM730" t="s">
        <v>651</v>
      </c>
      <c r="AN730">
        <v>-32.999999999999993</v>
      </c>
    </row>
    <row r="731" spans="12:40" x14ac:dyDescent="0.25">
      <c r="L731" t="s">
        <v>103</v>
      </c>
      <c r="M731">
        <v>-196.50020000000006</v>
      </c>
      <c r="O731" t="s">
        <v>103</v>
      </c>
      <c r="P731">
        <v>-218.49979999999996</v>
      </c>
      <c r="Q731" t="s">
        <v>1543</v>
      </c>
      <c r="R731">
        <v>-33.999199999999995</v>
      </c>
      <c r="U731" t="s">
        <v>574</v>
      </c>
      <c r="V731">
        <v>-11</v>
      </c>
      <c r="AG731" t="s">
        <v>268</v>
      </c>
      <c r="AH731">
        <v>-9.8000000000000007</v>
      </c>
      <c r="AI731" t="s">
        <v>359</v>
      </c>
      <c r="AJ731">
        <v>-2090</v>
      </c>
      <c r="AK731" t="s">
        <v>570</v>
      </c>
      <c r="AL731">
        <v>-0.36</v>
      </c>
      <c r="AM731" t="s">
        <v>926</v>
      </c>
      <c r="AN731">
        <v>-3.9999999999999996</v>
      </c>
    </row>
    <row r="732" spans="12:40" x14ac:dyDescent="0.25">
      <c r="L732" t="s">
        <v>161</v>
      </c>
      <c r="M732">
        <v>-12.099000000000004</v>
      </c>
      <c r="O732" t="s">
        <v>161</v>
      </c>
      <c r="P732">
        <v>-13.901000000000002</v>
      </c>
      <c r="Q732" t="s">
        <v>1544</v>
      </c>
      <c r="R732">
        <v>-33.999999999999993</v>
      </c>
      <c r="U732" t="s">
        <v>1379</v>
      </c>
      <c r="V732">
        <v>-9</v>
      </c>
      <c r="AG732" t="s">
        <v>451</v>
      </c>
      <c r="AH732">
        <v>-1.48</v>
      </c>
      <c r="AI732" t="s">
        <v>356</v>
      </c>
      <c r="AJ732">
        <v>-2499</v>
      </c>
      <c r="AK732" t="s">
        <v>71</v>
      </c>
      <c r="AL732">
        <v>-1</v>
      </c>
      <c r="AM732" t="s">
        <v>559</v>
      </c>
      <c r="AN732">
        <v>-43.000000000000007</v>
      </c>
    </row>
    <row r="733" spans="12:40" x14ac:dyDescent="0.25">
      <c r="L733" t="s">
        <v>587</v>
      </c>
      <c r="M733">
        <v>-600</v>
      </c>
      <c r="O733" t="s">
        <v>587</v>
      </c>
      <c r="P733">
        <v>-100</v>
      </c>
      <c r="Q733" t="s">
        <v>611</v>
      </c>
      <c r="R733">
        <v>-79.999999999999986</v>
      </c>
      <c r="U733" t="s">
        <v>1800</v>
      </c>
      <c r="V733">
        <v>-1.5</v>
      </c>
      <c r="AG733" t="s">
        <v>688</v>
      </c>
      <c r="AH733">
        <v>-0.15</v>
      </c>
      <c r="AI733" t="s">
        <v>402</v>
      </c>
      <c r="AJ733">
        <v>-3489</v>
      </c>
      <c r="AK733" t="s">
        <v>638</v>
      </c>
      <c r="AL733">
        <v>-5.2</v>
      </c>
      <c r="AM733" t="s">
        <v>418</v>
      </c>
      <c r="AN733">
        <v>-1</v>
      </c>
    </row>
    <row r="734" spans="12:40" x14ac:dyDescent="0.25">
      <c r="L734" t="s">
        <v>933</v>
      </c>
      <c r="M734">
        <v>-1</v>
      </c>
      <c r="O734" t="s">
        <v>597</v>
      </c>
      <c r="P734">
        <v>-1</v>
      </c>
      <c r="Q734" t="s">
        <v>612</v>
      </c>
      <c r="R734">
        <v>-70.999799999999993</v>
      </c>
      <c r="U734" t="s">
        <v>504</v>
      </c>
      <c r="V734">
        <v>-3</v>
      </c>
      <c r="AG734" t="s">
        <v>1877</v>
      </c>
      <c r="AH734">
        <v>-6.0000000000000005E-2</v>
      </c>
      <c r="AI734" t="s">
        <v>490</v>
      </c>
      <c r="AJ734">
        <v>-560</v>
      </c>
      <c r="AK734" t="s">
        <v>571</v>
      </c>
      <c r="AL734">
        <v>-30.08</v>
      </c>
      <c r="AM734" t="s">
        <v>927</v>
      </c>
      <c r="AN734">
        <v>-4</v>
      </c>
    </row>
    <row r="735" spans="12:40" x14ac:dyDescent="0.25">
      <c r="L735" t="s">
        <v>934</v>
      </c>
      <c r="M735">
        <v>-5</v>
      </c>
      <c r="O735" t="s">
        <v>599</v>
      </c>
      <c r="P735">
        <v>-2</v>
      </c>
      <c r="Q735" t="s">
        <v>644</v>
      </c>
      <c r="R735">
        <v>-3</v>
      </c>
      <c r="U735" t="s">
        <v>839</v>
      </c>
      <c r="V735">
        <v>-24</v>
      </c>
      <c r="AG735" t="s">
        <v>1633</v>
      </c>
      <c r="AH735">
        <v>-0.55000000000000004</v>
      </c>
      <c r="AI735" t="s">
        <v>409</v>
      </c>
      <c r="AJ735">
        <v>-1240.0000000000007</v>
      </c>
      <c r="AK735" t="s">
        <v>763</v>
      </c>
      <c r="AL735">
        <v>-2</v>
      </c>
      <c r="AM735" t="s">
        <v>1931</v>
      </c>
      <c r="AN735">
        <v>-1</v>
      </c>
    </row>
    <row r="736" spans="12:40" x14ac:dyDescent="0.25">
      <c r="L736" t="s">
        <v>599</v>
      </c>
      <c r="M736">
        <v>-3</v>
      </c>
      <c r="O736" t="s">
        <v>101</v>
      </c>
      <c r="P736">
        <v>-30.677799999999998</v>
      </c>
      <c r="Q736" t="s">
        <v>485</v>
      </c>
      <c r="R736">
        <v>-44.887500000000003</v>
      </c>
      <c r="U736" t="s">
        <v>840</v>
      </c>
      <c r="V736">
        <v>-0.30000000000000004</v>
      </c>
      <c r="AG736" t="s">
        <v>1372</v>
      </c>
      <c r="AH736">
        <v>-3</v>
      </c>
      <c r="AI736" t="s">
        <v>492</v>
      </c>
      <c r="AJ736">
        <v>-2228</v>
      </c>
      <c r="AK736" t="s">
        <v>577</v>
      </c>
      <c r="AL736">
        <v>-12</v>
      </c>
      <c r="AM736" t="s">
        <v>586</v>
      </c>
      <c r="AN736">
        <v>-1100.6669999999999</v>
      </c>
    </row>
    <row r="737" spans="12:40" x14ac:dyDescent="0.25">
      <c r="L737" t="s">
        <v>101</v>
      </c>
      <c r="M737">
        <v>-12</v>
      </c>
      <c r="O737" t="s">
        <v>1091</v>
      </c>
      <c r="P737">
        <v>-7.0000000000000009</v>
      </c>
      <c r="Q737" t="s">
        <v>123</v>
      </c>
      <c r="R737">
        <v>-21.000000000000007</v>
      </c>
      <c r="U737" t="s">
        <v>108</v>
      </c>
      <c r="V737">
        <v>-102</v>
      </c>
      <c r="AG737" t="s">
        <v>1374</v>
      </c>
      <c r="AH737">
        <v>-0.1</v>
      </c>
      <c r="AI737" t="s">
        <v>407</v>
      </c>
      <c r="AJ737">
        <v>-900</v>
      </c>
      <c r="AK737" t="s">
        <v>500</v>
      </c>
      <c r="AL737">
        <v>-11.5</v>
      </c>
      <c r="AM737" t="s">
        <v>163</v>
      </c>
      <c r="AN737">
        <v>-35</v>
      </c>
    </row>
    <row r="738" spans="12:40" x14ac:dyDescent="0.25">
      <c r="L738" t="s">
        <v>1091</v>
      </c>
      <c r="M738">
        <v>-1</v>
      </c>
      <c r="O738" t="s">
        <v>1518</v>
      </c>
      <c r="P738">
        <v>-5</v>
      </c>
      <c r="Q738" t="s">
        <v>486</v>
      </c>
      <c r="R738">
        <v>-6.75</v>
      </c>
      <c r="U738" t="s">
        <v>0</v>
      </c>
      <c r="V738">
        <v>-6</v>
      </c>
      <c r="AG738" t="s">
        <v>71</v>
      </c>
      <c r="AH738">
        <v>-4.3329999999999993</v>
      </c>
      <c r="AI738" t="s">
        <v>2258</v>
      </c>
      <c r="AJ738">
        <v>-50</v>
      </c>
      <c r="AK738" t="s">
        <v>572</v>
      </c>
      <c r="AL738">
        <v>-25.6</v>
      </c>
      <c r="AM738" t="s">
        <v>1354</v>
      </c>
      <c r="AN738">
        <v>-6</v>
      </c>
    </row>
    <row r="739" spans="12:40" x14ac:dyDescent="0.25">
      <c r="L739" t="s">
        <v>661</v>
      </c>
      <c r="M739">
        <v>-133.50000000000003</v>
      </c>
      <c r="O739" t="s">
        <v>661</v>
      </c>
      <c r="P739">
        <v>-112.24999999999996</v>
      </c>
      <c r="Q739" t="s">
        <v>740</v>
      </c>
      <c r="R739">
        <v>-8</v>
      </c>
      <c r="U739" t="s">
        <v>1640</v>
      </c>
      <c r="V739">
        <v>-16.999999999999996</v>
      </c>
      <c r="AG739" t="s">
        <v>691</v>
      </c>
      <c r="AH739">
        <v>-5</v>
      </c>
      <c r="AI739" t="s">
        <v>945</v>
      </c>
      <c r="AJ739">
        <v>-300</v>
      </c>
      <c r="AK739" t="s">
        <v>503</v>
      </c>
      <c r="AL739">
        <v>-5.4</v>
      </c>
      <c r="AM739" t="s">
        <v>415</v>
      </c>
      <c r="AN739">
        <v>-29.000000000000004</v>
      </c>
    </row>
    <row r="740" spans="12:40" x14ac:dyDescent="0.25">
      <c r="L740" t="s">
        <v>935</v>
      </c>
      <c r="M740">
        <v>-69.999999999999986</v>
      </c>
      <c r="O740" t="s">
        <v>935</v>
      </c>
      <c r="P740">
        <v>-88.999999999999986</v>
      </c>
      <c r="Q740" t="s">
        <v>741</v>
      </c>
      <c r="R740">
        <v>-8</v>
      </c>
      <c r="U740" t="s">
        <v>469</v>
      </c>
      <c r="V740">
        <v>-14.555400000000001</v>
      </c>
      <c r="AG740" t="s">
        <v>638</v>
      </c>
      <c r="AH740">
        <v>-12</v>
      </c>
      <c r="AI740" t="s">
        <v>624</v>
      </c>
      <c r="AJ740">
        <v>-340</v>
      </c>
      <c r="AK740" t="s">
        <v>1799</v>
      </c>
      <c r="AL740">
        <v>-5.44</v>
      </c>
      <c r="AM740" t="s">
        <v>932</v>
      </c>
      <c r="AN740">
        <v>-1</v>
      </c>
    </row>
    <row r="741" spans="12:40" x14ac:dyDescent="0.25">
      <c r="L741" t="s">
        <v>660</v>
      </c>
      <c r="M741">
        <v>-8.9999999999999982</v>
      </c>
      <c r="O741" t="s">
        <v>660</v>
      </c>
      <c r="P741">
        <v>-9.9999999999999982</v>
      </c>
      <c r="Q741" t="s">
        <v>742</v>
      </c>
      <c r="R741">
        <v>-8</v>
      </c>
      <c r="U741" t="s">
        <v>471</v>
      </c>
      <c r="V741">
        <v>-4.6000000000000005</v>
      </c>
      <c r="AG741" t="s">
        <v>692</v>
      </c>
      <c r="AH741">
        <v>-30.599999999999998</v>
      </c>
      <c r="AI741" t="s">
        <v>622</v>
      </c>
      <c r="AJ741">
        <v>-700</v>
      </c>
      <c r="AK741" t="s">
        <v>573</v>
      </c>
      <c r="AL741">
        <v>-0.26</v>
      </c>
      <c r="AM741" t="s">
        <v>103</v>
      </c>
      <c r="AN741">
        <v>-124.00000000000001</v>
      </c>
    </row>
    <row r="742" spans="12:40" x14ac:dyDescent="0.25">
      <c r="L742" t="s">
        <v>72</v>
      </c>
      <c r="M742">
        <v>-27.1</v>
      </c>
      <c r="O742" t="s">
        <v>72</v>
      </c>
      <c r="P742">
        <v>-29.999999999999993</v>
      </c>
      <c r="Q742" t="s">
        <v>781</v>
      </c>
      <c r="U742" t="s">
        <v>1543</v>
      </c>
      <c r="V742">
        <v>-20</v>
      </c>
      <c r="AG742" t="s">
        <v>571</v>
      </c>
      <c r="AH742">
        <v>-6.88</v>
      </c>
      <c r="AI742" t="s">
        <v>491</v>
      </c>
      <c r="AJ742">
        <v>-300</v>
      </c>
      <c r="AK742" t="s">
        <v>1800</v>
      </c>
      <c r="AL742">
        <v>-1</v>
      </c>
      <c r="AM742" t="s">
        <v>161</v>
      </c>
      <c r="AN742">
        <v>-3.9999999999999991</v>
      </c>
    </row>
    <row r="743" spans="12:40" x14ac:dyDescent="0.25">
      <c r="L743" t="s">
        <v>937</v>
      </c>
      <c r="M743">
        <v>-27.000000000000004</v>
      </c>
      <c r="O743" t="s">
        <v>937</v>
      </c>
      <c r="P743">
        <v>-20</v>
      </c>
      <c r="Q743" t="s">
        <v>782</v>
      </c>
      <c r="R743">
        <v>-103838.80290000005</v>
      </c>
      <c r="U743" t="s">
        <v>1544</v>
      </c>
      <c r="V743">
        <v>-46</v>
      </c>
      <c r="AG743" t="s">
        <v>2189</v>
      </c>
      <c r="AH743">
        <v>-0.15000000000000002</v>
      </c>
      <c r="AI743" t="s">
        <v>1935</v>
      </c>
      <c r="AJ743">
        <v>-180</v>
      </c>
      <c r="AK743" t="s">
        <v>839</v>
      </c>
      <c r="AL743">
        <v>-24</v>
      </c>
      <c r="AM743" t="s">
        <v>587</v>
      </c>
      <c r="AN743">
        <v>-100</v>
      </c>
    </row>
    <row r="744" spans="12:40" x14ac:dyDescent="0.25">
      <c r="L744" t="s">
        <v>595</v>
      </c>
      <c r="M744">
        <v>-25</v>
      </c>
      <c r="O744" t="s">
        <v>595</v>
      </c>
      <c r="P744">
        <v>-48.75</v>
      </c>
      <c r="U744" t="s">
        <v>611</v>
      </c>
      <c r="V744">
        <v>-10</v>
      </c>
      <c r="AG744" t="s">
        <v>1638</v>
      </c>
      <c r="AH744">
        <v>-1.02</v>
      </c>
      <c r="AI744" t="s">
        <v>406</v>
      </c>
      <c r="AJ744">
        <v>-480</v>
      </c>
      <c r="AK744" t="s">
        <v>766</v>
      </c>
      <c r="AL744">
        <v>-0.16</v>
      </c>
      <c r="AM744" t="s">
        <v>1090</v>
      </c>
      <c r="AN744">
        <v>-2</v>
      </c>
    </row>
    <row r="745" spans="12:40" x14ac:dyDescent="0.25">
      <c r="L745" t="s">
        <v>938</v>
      </c>
      <c r="M745">
        <v>-16</v>
      </c>
      <c r="O745" t="s">
        <v>1519</v>
      </c>
      <c r="P745">
        <v>-7</v>
      </c>
      <c r="U745" t="s">
        <v>644</v>
      </c>
      <c r="V745">
        <v>-4</v>
      </c>
      <c r="AG745" t="s">
        <v>763</v>
      </c>
      <c r="AH745">
        <v>-0.5</v>
      </c>
      <c r="AI745" t="s">
        <v>488</v>
      </c>
      <c r="AJ745">
        <v>-1000</v>
      </c>
      <c r="AK745" t="s">
        <v>108</v>
      </c>
      <c r="AL745">
        <v>-6</v>
      </c>
      <c r="AM745" t="s">
        <v>599</v>
      </c>
      <c r="AN745">
        <v>-4</v>
      </c>
    </row>
    <row r="746" spans="12:40" x14ac:dyDescent="0.25">
      <c r="L746" t="s">
        <v>939</v>
      </c>
      <c r="M746">
        <v>-18</v>
      </c>
      <c r="O746" t="s">
        <v>938</v>
      </c>
      <c r="P746">
        <v>-6.9999999999999982</v>
      </c>
      <c r="U746" t="s">
        <v>485</v>
      </c>
      <c r="V746">
        <v>-36</v>
      </c>
      <c r="AG746" t="s">
        <v>1377</v>
      </c>
      <c r="AH746">
        <v>-1.3800000000000001</v>
      </c>
      <c r="AI746" t="s">
        <v>362</v>
      </c>
      <c r="AJ746">
        <v>-1000</v>
      </c>
      <c r="AK746" t="s">
        <v>0</v>
      </c>
      <c r="AL746">
        <v>-64</v>
      </c>
      <c r="AM746" t="s">
        <v>1091</v>
      </c>
      <c r="AN746">
        <v>-14</v>
      </c>
    </row>
    <row r="747" spans="12:40" x14ac:dyDescent="0.25">
      <c r="L747" t="s">
        <v>940</v>
      </c>
      <c r="M747">
        <v>-10.000100000000002</v>
      </c>
      <c r="O747" t="s">
        <v>939</v>
      </c>
      <c r="P747">
        <v>-10</v>
      </c>
      <c r="U747" t="s">
        <v>1718</v>
      </c>
      <c r="V747">
        <v>-9</v>
      </c>
      <c r="AG747" t="s">
        <v>764</v>
      </c>
      <c r="AH747">
        <v>-1.54</v>
      </c>
      <c r="AI747" t="s">
        <v>947</v>
      </c>
      <c r="AJ747">
        <v>-29</v>
      </c>
      <c r="AK747" t="s">
        <v>1543</v>
      </c>
      <c r="AL747">
        <v>-41</v>
      </c>
      <c r="AM747" t="s">
        <v>937</v>
      </c>
      <c r="AN747">
        <v>-11.000000000000002</v>
      </c>
    </row>
    <row r="748" spans="12:40" x14ac:dyDescent="0.25">
      <c r="L748" t="s">
        <v>109</v>
      </c>
      <c r="M748">
        <v>-4</v>
      </c>
      <c r="O748" t="s">
        <v>940</v>
      </c>
      <c r="P748">
        <v>-9.9998999999999985</v>
      </c>
      <c r="U748" t="s">
        <v>486</v>
      </c>
      <c r="V748">
        <v>-7</v>
      </c>
      <c r="AG748" t="s">
        <v>765</v>
      </c>
      <c r="AH748">
        <v>-1</v>
      </c>
      <c r="AI748" t="s">
        <v>405</v>
      </c>
      <c r="AJ748">
        <v>-24</v>
      </c>
      <c r="AK748" t="s">
        <v>1544</v>
      </c>
      <c r="AL748">
        <v>-41</v>
      </c>
      <c r="AM748" t="s">
        <v>938</v>
      </c>
      <c r="AN748">
        <v>-20</v>
      </c>
    </row>
    <row r="749" spans="12:40" x14ac:dyDescent="0.25">
      <c r="L749" t="s">
        <v>102</v>
      </c>
      <c r="M749">
        <v>-3.9999000000000002</v>
      </c>
      <c r="O749" t="s">
        <v>102</v>
      </c>
      <c r="P749">
        <v>-15.100000000000001</v>
      </c>
      <c r="U749" t="s">
        <v>740</v>
      </c>
      <c r="V749">
        <v>-7</v>
      </c>
      <c r="AG749" t="s">
        <v>2190</v>
      </c>
      <c r="AH749">
        <v>-96</v>
      </c>
      <c r="AI749" t="s">
        <v>676</v>
      </c>
      <c r="AJ749">
        <v>-8</v>
      </c>
      <c r="AK749" t="s">
        <v>612</v>
      </c>
      <c r="AL749">
        <v>-20</v>
      </c>
      <c r="AM749" t="s">
        <v>939</v>
      </c>
      <c r="AN749">
        <v>-20</v>
      </c>
    </row>
    <row r="750" spans="12:40" x14ac:dyDescent="0.25">
      <c r="L750" t="s">
        <v>1092</v>
      </c>
      <c r="M750">
        <v>-8</v>
      </c>
      <c r="O750" t="s">
        <v>1092</v>
      </c>
      <c r="P750">
        <v>-2</v>
      </c>
      <c r="U750" t="s">
        <v>741</v>
      </c>
      <c r="V750">
        <v>-7</v>
      </c>
      <c r="AG750" t="s">
        <v>577</v>
      </c>
      <c r="AH750">
        <v>-76</v>
      </c>
      <c r="AI750" t="s">
        <v>623</v>
      </c>
      <c r="AJ750">
        <v>-435.00000000000006</v>
      </c>
      <c r="AK750" t="s">
        <v>485</v>
      </c>
      <c r="AL750">
        <v>-26</v>
      </c>
      <c r="AM750" t="s">
        <v>940</v>
      </c>
      <c r="AN750">
        <v>-20</v>
      </c>
    </row>
    <row r="751" spans="12:40" x14ac:dyDescent="0.25">
      <c r="L751" t="s">
        <v>104</v>
      </c>
      <c r="M751">
        <v>-46</v>
      </c>
      <c r="O751" t="s">
        <v>104</v>
      </c>
      <c r="P751">
        <v>-201.99959999999996</v>
      </c>
      <c r="U751" t="s">
        <v>742</v>
      </c>
      <c r="V751">
        <v>-7</v>
      </c>
      <c r="AG751" t="s">
        <v>500</v>
      </c>
      <c r="AH751">
        <v>-25.300000000000004</v>
      </c>
      <c r="AI751" t="s">
        <v>2259</v>
      </c>
      <c r="AJ751">
        <v>-300</v>
      </c>
      <c r="AK751" t="s">
        <v>486</v>
      </c>
      <c r="AL751">
        <v>-5</v>
      </c>
      <c r="AM751" t="s">
        <v>109</v>
      </c>
      <c r="AN751">
        <v>-1</v>
      </c>
    </row>
    <row r="752" spans="12:40" x14ac:dyDescent="0.25">
      <c r="L752" t="s">
        <v>588</v>
      </c>
      <c r="M752">
        <v>-6</v>
      </c>
      <c r="O752" t="s">
        <v>588</v>
      </c>
      <c r="P752">
        <v>-19</v>
      </c>
      <c r="U752" t="s">
        <v>781</v>
      </c>
      <c r="AG752" t="s">
        <v>572</v>
      </c>
      <c r="AH752">
        <v>-3.4699999999999998</v>
      </c>
      <c r="AI752" t="s">
        <v>1524</v>
      </c>
      <c r="AJ752">
        <v>-200</v>
      </c>
      <c r="AK752" t="s">
        <v>951</v>
      </c>
      <c r="AL752">
        <v>-26</v>
      </c>
      <c r="AM752" t="s">
        <v>104</v>
      </c>
      <c r="AN752">
        <v>-73</v>
      </c>
    </row>
    <row r="753" spans="12:40" x14ac:dyDescent="0.25">
      <c r="L753" t="s">
        <v>160</v>
      </c>
      <c r="M753">
        <v>-3.75</v>
      </c>
      <c r="O753" t="s">
        <v>160</v>
      </c>
      <c r="P753">
        <v>-1.9999999999999998</v>
      </c>
      <c r="U753" t="s">
        <v>782</v>
      </c>
      <c r="V753">
        <v>-95965.942399999985</v>
      </c>
      <c r="AG753" t="s">
        <v>503</v>
      </c>
      <c r="AH753">
        <v>-6.76</v>
      </c>
      <c r="AI753" t="s">
        <v>949</v>
      </c>
      <c r="AJ753">
        <v>-6</v>
      </c>
      <c r="AK753" t="s">
        <v>740</v>
      </c>
      <c r="AL753">
        <v>-3</v>
      </c>
      <c r="AM753" t="s">
        <v>588</v>
      </c>
      <c r="AN753">
        <v>-40</v>
      </c>
    </row>
    <row r="754" spans="12:40" x14ac:dyDescent="0.25">
      <c r="L754" t="s">
        <v>1356</v>
      </c>
      <c r="M754">
        <v>-1</v>
      </c>
      <c r="O754" t="s">
        <v>1356</v>
      </c>
      <c r="P754">
        <v>-12.5</v>
      </c>
      <c r="AG754" t="s">
        <v>573</v>
      </c>
      <c r="AH754">
        <v>-0.46</v>
      </c>
      <c r="AI754" t="s">
        <v>505</v>
      </c>
      <c r="AJ754">
        <v>-1</v>
      </c>
      <c r="AK754" t="s">
        <v>741</v>
      </c>
      <c r="AL754">
        <v>-3</v>
      </c>
      <c r="AM754" t="s">
        <v>160</v>
      </c>
      <c r="AN754">
        <v>-1</v>
      </c>
    </row>
    <row r="755" spans="12:40" x14ac:dyDescent="0.25">
      <c r="L755" t="s">
        <v>1093</v>
      </c>
      <c r="M755">
        <v>-6.9999999999999991</v>
      </c>
      <c r="O755" t="s">
        <v>1093</v>
      </c>
      <c r="P755">
        <v>-5</v>
      </c>
      <c r="AG755" t="s">
        <v>574</v>
      </c>
      <c r="AH755">
        <v>-7.5</v>
      </c>
      <c r="AI755" t="s">
        <v>156</v>
      </c>
      <c r="AJ755">
        <v>-8.0200000000000049</v>
      </c>
      <c r="AK755" t="s">
        <v>742</v>
      </c>
      <c r="AL755">
        <v>-3</v>
      </c>
      <c r="AM755" t="s">
        <v>1356</v>
      </c>
      <c r="AN755">
        <v>-4</v>
      </c>
    </row>
    <row r="756" spans="12:40" x14ac:dyDescent="0.25">
      <c r="L756" t="s">
        <v>1357</v>
      </c>
      <c r="M756">
        <v>-2</v>
      </c>
      <c r="O756" t="s">
        <v>1520</v>
      </c>
      <c r="P756">
        <v>-8</v>
      </c>
      <c r="AG756" t="s">
        <v>1639</v>
      </c>
      <c r="AH756">
        <v>-1.7999999999999998</v>
      </c>
      <c r="AI756" t="s">
        <v>155</v>
      </c>
      <c r="AJ756">
        <v>-8.5</v>
      </c>
      <c r="AK756" t="s">
        <v>781</v>
      </c>
      <c r="AM756" t="s">
        <v>1708</v>
      </c>
      <c r="AN756">
        <v>-12</v>
      </c>
    </row>
    <row r="757" spans="12:40" x14ac:dyDescent="0.25">
      <c r="L757" t="s">
        <v>1358</v>
      </c>
      <c r="M757">
        <v>-1</v>
      </c>
      <c r="O757" t="s">
        <v>1521</v>
      </c>
      <c r="P757">
        <v>-3.9999999999999991</v>
      </c>
      <c r="AG757" t="s">
        <v>423</v>
      </c>
      <c r="AH757">
        <v>-3.8</v>
      </c>
      <c r="AI757" t="s">
        <v>157</v>
      </c>
      <c r="AJ757">
        <v>-20.099999999999998</v>
      </c>
      <c r="AK757" t="s">
        <v>782</v>
      </c>
      <c r="AL757">
        <v>-90206.363199999993</v>
      </c>
      <c r="AM757" t="s">
        <v>1520</v>
      </c>
      <c r="AN757">
        <v>-2</v>
      </c>
    </row>
    <row r="758" spans="12:40" x14ac:dyDescent="0.25">
      <c r="L758" t="s">
        <v>1359</v>
      </c>
      <c r="M758">
        <v>-1</v>
      </c>
      <c r="O758" t="s">
        <v>1522</v>
      </c>
      <c r="P758">
        <v>-25</v>
      </c>
      <c r="AG758" t="s">
        <v>504</v>
      </c>
      <c r="AH758">
        <v>-1.3</v>
      </c>
      <c r="AI758" t="s">
        <v>1787</v>
      </c>
      <c r="AJ758">
        <v>-0.54</v>
      </c>
      <c r="AM758" t="s">
        <v>1628</v>
      </c>
      <c r="AN758">
        <v>-3</v>
      </c>
    </row>
    <row r="759" spans="12:40" x14ac:dyDescent="0.25">
      <c r="L759" t="s">
        <v>943</v>
      </c>
      <c r="M759">
        <v>-300</v>
      </c>
      <c r="O759" t="s">
        <v>1523</v>
      </c>
      <c r="P759">
        <v>-6</v>
      </c>
      <c r="AG759" t="s">
        <v>766</v>
      </c>
      <c r="AH759">
        <v>-0.12</v>
      </c>
      <c r="AI759" t="s">
        <v>604</v>
      </c>
      <c r="AJ759">
        <v>-0.28999999999999998</v>
      </c>
      <c r="AM759" t="s">
        <v>1780</v>
      </c>
      <c r="AN759">
        <v>-9</v>
      </c>
    </row>
    <row r="760" spans="12:40" x14ac:dyDescent="0.25">
      <c r="L760" t="s">
        <v>1095</v>
      </c>
      <c r="M760">
        <v>-50</v>
      </c>
      <c r="O760" t="s">
        <v>621</v>
      </c>
      <c r="P760">
        <v>-400</v>
      </c>
      <c r="AG760" t="s">
        <v>108</v>
      </c>
      <c r="AH760">
        <v>-152</v>
      </c>
      <c r="AI760" t="s">
        <v>2260</v>
      </c>
      <c r="AJ760">
        <v>-0.03</v>
      </c>
      <c r="AM760" t="s">
        <v>2516</v>
      </c>
      <c r="AN760">
        <v>-1</v>
      </c>
    </row>
    <row r="761" spans="12:40" x14ac:dyDescent="0.25">
      <c r="L761" t="s">
        <v>556</v>
      </c>
      <c r="M761">
        <v>-200</v>
      </c>
      <c r="O761" t="s">
        <v>943</v>
      </c>
      <c r="P761">
        <v>-500</v>
      </c>
      <c r="AG761" t="s">
        <v>0</v>
      </c>
      <c r="AH761">
        <v>-16</v>
      </c>
      <c r="AI761" t="s">
        <v>371</v>
      </c>
      <c r="AJ761">
        <v>-4.5</v>
      </c>
      <c r="AM761" t="s">
        <v>2023</v>
      </c>
      <c r="AN761">
        <v>-3</v>
      </c>
    </row>
    <row r="762" spans="12:40" x14ac:dyDescent="0.25">
      <c r="L762" t="s">
        <v>944</v>
      </c>
      <c r="M762">
        <v>-12</v>
      </c>
      <c r="O762" t="s">
        <v>1095</v>
      </c>
      <c r="P762">
        <v>-66.666799999999995</v>
      </c>
      <c r="AG762" t="s">
        <v>1544</v>
      </c>
      <c r="AH762">
        <v>-10</v>
      </c>
      <c r="AI762" t="s">
        <v>343</v>
      </c>
      <c r="AJ762">
        <v>-49.699999999999967</v>
      </c>
      <c r="AM762" t="s">
        <v>2024</v>
      </c>
      <c r="AN762">
        <v>-3</v>
      </c>
    </row>
    <row r="763" spans="12:40" x14ac:dyDescent="0.25">
      <c r="L763" t="s">
        <v>594</v>
      </c>
      <c r="M763">
        <v>-150</v>
      </c>
      <c r="O763" t="s">
        <v>556</v>
      </c>
      <c r="P763">
        <v>-250</v>
      </c>
      <c r="AG763" t="s">
        <v>611</v>
      </c>
      <c r="AH763">
        <v>-60</v>
      </c>
      <c r="AI763" t="s">
        <v>419</v>
      </c>
      <c r="AJ763">
        <v>-44</v>
      </c>
      <c r="AM763" t="s">
        <v>2517</v>
      </c>
      <c r="AN763">
        <v>-2</v>
      </c>
    </row>
    <row r="764" spans="12:40" x14ac:dyDescent="0.25">
      <c r="L764" t="s">
        <v>494</v>
      </c>
      <c r="M764">
        <v>-100</v>
      </c>
      <c r="O764" t="s">
        <v>944</v>
      </c>
      <c r="P764">
        <v>-70</v>
      </c>
      <c r="AG764" t="s">
        <v>612</v>
      </c>
      <c r="AH764">
        <v>-60</v>
      </c>
      <c r="AI764" t="s">
        <v>428</v>
      </c>
      <c r="AJ764">
        <v>-1</v>
      </c>
      <c r="AM764" t="s">
        <v>943</v>
      </c>
      <c r="AN764">
        <v>-1110.9999999999998</v>
      </c>
    </row>
    <row r="765" spans="12:40" x14ac:dyDescent="0.25">
      <c r="L765" t="s">
        <v>625</v>
      </c>
      <c r="M765">
        <v>-500</v>
      </c>
      <c r="O765" t="s">
        <v>652</v>
      </c>
      <c r="P765">
        <v>-199.99999999999997</v>
      </c>
      <c r="AG765" t="s">
        <v>644</v>
      </c>
      <c r="AH765">
        <v>-7.0000000000000018</v>
      </c>
      <c r="AI765" t="s">
        <v>430</v>
      </c>
      <c r="AJ765">
        <v>-10</v>
      </c>
      <c r="AM765" t="s">
        <v>944</v>
      </c>
      <c r="AN765">
        <v>-44</v>
      </c>
    </row>
    <row r="766" spans="12:40" x14ac:dyDescent="0.25">
      <c r="L766" t="s">
        <v>404</v>
      </c>
      <c r="M766">
        <v>-1000</v>
      </c>
      <c r="O766" t="s">
        <v>594</v>
      </c>
      <c r="P766">
        <v>-300</v>
      </c>
      <c r="AG766" t="s">
        <v>485</v>
      </c>
      <c r="AH766">
        <v>-41.999999999999993</v>
      </c>
      <c r="AI766" t="s">
        <v>432</v>
      </c>
      <c r="AJ766">
        <v>-3.0000000000000004</v>
      </c>
      <c r="AM766" t="s">
        <v>404</v>
      </c>
      <c r="AN766">
        <v>-1099.4290000000001</v>
      </c>
    </row>
    <row r="767" spans="12:40" x14ac:dyDescent="0.25">
      <c r="L767" t="s">
        <v>354</v>
      </c>
      <c r="M767">
        <v>-3046</v>
      </c>
      <c r="O767" t="s">
        <v>625</v>
      </c>
      <c r="P767">
        <v>-420</v>
      </c>
      <c r="AG767" t="s">
        <v>1718</v>
      </c>
      <c r="AH767">
        <v>-20</v>
      </c>
      <c r="AI767" t="s">
        <v>434</v>
      </c>
      <c r="AJ767">
        <v>-0.2</v>
      </c>
      <c r="AM767" t="s">
        <v>354</v>
      </c>
      <c r="AN767">
        <v>-200</v>
      </c>
    </row>
    <row r="768" spans="12:40" x14ac:dyDescent="0.25">
      <c r="L768" t="s">
        <v>732</v>
      </c>
      <c r="M768">
        <v>-200</v>
      </c>
      <c r="O768" t="s">
        <v>489</v>
      </c>
      <c r="P768">
        <v>-32</v>
      </c>
      <c r="AG768" t="s">
        <v>123</v>
      </c>
      <c r="AH768">
        <v>-25.999999999999996</v>
      </c>
      <c r="AI768" t="s">
        <v>610</v>
      </c>
      <c r="AJ768">
        <v>-5</v>
      </c>
      <c r="AM768" t="s">
        <v>732</v>
      </c>
      <c r="AN768">
        <v>-30</v>
      </c>
    </row>
    <row r="769" spans="12:40" x14ac:dyDescent="0.25">
      <c r="L769" t="s">
        <v>493</v>
      </c>
      <c r="M769">
        <v>-1000</v>
      </c>
      <c r="O769" t="s">
        <v>404</v>
      </c>
      <c r="P769">
        <v>-1000</v>
      </c>
      <c r="AG769" t="s">
        <v>486</v>
      </c>
      <c r="AH769">
        <v>-6</v>
      </c>
      <c r="AI769" t="s">
        <v>342</v>
      </c>
      <c r="AJ769">
        <v>-1.9992000000000001</v>
      </c>
      <c r="AM769" t="s">
        <v>493</v>
      </c>
      <c r="AN769">
        <v>-228.00000000000003</v>
      </c>
    </row>
    <row r="770" spans="12:40" x14ac:dyDescent="0.25">
      <c r="L770" t="s">
        <v>357</v>
      </c>
      <c r="M770">
        <v>-733</v>
      </c>
      <c r="O770" t="s">
        <v>354</v>
      </c>
      <c r="P770">
        <v>-1080</v>
      </c>
      <c r="AG770" t="s">
        <v>740</v>
      </c>
      <c r="AH770">
        <v>-4</v>
      </c>
      <c r="AI770" t="s">
        <v>1366</v>
      </c>
      <c r="AJ770">
        <v>-1</v>
      </c>
      <c r="AM770" t="s">
        <v>357</v>
      </c>
      <c r="AN770">
        <v>-230</v>
      </c>
    </row>
    <row r="771" spans="12:40" x14ac:dyDescent="0.25">
      <c r="L771" t="s">
        <v>403</v>
      </c>
      <c r="M771">
        <v>-66.666799999999995</v>
      </c>
      <c r="O771" t="s">
        <v>732</v>
      </c>
      <c r="P771">
        <v>-200.00010000000003</v>
      </c>
      <c r="AG771" t="s">
        <v>741</v>
      </c>
      <c r="AH771">
        <v>-4</v>
      </c>
      <c r="AI771" t="s">
        <v>837</v>
      </c>
      <c r="AJ771">
        <v>-32</v>
      </c>
      <c r="AM771" t="s">
        <v>2257</v>
      </c>
      <c r="AN771">
        <v>-140</v>
      </c>
    </row>
    <row r="772" spans="12:40" x14ac:dyDescent="0.25">
      <c r="L772" t="s">
        <v>408</v>
      </c>
      <c r="M772">
        <v>-700</v>
      </c>
      <c r="O772" t="s">
        <v>357</v>
      </c>
      <c r="P772">
        <v>-720</v>
      </c>
      <c r="AG772" t="s">
        <v>742</v>
      </c>
      <c r="AH772">
        <v>-4</v>
      </c>
      <c r="AI772" t="s">
        <v>436</v>
      </c>
      <c r="AJ772">
        <v>-10</v>
      </c>
      <c r="AM772" t="s">
        <v>403</v>
      </c>
      <c r="AN772">
        <v>-50</v>
      </c>
    </row>
    <row r="773" spans="12:40" x14ac:dyDescent="0.25">
      <c r="L773" t="s">
        <v>1360</v>
      </c>
      <c r="M773">
        <v>-100</v>
      </c>
      <c r="O773" t="s">
        <v>403</v>
      </c>
      <c r="P773">
        <v>-1853.3334</v>
      </c>
      <c r="AG773" t="s">
        <v>781</v>
      </c>
      <c r="AI773" t="s">
        <v>437</v>
      </c>
      <c r="AJ773">
        <v>-40</v>
      </c>
      <c r="AM773" t="s">
        <v>408</v>
      </c>
      <c r="AN773">
        <v>-1678.0000000000002</v>
      </c>
    </row>
    <row r="774" spans="12:40" x14ac:dyDescent="0.25">
      <c r="L774" t="s">
        <v>358</v>
      </c>
      <c r="M774">
        <v>-115</v>
      </c>
      <c r="O774" t="s">
        <v>408</v>
      </c>
      <c r="P774">
        <v>-2473.3335999999999</v>
      </c>
      <c r="AG774" t="s">
        <v>782</v>
      </c>
      <c r="AH774">
        <v>-80201.17</v>
      </c>
      <c r="AI774" t="s">
        <v>1717</v>
      </c>
      <c r="AJ774">
        <v>-8.0000000000000018</v>
      </c>
      <c r="AM774" t="s">
        <v>358</v>
      </c>
      <c r="AN774">
        <v>-706.00000000000023</v>
      </c>
    </row>
    <row r="775" spans="12:40" x14ac:dyDescent="0.25">
      <c r="L775" t="s">
        <v>359</v>
      </c>
      <c r="M775">
        <v>-800</v>
      </c>
      <c r="O775" t="s">
        <v>1360</v>
      </c>
      <c r="P775">
        <v>-250</v>
      </c>
      <c r="AI775" t="s">
        <v>1531</v>
      </c>
      <c r="AJ775">
        <v>-34</v>
      </c>
      <c r="AM775" t="s">
        <v>359</v>
      </c>
      <c r="AN775">
        <v>-240</v>
      </c>
    </row>
    <row r="776" spans="12:40" x14ac:dyDescent="0.25">
      <c r="L776" t="s">
        <v>356</v>
      </c>
      <c r="M776">
        <v>-2950.0000000000005</v>
      </c>
      <c r="O776" t="s">
        <v>358</v>
      </c>
      <c r="P776">
        <v>-540</v>
      </c>
      <c r="AI776" t="s">
        <v>583</v>
      </c>
      <c r="AJ776">
        <v>-1</v>
      </c>
      <c r="AM776" t="s">
        <v>356</v>
      </c>
      <c r="AN776">
        <v>-1550</v>
      </c>
    </row>
    <row r="777" spans="12:40" x14ac:dyDescent="0.25">
      <c r="L777" t="s">
        <v>402</v>
      </c>
      <c r="M777">
        <v>-4430</v>
      </c>
      <c r="O777" t="s">
        <v>359</v>
      </c>
      <c r="P777">
        <v>-860</v>
      </c>
      <c r="AI777" t="s">
        <v>347</v>
      </c>
      <c r="AJ777">
        <v>-12.1</v>
      </c>
      <c r="AM777" t="s">
        <v>402</v>
      </c>
      <c r="AN777">
        <v>-3450.0000000000005</v>
      </c>
    </row>
    <row r="778" spans="12:40" x14ac:dyDescent="0.25">
      <c r="L778" t="s">
        <v>490</v>
      </c>
      <c r="M778">
        <v>-100.00019999999999</v>
      </c>
      <c r="O778" t="s">
        <v>356</v>
      </c>
      <c r="P778">
        <v>-2126</v>
      </c>
      <c r="AI778" t="s">
        <v>483</v>
      </c>
      <c r="AJ778">
        <v>-2</v>
      </c>
      <c r="AM778" t="s">
        <v>409</v>
      </c>
      <c r="AN778">
        <v>-39</v>
      </c>
    </row>
    <row r="779" spans="12:40" x14ac:dyDescent="0.25">
      <c r="L779" t="s">
        <v>409</v>
      </c>
      <c r="M779">
        <v>-200</v>
      </c>
      <c r="O779" t="s">
        <v>402</v>
      </c>
      <c r="P779">
        <v>-4821</v>
      </c>
      <c r="AI779" t="s">
        <v>1532</v>
      </c>
      <c r="AJ779">
        <v>-22</v>
      </c>
      <c r="AM779" t="s">
        <v>407</v>
      </c>
      <c r="AN779">
        <v>-168.0009</v>
      </c>
    </row>
    <row r="780" spans="12:40" x14ac:dyDescent="0.25">
      <c r="L780" t="s">
        <v>492</v>
      </c>
      <c r="M780">
        <v>-1500.0001999999999</v>
      </c>
      <c r="O780" t="s">
        <v>490</v>
      </c>
      <c r="P780">
        <v>-200</v>
      </c>
      <c r="AI780" t="s">
        <v>429</v>
      </c>
      <c r="AJ780">
        <v>-1</v>
      </c>
      <c r="AM780" t="s">
        <v>622</v>
      </c>
      <c r="AN780">
        <v>-200</v>
      </c>
    </row>
    <row r="781" spans="12:40" x14ac:dyDescent="0.25">
      <c r="L781" t="s">
        <v>407</v>
      </c>
      <c r="M781">
        <v>-315</v>
      </c>
      <c r="O781" t="s">
        <v>409</v>
      </c>
      <c r="P781">
        <v>-873.99999999999989</v>
      </c>
      <c r="AI781" t="s">
        <v>838</v>
      </c>
      <c r="AJ781">
        <v>-0.7</v>
      </c>
      <c r="AM781" t="s">
        <v>491</v>
      </c>
      <c r="AN781">
        <v>-200</v>
      </c>
    </row>
    <row r="782" spans="12:40" x14ac:dyDescent="0.25">
      <c r="L782" t="s">
        <v>744</v>
      </c>
      <c r="M782">
        <v>-600</v>
      </c>
      <c r="O782" t="s">
        <v>492</v>
      </c>
      <c r="P782">
        <v>-1689.9997999999998</v>
      </c>
      <c r="AI782" t="s">
        <v>1100</v>
      </c>
      <c r="AJ782">
        <v>-14</v>
      </c>
      <c r="AM782" t="s">
        <v>406</v>
      </c>
      <c r="AN782">
        <v>-510</v>
      </c>
    </row>
    <row r="783" spans="12:40" x14ac:dyDescent="0.25">
      <c r="L783" t="s">
        <v>624</v>
      </c>
      <c r="M783">
        <v>-70</v>
      </c>
      <c r="O783" t="s">
        <v>407</v>
      </c>
      <c r="P783">
        <v>-460</v>
      </c>
      <c r="AI783" t="s">
        <v>576</v>
      </c>
      <c r="AJ783">
        <v>-72.399999999999977</v>
      </c>
      <c r="AM783" t="s">
        <v>362</v>
      </c>
      <c r="AN783">
        <v>-1110.9999999999998</v>
      </c>
    </row>
    <row r="784" spans="12:40" x14ac:dyDescent="0.25">
      <c r="L784" t="s">
        <v>622</v>
      </c>
      <c r="M784">
        <v>-300</v>
      </c>
      <c r="O784" t="s">
        <v>945</v>
      </c>
      <c r="P784">
        <v>-250</v>
      </c>
      <c r="AI784" t="s">
        <v>715</v>
      </c>
      <c r="AJ784">
        <v>-33.43</v>
      </c>
      <c r="AM784" t="s">
        <v>947</v>
      </c>
      <c r="AN784">
        <v>-7</v>
      </c>
    </row>
    <row r="785" spans="12:40" x14ac:dyDescent="0.25">
      <c r="L785" t="s">
        <v>491</v>
      </c>
      <c r="M785">
        <v>-400</v>
      </c>
      <c r="O785" t="s">
        <v>622</v>
      </c>
      <c r="P785">
        <v>-200</v>
      </c>
      <c r="AI785" t="s">
        <v>344</v>
      </c>
      <c r="AJ785">
        <v>-412.58000000000004</v>
      </c>
      <c r="AM785" t="s">
        <v>405</v>
      </c>
      <c r="AN785">
        <v>-1110.9999999999998</v>
      </c>
    </row>
    <row r="786" spans="12:40" x14ac:dyDescent="0.25">
      <c r="L786" t="s">
        <v>406</v>
      </c>
      <c r="M786">
        <v>-938</v>
      </c>
      <c r="O786" t="s">
        <v>491</v>
      </c>
      <c r="P786">
        <v>-300</v>
      </c>
      <c r="AI786" t="s">
        <v>561</v>
      </c>
      <c r="AJ786">
        <v>-114.4</v>
      </c>
      <c r="AM786" t="s">
        <v>2518</v>
      </c>
      <c r="AN786">
        <v>-429.85750000000007</v>
      </c>
    </row>
    <row r="787" spans="12:40" x14ac:dyDescent="0.25">
      <c r="L787" t="s">
        <v>1361</v>
      </c>
      <c r="M787">
        <v>-21</v>
      </c>
      <c r="O787" t="s">
        <v>406</v>
      </c>
      <c r="P787">
        <v>-425</v>
      </c>
      <c r="AI787" t="s">
        <v>482</v>
      </c>
      <c r="AJ787">
        <v>-12.62</v>
      </c>
      <c r="AM787" t="s">
        <v>363</v>
      </c>
      <c r="AN787">
        <v>-1110.9999999999998</v>
      </c>
    </row>
    <row r="788" spans="12:40" x14ac:dyDescent="0.25">
      <c r="L788" t="s">
        <v>946</v>
      </c>
      <c r="M788">
        <v>-200</v>
      </c>
      <c r="O788" t="s">
        <v>488</v>
      </c>
      <c r="P788">
        <v>-900.00029999999992</v>
      </c>
      <c r="AI788" t="s">
        <v>1367</v>
      </c>
      <c r="AJ788">
        <v>-2.5</v>
      </c>
      <c r="AM788" t="s">
        <v>628</v>
      </c>
      <c r="AN788">
        <v>-10</v>
      </c>
    </row>
    <row r="789" spans="12:40" x14ac:dyDescent="0.25">
      <c r="L789" t="s">
        <v>362</v>
      </c>
      <c r="M789">
        <v>-500</v>
      </c>
      <c r="O789" t="s">
        <v>362</v>
      </c>
      <c r="P789">
        <v>-500</v>
      </c>
      <c r="AI789" t="s">
        <v>566</v>
      </c>
      <c r="AJ789">
        <v>-43.204999999999998</v>
      </c>
      <c r="AM789" t="s">
        <v>948</v>
      </c>
      <c r="AN789">
        <v>-1000</v>
      </c>
    </row>
    <row r="790" spans="12:40" x14ac:dyDescent="0.25">
      <c r="L790" t="s">
        <v>405</v>
      </c>
      <c r="M790">
        <v>-200</v>
      </c>
      <c r="O790" t="s">
        <v>947</v>
      </c>
      <c r="P790">
        <v>-4</v>
      </c>
      <c r="AI790" t="s">
        <v>1535</v>
      </c>
      <c r="AJ790">
        <v>-6.05</v>
      </c>
      <c r="AM790" t="s">
        <v>1631</v>
      </c>
      <c r="AN790">
        <v>-100</v>
      </c>
    </row>
    <row r="791" spans="12:40" x14ac:dyDescent="0.25">
      <c r="L791" t="s">
        <v>676</v>
      </c>
      <c r="M791">
        <v>-175</v>
      </c>
      <c r="O791" t="s">
        <v>405</v>
      </c>
      <c r="P791">
        <v>-500.00019999999995</v>
      </c>
      <c r="AI791" t="s">
        <v>412</v>
      </c>
      <c r="AJ791">
        <v>-27.157999999999998</v>
      </c>
      <c r="AM791" t="s">
        <v>1785</v>
      </c>
      <c r="AN791">
        <v>-1999.9999999999998</v>
      </c>
    </row>
    <row r="792" spans="12:40" x14ac:dyDescent="0.25">
      <c r="L792" t="s">
        <v>363</v>
      </c>
      <c r="M792">
        <v>-500</v>
      </c>
      <c r="O792" t="s">
        <v>363</v>
      </c>
      <c r="P792">
        <v>-260</v>
      </c>
      <c r="AI792" t="s">
        <v>585</v>
      </c>
      <c r="AJ792">
        <v>-16</v>
      </c>
      <c r="AM792" t="s">
        <v>949</v>
      </c>
      <c r="AN792">
        <v>-15.999999999999998</v>
      </c>
    </row>
    <row r="793" spans="12:40" x14ac:dyDescent="0.25">
      <c r="L793" t="s">
        <v>623</v>
      </c>
      <c r="M793">
        <v>-360</v>
      </c>
      <c r="O793" t="s">
        <v>623</v>
      </c>
      <c r="P793">
        <v>-200.00039999999996</v>
      </c>
      <c r="AI793" t="s">
        <v>1791</v>
      </c>
      <c r="AJ793">
        <v>-0.13</v>
      </c>
      <c r="AM793" t="s">
        <v>505</v>
      </c>
      <c r="AN793">
        <v>-11.999999999999998</v>
      </c>
    </row>
    <row r="794" spans="12:40" x14ac:dyDescent="0.25">
      <c r="L794" t="s">
        <v>1362</v>
      </c>
      <c r="M794">
        <v>-20</v>
      </c>
      <c r="O794" t="s">
        <v>1524</v>
      </c>
      <c r="P794">
        <v>-250</v>
      </c>
      <c r="AI794" t="s">
        <v>578</v>
      </c>
      <c r="AJ794">
        <v>-70.25</v>
      </c>
      <c r="AM794" t="s">
        <v>156</v>
      </c>
      <c r="AN794">
        <v>-6.9999999999999991</v>
      </c>
    </row>
    <row r="795" spans="12:40" x14ac:dyDescent="0.25">
      <c r="L795" t="s">
        <v>1096</v>
      </c>
      <c r="M795">
        <v>-34</v>
      </c>
      <c r="O795" t="s">
        <v>1525</v>
      </c>
      <c r="P795">
        <v>-250</v>
      </c>
      <c r="AI795" t="s">
        <v>714</v>
      </c>
      <c r="AJ795">
        <v>-6</v>
      </c>
      <c r="AM795" t="s">
        <v>157</v>
      </c>
      <c r="AN795">
        <v>-9.5</v>
      </c>
    </row>
    <row r="796" spans="12:40" x14ac:dyDescent="0.25">
      <c r="L796" t="s">
        <v>1363</v>
      </c>
      <c r="M796">
        <v>-75</v>
      </c>
      <c r="O796" t="s">
        <v>1526</v>
      </c>
      <c r="P796">
        <v>-110</v>
      </c>
      <c r="AI796" t="s">
        <v>567</v>
      </c>
      <c r="AJ796">
        <v>-3.2800000000000002</v>
      </c>
      <c r="AM796" t="s">
        <v>1787</v>
      </c>
      <c r="AN796">
        <v>-3.7999999999999999E-2</v>
      </c>
    </row>
    <row r="797" spans="12:40" x14ac:dyDescent="0.25">
      <c r="L797" t="s">
        <v>949</v>
      </c>
      <c r="M797">
        <v>-12.000000000000002</v>
      </c>
      <c r="O797" t="s">
        <v>1527</v>
      </c>
      <c r="P797">
        <v>-1000</v>
      </c>
      <c r="AI797" t="s">
        <v>568</v>
      </c>
      <c r="AJ797">
        <v>-73.22</v>
      </c>
      <c r="AM797" t="s">
        <v>604</v>
      </c>
      <c r="AN797">
        <v>-0.32200000000000006</v>
      </c>
    </row>
    <row r="798" spans="12:40" x14ac:dyDescent="0.25">
      <c r="L798" t="s">
        <v>1364</v>
      </c>
      <c r="M798">
        <v>-0.99999999999999989</v>
      </c>
      <c r="O798" t="s">
        <v>1528</v>
      </c>
      <c r="P798">
        <v>-93</v>
      </c>
      <c r="AI798" t="s">
        <v>609</v>
      </c>
      <c r="AJ798">
        <v>-63</v>
      </c>
      <c r="AM798" t="s">
        <v>2260</v>
      </c>
      <c r="AN798">
        <v>-0.28999999999999998</v>
      </c>
    </row>
    <row r="799" spans="12:40" x14ac:dyDescent="0.25">
      <c r="L799" t="s">
        <v>505</v>
      </c>
      <c r="M799">
        <v>-7.0006000000000004</v>
      </c>
      <c r="O799" t="s">
        <v>1529</v>
      </c>
      <c r="P799">
        <v>-66.667000000000002</v>
      </c>
      <c r="AI799" t="s">
        <v>478</v>
      </c>
      <c r="AJ799">
        <v>-383</v>
      </c>
      <c r="AM799" t="s">
        <v>2519</v>
      </c>
      <c r="AN799">
        <v>-0.5</v>
      </c>
    </row>
    <row r="800" spans="12:40" x14ac:dyDescent="0.25">
      <c r="L800" t="s">
        <v>156</v>
      </c>
      <c r="M800">
        <v>-19.080499999999997</v>
      </c>
      <c r="O800" t="s">
        <v>949</v>
      </c>
      <c r="P800">
        <v>-7.9999999999999991</v>
      </c>
      <c r="AI800" t="s">
        <v>346</v>
      </c>
      <c r="AJ800">
        <v>-54.64</v>
      </c>
      <c r="AM800" t="s">
        <v>371</v>
      </c>
      <c r="AN800">
        <v>-3.7</v>
      </c>
    </row>
    <row r="801" spans="12:40" x14ac:dyDescent="0.25">
      <c r="L801" t="s">
        <v>155</v>
      </c>
      <c r="M801">
        <v>-77</v>
      </c>
      <c r="O801" t="s">
        <v>505</v>
      </c>
      <c r="P801">
        <v>-4.8843999999999994</v>
      </c>
      <c r="AI801" t="s">
        <v>679</v>
      </c>
      <c r="AJ801">
        <v>-40.356000000000002</v>
      </c>
      <c r="AM801" t="s">
        <v>343</v>
      </c>
      <c r="AN801">
        <v>-6.7199999999999989</v>
      </c>
    </row>
    <row r="802" spans="12:40" x14ac:dyDescent="0.25">
      <c r="L802" t="s">
        <v>157</v>
      </c>
      <c r="M802">
        <v>-32.499400000000009</v>
      </c>
      <c r="O802" t="s">
        <v>156</v>
      </c>
      <c r="P802">
        <v>-6.8680000000000003</v>
      </c>
      <c r="AI802" t="s">
        <v>268</v>
      </c>
      <c r="AJ802">
        <v>-8.5</v>
      </c>
      <c r="AM802" t="s">
        <v>428</v>
      </c>
      <c r="AN802">
        <v>-1</v>
      </c>
    </row>
    <row r="803" spans="12:40" x14ac:dyDescent="0.25">
      <c r="L803" t="s">
        <v>1365</v>
      </c>
      <c r="M803">
        <v>-0.8400000000000003</v>
      </c>
      <c r="O803" t="s">
        <v>155</v>
      </c>
      <c r="P803">
        <v>-27.999999999999993</v>
      </c>
      <c r="AI803" t="s">
        <v>689</v>
      </c>
      <c r="AJ803">
        <v>-1.59</v>
      </c>
      <c r="AM803" t="s">
        <v>430</v>
      </c>
      <c r="AN803">
        <v>-15</v>
      </c>
    </row>
    <row r="804" spans="12:40" x14ac:dyDescent="0.25">
      <c r="L804" t="s">
        <v>1098</v>
      </c>
      <c r="M804">
        <v>-28</v>
      </c>
      <c r="O804" t="s">
        <v>157</v>
      </c>
      <c r="P804">
        <v>-23.005599999999976</v>
      </c>
      <c r="AI804" t="s">
        <v>1877</v>
      </c>
      <c r="AJ804">
        <v>-0.10999999999999999</v>
      </c>
      <c r="AM804" t="s">
        <v>432</v>
      </c>
      <c r="AN804">
        <v>-22.000000000000004</v>
      </c>
    </row>
    <row r="805" spans="12:40" x14ac:dyDescent="0.25">
      <c r="L805" t="s">
        <v>1099</v>
      </c>
      <c r="M805">
        <v>-18</v>
      </c>
      <c r="O805" t="s">
        <v>1098</v>
      </c>
      <c r="P805">
        <v>-56</v>
      </c>
      <c r="AI805" t="s">
        <v>1632</v>
      </c>
      <c r="AJ805">
        <v>-4</v>
      </c>
      <c r="AM805" t="s">
        <v>434</v>
      </c>
      <c r="AN805">
        <v>-11.1</v>
      </c>
    </row>
    <row r="806" spans="12:40" x14ac:dyDescent="0.25">
      <c r="L806" t="s">
        <v>371</v>
      </c>
      <c r="M806">
        <v>-4.5</v>
      </c>
      <c r="O806" t="s">
        <v>1099</v>
      </c>
      <c r="P806">
        <v>-14</v>
      </c>
      <c r="AI806" t="s">
        <v>690</v>
      </c>
      <c r="AJ806">
        <v>-0.13</v>
      </c>
      <c r="AM806" t="s">
        <v>610</v>
      </c>
      <c r="AN806">
        <v>-28</v>
      </c>
    </row>
    <row r="807" spans="12:40" x14ac:dyDescent="0.25">
      <c r="L807" t="s">
        <v>343</v>
      </c>
      <c r="M807">
        <v>-3.53</v>
      </c>
      <c r="O807" t="s">
        <v>1530</v>
      </c>
      <c r="P807">
        <v>-0.41</v>
      </c>
      <c r="AI807" t="s">
        <v>1372</v>
      </c>
      <c r="AJ807">
        <v>-2.12</v>
      </c>
      <c r="AM807" t="s">
        <v>431</v>
      </c>
      <c r="AN807">
        <v>-20</v>
      </c>
    </row>
    <row r="808" spans="12:40" x14ac:dyDescent="0.25">
      <c r="L808" t="s">
        <v>419</v>
      </c>
      <c r="M808">
        <v>-6.5</v>
      </c>
      <c r="O808" t="s">
        <v>343</v>
      </c>
      <c r="P808">
        <v>-13.329999999999997</v>
      </c>
      <c r="AI808" t="s">
        <v>2261</v>
      </c>
      <c r="AJ808">
        <v>-8</v>
      </c>
      <c r="AM808" t="s">
        <v>433</v>
      </c>
      <c r="AN808">
        <v>-8</v>
      </c>
    </row>
    <row r="809" spans="12:40" x14ac:dyDescent="0.25">
      <c r="L809" t="s">
        <v>430</v>
      </c>
      <c r="M809">
        <v>-6</v>
      </c>
      <c r="O809" t="s">
        <v>419</v>
      </c>
      <c r="P809">
        <v>-2.5</v>
      </c>
      <c r="AI809" t="s">
        <v>452</v>
      </c>
      <c r="AJ809">
        <v>-5.5</v>
      </c>
      <c r="AM809" t="s">
        <v>436</v>
      </c>
      <c r="AN809">
        <v>-4</v>
      </c>
    </row>
    <row r="810" spans="12:40" x14ac:dyDescent="0.25">
      <c r="L810" t="s">
        <v>432</v>
      </c>
      <c r="M810">
        <v>-9</v>
      </c>
      <c r="O810" t="s">
        <v>430</v>
      </c>
      <c r="P810">
        <v>-4</v>
      </c>
      <c r="AI810" t="s">
        <v>106</v>
      </c>
      <c r="AJ810">
        <v>-6.1000000000000014</v>
      </c>
      <c r="AM810" t="s">
        <v>437</v>
      </c>
      <c r="AN810">
        <v>-2</v>
      </c>
    </row>
    <row r="811" spans="12:40" x14ac:dyDescent="0.25">
      <c r="L811" t="s">
        <v>434</v>
      </c>
      <c r="M811">
        <v>-3.5</v>
      </c>
      <c r="O811" t="s">
        <v>432</v>
      </c>
      <c r="P811">
        <v>-8</v>
      </c>
      <c r="AI811" t="s">
        <v>71</v>
      </c>
      <c r="AJ811">
        <v>-3.8</v>
      </c>
      <c r="AM811" t="s">
        <v>1717</v>
      </c>
      <c r="AN811">
        <v>-11</v>
      </c>
    </row>
    <row r="812" spans="12:40" x14ac:dyDescent="0.25">
      <c r="L812" t="s">
        <v>610</v>
      </c>
      <c r="M812">
        <v>-3</v>
      </c>
      <c r="O812" t="s">
        <v>434</v>
      </c>
      <c r="P812">
        <v>-2.0089999999999999</v>
      </c>
      <c r="AI812" t="s">
        <v>1538</v>
      </c>
      <c r="AJ812">
        <v>-0.9</v>
      </c>
      <c r="AM812" t="s">
        <v>1531</v>
      </c>
      <c r="AN812">
        <v>-1</v>
      </c>
    </row>
    <row r="813" spans="12:40" x14ac:dyDescent="0.25">
      <c r="L813" t="s">
        <v>431</v>
      </c>
      <c r="M813">
        <v>-5</v>
      </c>
      <c r="O813" t="s">
        <v>610</v>
      </c>
      <c r="P813">
        <v>-3</v>
      </c>
      <c r="AI813" t="s">
        <v>638</v>
      </c>
      <c r="AJ813">
        <v>-22.000000000000004</v>
      </c>
      <c r="AM813" t="s">
        <v>347</v>
      </c>
      <c r="AN813">
        <v>-15.589999999999998</v>
      </c>
    </row>
    <row r="814" spans="12:40" x14ac:dyDescent="0.25">
      <c r="L814" t="s">
        <v>1366</v>
      </c>
      <c r="M814">
        <v>-17</v>
      </c>
      <c r="O814" t="s">
        <v>431</v>
      </c>
      <c r="P814">
        <v>-8</v>
      </c>
      <c r="AI814" t="s">
        <v>694</v>
      </c>
      <c r="AJ814">
        <v>-5.2</v>
      </c>
      <c r="AM814" t="s">
        <v>483</v>
      </c>
      <c r="AN814">
        <v>-22.09</v>
      </c>
    </row>
    <row r="815" spans="12:40" x14ac:dyDescent="0.25">
      <c r="L815" t="s">
        <v>837</v>
      </c>
      <c r="M815">
        <v>-14</v>
      </c>
      <c r="O815" t="s">
        <v>342</v>
      </c>
      <c r="P815">
        <v>-2</v>
      </c>
      <c r="AI815" t="s">
        <v>571</v>
      </c>
      <c r="AJ815">
        <v>-6.08</v>
      </c>
      <c r="AM815" t="s">
        <v>1532</v>
      </c>
      <c r="AN815">
        <v>-2.5</v>
      </c>
    </row>
    <row r="816" spans="12:40" x14ac:dyDescent="0.25">
      <c r="L816" t="s">
        <v>436</v>
      </c>
      <c r="M816">
        <v>-6</v>
      </c>
      <c r="O816" t="s">
        <v>1366</v>
      </c>
      <c r="P816">
        <v>-3</v>
      </c>
      <c r="AI816" t="s">
        <v>608</v>
      </c>
      <c r="AJ816">
        <v>-2</v>
      </c>
      <c r="AM816" t="s">
        <v>2520</v>
      </c>
      <c r="AN816">
        <v>-0.2</v>
      </c>
    </row>
    <row r="817" spans="12:40" x14ac:dyDescent="0.25">
      <c r="L817" t="s">
        <v>437</v>
      </c>
      <c r="M817">
        <v>-5</v>
      </c>
      <c r="O817" t="s">
        <v>836</v>
      </c>
      <c r="P817">
        <v>-6</v>
      </c>
      <c r="AI817" t="s">
        <v>1636</v>
      </c>
      <c r="AJ817">
        <v>-0.1</v>
      </c>
      <c r="AM817" t="s">
        <v>2188</v>
      </c>
      <c r="AN817">
        <v>-2</v>
      </c>
    </row>
    <row r="818" spans="12:40" x14ac:dyDescent="0.25">
      <c r="L818" t="s">
        <v>583</v>
      </c>
      <c r="M818">
        <v>-3</v>
      </c>
      <c r="O818" t="s">
        <v>837</v>
      </c>
      <c r="P818">
        <v>-7</v>
      </c>
      <c r="AI818" t="s">
        <v>2262</v>
      </c>
      <c r="AJ818">
        <v>-0.1</v>
      </c>
      <c r="AM818" t="s">
        <v>1100</v>
      </c>
      <c r="AN818">
        <v>-4</v>
      </c>
    </row>
    <row r="819" spans="12:40" x14ac:dyDescent="0.25">
      <c r="L819" t="s">
        <v>417</v>
      </c>
      <c r="M819">
        <v>-5.0008000000000008</v>
      </c>
      <c r="O819" t="s">
        <v>436</v>
      </c>
      <c r="P819">
        <v>-20</v>
      </c>
      <c r="AI819" t="s">
        <v>2189</v>
      </c>
      <c r="AJ819">
        <v>-5</v>
      </c>
      <c r="AM819" t="s">
        <v>576</v>
      </c>
      <c r="AN819">
        <v>-109.56</v>
      </c>
    </row>
    <row r="820" spans="12:40" x14ac:dyDescent="0.25">
      <c r="L820" t="s">
        <v>347</v>
      </c>
      <c r="M820">
        <v>-8.1703999999999972</v>
      </c>
      <c r="O820" t="s">
        <v>1531</v>
      </c>
      <c r="P820">
        <v>-2</v>
      </c>
      <c r="AI820" t="s">
        <v>696</v>
      </c>
      <c r="AJ820">
        <v>-0.3</v>
      </c>
      <c r="AM820" t="s">
        <v>715</v>
      </c>
      <c r="AN820">
        <v>-55.14</v>
      </c>
    </row>
    <row r="821" spans="12:40" x14ac:dyDescent="0.25">
      <c r="L821" t="s">
        <v>483</v>
      </c>
      <c r="M821">
        <v>-13.347900000000013</v>
      </c>
      <c r="O821" t="s">
        <v>583</v>
      </c>
      <c r="P821">
        <v>-2</v>
      </c>
      <c r="AI821" t="s">
        <v>763</v>
      </c>
      <c r="AJ821">
        <v>-1.5</v>
      </c>
      <c r="AM821" t="s">
        <v>344</v>
      </c>
      <c r="AN821">
        <v>-834.45999999999992</v>
      </c>
    </row>
    <row r="822" spans="12:40" x14ac:dyDescent="0.25">
      <c r="L822" t="s">
        <v>435</v>
      </c>
      <c r="M822">
        <v>-9</v>
      </c>
      <c r="O822" t="s">
        <v>417</v>
      </c>
      <c r="P822">
        <v>-0.93</v>
      </c>
      <c r="AI822" t="s">
        <v>764</v>
      </c>
      <c r="AJ822">
        <v>-1.54</v>
      </c>
      <c r="AM822" t="s">
        <v>561</v>
      </c>
      <c r="AN822">
        <v>-57.28</v>
      </c>
    </row>
    <row r="823" spans="12:40" x14ac:dyDescent="0.25">
      <c r="L823" t="s">
        <v>1101</v>
      </c>
      <c r="M823">
        <v>-24</v>
      </c>
      <c r="O823" t="s">
        <v>347</v>
      </c>
      <c r="P823">
        <v>-11.9305</v>
      </c>
      <c r="AI823" t="s">
        <v>765</v>
      </c>
      <c r="AJ823">
        <v>-1</v>
      </c>
      <c r="AM823" t="s">
        <v>482</v>
      </c>
      <c r="AN823">
        <v>-0.78</v>
      </c>
    </row>
    <row r="824" spans="12:40" x14ac:dyDescent="0.25">
      <c r="L824" t="s">
        <v>576</v>
      </c>
      <c r="M824">
        <v>-84</v>
      </c>
      <c r="O824" t="s">
        <v>483</v>
      </c>
      <c r="P824">
        <v>-3.0200000000000009</v>
      </c>
      <c r="AI824" t="s">
        <v>577</v>
      </c>
      <c r="AJ824">
        <v>-12</v>
      </c>
      <c r="AM824" t="s">
        <v>1367</v>
      </c>
      <c r="AN824">
        <v>-5</v>
      </c>
    </row>
    <row r="825" spans="12:40" x14ac:dyDescent="0.25">
      <c r="L825" t="s">
        <v>344</v>
      </c>
      <c r="M825">
        <v>-384.28640000000001</v>
      </c>
      <c r="O825" t="s">
        <v>1532</v>
      </c>
      <c r="P825">
        <v>-2</v>
      </c>
      <c r="AI825" t="s">
        <v>698</v>
      </c>
      <c r="AJ825">
        <v>-2.95</v>
      </c>
      <c r="AM825" t="s">
        <v>566</v>
      </c>
      <c r="AN825">
        <v>-134.30000000000001</v>
      </c>
    </row>
    <row r="826" spans="12:40" x14ac:dyDescent="0.25">
      <c r="L826" t="s">
        <v>561</v>
      </c>
      <c r="M826">
        <v>-48</v>
      </c>
      <c r="O826" t="s">
        <v>1533</v>
      </c>
      <c r="P826">
        <v>-30</v>
      </c>
      <c r="AI826" t="s">
        <v>500</v>
      </c>
      <c r="AJ826">
        <v>-25.300000000000004</v>
      </c>
      <c r="AM826" t="s">
        <v>1535</v>
      </c>
      <c r="AN826">
        <v>-14.6</v>
      </c>
    </row>
    <row r="827" spans="12:40" x14ac:dyDescent="0.25">
      <c r="L827" t="s">
        <v>482</v>
      </c>
      <c r="M827">
        <v>-36</v>
      </c>
      <c r="O827" t="s">
        <v>429</v>
      </c>
      <c r="P827">
        <v>-10</v>
      </c>
      <c r="AI827" t="s">
        <v>572</v>
      </c>
      <c r="AJ827">
        <v>-30.48</v>
      </c>
      <c r="AM827" t="s">
        <v>412</v>
      </c>
      <c r="AN827">
        <v>-12.879999999999999</v>
      </c>
    </row>
    <row r="828" spans="12:40" x14ac:dyDescent="0.25">
      <c r="L828" t="s">
        <v>1367</v>
      </c>
      <c r="M828">
        <v>-41.999399999999994</v>
      </c>
      <c r="O828" t="s">
        <v>838</v>
      </c>
      <c r="P828">
        <v>-0.05</v>
      </c>
      <c r="AI828" t="s">
        <v>503</v>
      </c>
      <c r="AJ828">
        <v>-4</v>
      </c>
      <c r="AM828" t="s">
        <v>585</v>
      </c>
      <c r="AN828">
        <v>-18.399999999999999</v>
      </c>
    </row>
    <row r="829" spans="12:40" x14ac:dyDescent="0.25">
      <c r="L829" t="s">
        <v>566</v>
      </c>
      <c r="M829">
        <v>-76.5</v>
      </c>
      <c r="O829" t="s">
        <v>1101</v>
      </c>
      <c r="P829">
        <v>-48</v>
      </c>
      <c r="AI829" t="s">
        <v>1799</v>
      </c>
      <c r="AJ829">
        <v>-0.13</v>
      </c>
      <c r="AM829" t="s">
        <v>1791</v>
      </c>
      <c r="AN829">
        <v>-0.53</v>
      </c>
    </row>
    <row r="830" spans="12:40" x14ac:dyDescent="0.25">
      <c r="L830" t="s">
        <v>412</v>
      </c>
      <c r="M830">
        <v>-24</v>
      </c>
      <c r="O830" t="s">
        <v>576</v>
      </c>
      <c r="P830">
        <v>-231</v>
      </c>
      <c r="AI830" t="s">
        <v>573</v>
      </c>
      <c r="AJ830">
        <v>-0.46</v>
      </c>
      <c r="AM830" t="s">
        <v>578</v>
      </c>
      <c r="AN830">
        <v>-97.81</v>
      </c>
    </row>
    <row r="831" spans="12:40" x14ac:dyDescent="0.25">
      <c r="L831" t="s">
        <v>585</v>
      </c>
      <c r="M831">
        <v>-6</v>
      </c>
      <c r="O831" t="s">
        <v>715</v>
      </c>
      <c r="P831">
        <v>-165</v>
      </c>
      <c r="AI831" t="s">
        <v>574</v>
      </c>
      <c r="AJ831">
        <v>-3</v>
      </c>
      <c r="AM831" t="s">
        <v>552</v>
      </c>
      <c r="AN831">
        <v>-1</v>
      </c>
    </row>
    <row r="832" spans="12:40" x14ac:dyDescent="0.25">
      <c r="L832" t="s">
        <v>578</v>
      </c>
      <c r="M832">
        <v>-12</v>
      </c>
      <c r="O832" t="s">
        <v>344</v>
      </c>
      <c r="P832">
        <v>-295</v>
      </c>
      <c r="AI832" t="s">
        <v>1379</v>
      </c>
      <c r="AJ832">
        <v>-6.16</v>
      </c>
      <c r="AM832" t="s">
        <v>714</v>
      </c>
      <c r="AN832">
        <v>-1.31</v>
      </c>
    </row>
    <row r="833" spans="12:40" x14ac:dyDescent="0.25">
      <c r="L833" t="s">
        <v>567</v>
      </c>
      <c r="M833">
        <v>-23.999999999999996</v>
      </c>
      <c r="O833" t="s">
        <v>561</v>
      </c>
      <c r="P833">
        <v>-102</v>
      </c>
      <c r="AI833" t="s">
        <v>699</v>
      </c>
      <c r="AJ833">
        <v>-1.51</v>
      </c>
      <c r="AM833" t="s">
        <v>567</v>
      </c>
      <c r="AN833">
        <v>-5.46</v>
      </c>
    </row>
    <row r="834" spans="12:40" x14ac:dyDescent="0.25">
      <c r="L834" t="s">
        <v>1368</v>
      </c>
      <c r="M834">
        <v>-48</v>
      </c>
      <c r="O834" t="s">
        <v>482</v>
      </c>
      <c r="P834">
        <v>-62</v>
      </c>
      <c r="AI834" t="s">
        <v>700</v>
      </c>
      <c r="AJ834">
        <v>-6</v>
      </c>
      <c r="AM834" t="s">
        <v>568</v>
      </c>
      <c r="AN834">
        <v>-26.08</v>
      </c>
    </row>
    <row r="835" spans="12:40" x14ac:dyDescent="0.25">
      <c r="L835" t="s">
        <v>568</v>
      </c>
      <c r="M835">
        <v>-18</v>
      </c>
      <c r="O835" t="s">
        <v>566</v>
      </c>
      <c r="P835">
        <v>-44.5</v>
      </c>
      <c r="AI835" t="s">
        <v>504</v>
      </c>
      <c r="AJ835">
        <v>-37.4</v>
      </c>
      <c r="AM835" t="s">
        <v>609</v>
      </c>
      <c r="AN835">
        <v>-5.5</v>
      </c>
    </row>
    <row r="836" spans="12:40" x14ac:dyDescent="0.25">
      <c r="L836" t="s">
        <v>609</v>
      </c>
      <c r="M836">
        <v>-854</v>
      </c>
      <c r="O836" t="s">
        <v>1534</v>
      </c>
      <c r="P836">
        <v>-0.51</v>
      </c>
      <c r="AI836" t="s">
        <v>839</v>
      </c>
      <c r="AJ836">
        <v>-36</v>
      </c>
      <c r="AM836" t="s">
        <v>478</v>
      </c>
      <c r="AN836">
        <v>-64.45</v>
      </c>
    </row>
    <row r="837" spans="12:40" x14ac:dyDescent="0.25">
      <c r="L837" t="s">
        <v>478</v>
      </c>
      <c r="M837">
        <v>-177</v>
      </c>
      <c r="O837" t="s">
        <v>1535</v>
      </c>
      <c r="P837">
        <v>-0.9</v>
      </c>
      <c r="AI837" t="s">
        <v>840</v>
      </c>
      <c r="AJ837">
        <v>-0.14000000000000001</v>
      </c>
      <c r="AM837" t="s">
        <v>346</v>
      </c>
      <c r="AN837">
        <v>-34.42</v>
      </c>
    </row>
    <row r="838" spans="12:40" x14ac:dyDescent="0.25">
      <c r="L838" t="s">
        <v>346</v>
      </c>
      <c r="M838">
        <v>-49.4056</v>
      </c>
      <c r="O838" t="s">
        <v>412</v>
      </c>
      <c r="P838">
        <v>-4.0720000000000001</v>
      </c>
      <c r="AI838" t="s">
        <v>766</v>
      </c>
      <c r="AJ838">
        <v>-0.7</v>
      </c>
      <c r="AM838" t="s">
        <v>679</v>
      </c>
      <c r="AN838">
        <v>-32.9</v>
      </c>
    </row>
    <row r="839" spans="12:40" x14ac:dyDescent="0.25">
      <c r="L839" t="s">
        <v>679</v>
      </c>
      <c r="M839">
        <v>-53.239999999999995</v>
      </c>
      <c r="O839" t="s">
        <v>585</v>
      </c>
      <c r="P839">
        <v>-30.5</v>
      </c>
      <c r="AI839" t="s">
        <v>108</v>
      </c>
      <c r="AJ839">
        <v>-2</v>
      </c>
      <c r="AM839" t="s">
        <v>268</v>
      </c>
      <c r="AN839">
        <v>-1.5</v>
      </c>
    </row>
    <row r="840" spans="12:40" x14ac:dyDescent="0.25">
      <c r="L840" t="s">
        <v>268</v>
      </c>
      <c r="M840">
        <v>-5.6</v>
      </c>
      <c r="O840" t="s">
        <v>578</v>
      </c>
      <c r="P840">
        <v>-159.25</v>
      </c>
      <c r="AI840" t="s">
        <v>0</v>
      </c>
      <c r="AJ840">
        <v>-50</v>
      </c>
      <c r="AM840" t="s">
        <v>688</v>
      </c>
      <c r="AN840">
        <v>-1</v>
      </c>
    </row>
    <row r="841" spans="12:40" x14ac:dyDescent="0.25">
      <c r="L841" t="s">
        <v>1369</v>
      </c>
      <c r="M841">
        <v>-3</v>
      </c>
      <c r="O841" t="s">
        <v>552</v>
      </c>
      <c r="P841">
        <v>-66</v>
      </c>
      <c r="AI841" t="s">
        <v>469</v>
      </c>
      <c r="AJ841">
        <v>-9</v>
      </c>
      <c r="AM841" t="s">
        <v>689</v>
      </c>
      <c r="AN841">
        <v>-2</v>
      </c>
    </row>
    <row r="842" spans="12:40" x14ac:dyDescent="0.25">
      <c r="L842" t="s">
        <v>1370</v>
      </c>
      <c r="M842">
        <v>-9</v>
      </c>
      <c r="O842" t="s">
        <v>567</v>
      </c>
      <c r="P842">
        <v>-3.3610000000000002</v>
      </c>
      <c r="AI842" t="s">
        <v>471</v>
      </c>
      <c r="AJ842">
        <v>-3</v>
      </c>
      <c r="AM842" t="s">
        <v>1632</v>
      </c>
      <c r="AN842">
        <v>-3</v>
      </c>
    </row>
    <row r="843" spans="12:40" x14ac:dyDescent="0.25">
      <c r="L843" t="s">
        <v>1371</v>
      </c>
      <c r="M843">
        <v>-3</v>
      </c>
      <c r="O843" t="s">
        <v>1368</v>
      </c>
      <c r="P843">
        <v>-40</v>
      </c>
      <c r="AI843" t="s">
        <v>1543</v>
      </c>
      <c r="AJ843">
        <v>-22</v>
      </c>
      <c r="AM843" t="s">
        <v>1372</v>
      </c>
      <c r="AN843">
        <v>-1</v>
      </c>
    </row>
    <row r="844" spans="12:40" x14ac:dyDescent="0.25">
      <c r="L844" t="s">
        <v>1372</v>
      </c>
      <c r="M844">
        <v>-2</v>
      </c>
      <c r="O844" t="s">
        <v>568</v>
      </c>
      <c r="P844">
        <v>-51.609999999999992</v>
      </c>
      <c r="AI844" t="s">
        <v>1544</v>
      </c>
      <c r="AJ844">
        <v>-32</v>
      </c>
      <c r="AM844" t="s">
        <v>1375</v>
      </c>
      <c r="AN844">
        <v>-4</v>
      </c>
    </row>
    <row r="845" spans="12:40" x14ac:dyDescent="0.25">
      <c r="L845" t="s">
        <v>1373</v>
      </c>
      <c r="M845">
        <v>-1</v>
      </c>
      <c r="O845" t="s">
        <v>1536</v>
      </c>
      <c r="P845">
        <v>-13.5</v>
      </c>
      <c r="AI845" t="s">
        <v>612</v>
      </c>
      <c r="AJ845">
        <v>-36</v>
      </c>
      <c r="AM845" t="s">
        <v>452</v>
      </c>
      <c r="AN845">
        <v>-3.58</v>
      </c>
    </row>
    <row r="846" spans="12:40" x14ac:dyDescent="0.25">
      <c r="L846" t="s">
        <v>70</v>
      </c>
      <c r="M846">
        <v>-3.01</v>
      </c>
      <c r="O846" t="s">
        <v>609</v>
      </c>
      <c r="P846">
        <v>-249.20000000000005</v>
      </c>
      <c r="AI846" t="s">
        <v>644</v>
      </c>
      <c r="AJ846">
        <v>-3</v>
      </c>
      <c r="AM846" t="s">
        <v>106</v>
      </c>
      <c r="AN846">
        <v>-6.0000000000000009</v>
      </c>
    </row>
    <row r="847" spans="12:40" x14ac:dyDescent="0.25">
      <c r="L847" t="s">
        <v>1374</v>
      </c>
      <c r="M847">
        <v>-8</v>
      </c>
      <c r="O847" t="s">
        <v>478</v>
      </c>
      <c r="P847">
        <v>-206.17</v>
      </c>
      <c r="AI847" t="s">
        <v>485</v>
      </c>
      <c r="AJ847">
        <v>-65.000000000000014</v>
      </c>
      <c r="AM847" t="s">
        <v>570</v>
      </c>
      <c r="AN847">
        <v>-0.46</v>
      </c>
    </row>
    <row r="848" spans="12:40" x14ac:dyDescent="0.25">
      <c r="L848" t="s">
        <v>1375</v>
      </c>
      <c r="M848">
        <v>-7</v>
      </c>
      <c r="O848" t="s">
        <v>1537</v>
      </c>
      <c r="P848">
        <v>-8.75</v>
      </c>
      <c r="AI848" t="s">
        <v>1718</v>
      </c>
      <c r="AJ848">
        <v>-194</v>
      </c>
      <c r="AM848" t="s">
        <v>71</v>
      </c>
      <c r="AN848">
        <v>-3.5</v>
      </c>
    </row>
    <row r="849" spans="12:40" x14ac:dyDescent="0.25">
      <c r="L849" t="s">
        <v>1376</v>
      </c>
      <c r="M849">
        <v>-2</v>
      </c>
      <c r="O849" t="s">
        <v>346</v>
      </c>
      <c r="P849">
        <v>-43.439999999999991</v>
      </c>
      <c r="AI849" t="s">
        <v>123</v>
      </c>
      <c r="AJ849">
        <v>-12</v>
      </c>
      <c r="AM849" t="s">
        <v>2521</v>
      </c>
      <c r="AN849">
        <v>-8</v>
      </c>
    </row>
    <row r="850" spans="12:40" x14ac:dyDescent="0.25">
      <c r="L850" t="s">
        <v>452</v>
      </c>
      <c r="M850">
        <v>-14.999499999999998</v>
      </c>
      <c r="O850" t="s">
        <v>679</v>
      </c>
      <c r="P850">
        <v>-20.783999999999999</v>
      </c>
      <c r="AI850" t="s">
        <v>740</v>
      </c>
      <c r="AJ850">
        <v>-3</v>
      </c>
      <c r="AM850" t="s">
        <v>2522</v>
      </c>
      <c r="AN850">
        <v>-0.5</v>
      </c>
    </row>
    <row r="851" spans="12:40" x14ac:dyDescent="0.25">
      <c r="L851" t="s">
        <v>106</v>
      </c>
      <c r="M851">
        <v>-3</v>
      </c>
      <c r="O851" t="s">
        <v>268</v>
      </c>
      <c r="P851">
        <v>-3.15</v>
      </c>
      <c r="AI851" t="s">
        <v>741</v>
      </c>
      <c r="AJ851">
        <v>-3</v>
      </c>
      <c r="AM851" t="s">
        <v>2523</v>
      </c>
      <c r="AN851">
        <v>-0.6</v>
      </c>
    </row>
    <row r="852" spans="12:40" x14ac:dyDescent="0.25">
      <c r="L852" t="s">
        <v>71</v>
      </c>
      <c r="M852">
        <v>-3.0000000000000004</v>
      </c>
      <c r="O852" t="s">
        <v>451</v>
      </c>
      <c r="P852">
        <v>-0.54</v>
      </c>
      <c r="AI852" t="s">
        <v>742</v>
      </c>
      <c r="AJ852">
        <v>-3</v>
      </c>
      <c r="AM852" t="s">
        <v>2524</v>
      </c>
      <c r="AN852">
        <v>-1</v>
      </c>
    </row>
    <row r="853" spans="12:40" x14ac:dyDescent="0.25">
      <c r="L853" t="s">
        <v>638</v>
      </c>
      <c r="M853">
        <v>-9</v>
      </c>
      <c r="O853" t="s">
        <v>1371</v>
      </c>
      <c r="P853">
        <v>-1</v>
      </c>
      <c r="AI853" t="s">
        <v>781</v>
      </c>
      <c r="AM853" t="s">
        <v>1538</v>
      </c>
      <c r="AN853">
        <v>-2.72</v>
      </c>
    </row>
    <row r="854" spans="12:40" x14ac:dyDescent="0.25">
      <c r="L854" t="s">
        <v>1377</v>
      </c>
      <c r="M854">
        <v>-2</v>
      </c>
      <c r="O854" t="s">
        <v>1372</v>
      </c>
      <c r="P854">
        <v>-4</v>
      </c>
      <c r="AI854" t="s">
        <v>782</v>
      </c>
      <c r="AJ854">
        <v>-84423.272499999992</v>
      </c>
      <c r="AM854" t="s">
        <v>638</v>
      </c>
      <c r="AN854">
        <v>-12</v>
      </c>
    </row>
    <row r="855" spans="12:40" x14ac:dyDescent="0.25">
      <c r="L855" t="s">
        <v>1378</v>
      </c>
      <c r="M855">
        <v>-30</v>
      </c>
      <c r="O855" t="s">
        <v>70</v>
      </c>
      <c r="P855">
        <v>-4.9999999999999991</v>
      </c>
      <c r="AM855" t="s">
        <v>694</v>
      </c>
      <c r="AN855">
        <v>-24.1</v>
      </c>
    </row>
    <row r="856" spans="12:40" x14ac:dyDescent="0.25">
      <c r="L856" t="s">
        <v>577</v>
      </c>
      <c r="M856">
        <v>-30</v>
      </c>
      <c r="O856" t="s">
        <v>1374</v>
      </c>
      <c r="P856">
        <v>-2.75</v>
      </c>
      <c r="AM856" t="s">
        <v>571</v>
      </c>
      <c r="AN856">
        <v>-18.239999999999998</v>
      </c>
    </row>
    <row r="857" spans="12:40" x14ac:dyDescent="0.25">
      <c r="L857" t="s">
        <v>572</v>
      </c>
      <c r="M857">
        <v>-12</v>
      </c>
      <c r="O857" t="s">
        <v>452</v>
      </c>
      <c r="P857">
        <v>-1</v>
      </c>
      <c r="AM857" t="s">
        <v>608</v>
      </c>
      <c r="AN857">
        <v>-4</v>
      </c>
    </row>
    <row r="858" spans="12:40" x14ac:dyDescent="0.25">
      <c r="L858" t="s">
        <v>503</v>
      </c>
      <c r="M858">
        <v>-86.940000000000012</v>
      </c>
      <c r="O858" t="s">
        <v>569</v>
      </c>
      <c r="P858">
        <v>-1.75</v>
      </c>
      <c r="AM858" t="s">
        <v>577</v>
      </c>
      <c r="AN858">
        <v>-44</v>
      </c>
    </row>
    <row r="859" spans="12:40" x14ac:dyDescent="0.25">
      <c r="L859" t="s">
        <v>1379</v>
      </c>
      <c r="M859">
        <v>-30.000000000000007</v>
      </c>
      <c r="O859" t="s">
        <v>106</v>
      </c>
      <c r="P859">
        <v>-1.5</v>
      </c>
      <c r="AM859" t="s">
        <v>698</v>
      </c>
      <c r="AN859">
        <v>-6</v>
      </c>
    </row>
    <row r="860" spans="12:40" x14ac:dyDescent="0.25">
      <c r="L860" t="s">
        <v>839</v>
      </c>
      <c r="M860">
        <v>-231</v>
      </c>
      <c r="O860" t="s">
        <v>570</v>
      </c>
      <c r="P860">
        <v>-0.48</v>
      </c>
      <c r="AM860" t="s">
        <v>572</v>
      </c>
      <c r="AN860">
        <v>-24.7</v>
      </c>
    </row>
    <row r="861" spans="12:40" x14ac:dyDescent="0.25">
      <c r="L861" t="s">
        <v>108</v>
      </c>
      <c r="M861">
        <v>-24.999999999999957</v>
      </c>
      <c r="O861" t="s">
        <v>71</v>
      </c>
      <c r="P861">
        <v>-3.4000000000000012</v>
      </c>
      <c r="AM861" t="s">
        <v>1799</v>
      </c>
      <c r="AN861">
        <v>-4</v>
      </c>
    </row>
    <row r="862" spans="12:40" x14ac:dyDescent="0.25">
      <c r="L862" t="s">
        <v>1103</v>
      </c>
      <c r="M862">
        <v>-3</v>
      </c>
      <c r="O862" t="s">
        <v>1538</v>
      </c>
      <c r="P862">
        <v>-1.5</v>
      </c>
      <c r="AM862" t="s">
        <v>1379</v>
      </c>
      <c r="AN862">
        <v>-28.23</v>
      </c>
    </row>
    <row r="863" spans="12:40" x14ac:dyDescent="0.25">
      <c r="L863" t="s">
        <v>469</v>
      </c>
      <c r="M863">
        <v>-6</v>
      </c>
      <c r="O863" t="s">
        <v>1539</v>
      </c>
      <c r="P863">
        <v>-2</v>
      </c>
      <c r="AM863" t="s">
        <v>504</v>
      </c>
      <c r="AN863">
        <v>-5</v>
      </c>
    </row>
    <row r="864" spans="12:40" x14ac:dyDescent="0.25">
      <c r="L864" t="s">
        <v>471</v>
      </c>
      <c r="M864">
        <v>-6</v>
      </c>
      <c r="O864" t="s">
        <v>692</v>
      </c>
      <c r="P864">
        <v>-25.199999999999996</v>
      </c>
      <c r="AM864" t="s">
        <v>839</v>
      </c>
      <c r="AN864">
        <v>-12</v>
      </c>
    </row>
    <row r="865" spans="12:40" x14ac:dyDescent="0.25">
      <c r="L865" t="s">
        <v>611</v>
      </c>
      <c r="M865">
        <v>-20.000000000000004</v>
      </c>
      <c r="O865" t="s">
        <v>694</v>
      </c>
      <c r="P865">
        <v>-95.33</v>
      </c>
      <c r="AM865" t="s">
        <v>108</v>
      </c>
      <c r="AN865">
        <v>-15</v>
      </c>
    </row>
    <row r="866" spans="12:40" x14ac:dyDescent="0.25">
      <c r="L866" t="s">
        <v>612</v>
      </c>
      <c r="M866">
        <v>-20</v>
      </c>
      <c r="O866" t="s">
        <v>571</v>
      </c>
      <c r="P866">
        <v>-19</v>
      </c>
      <c r="AM866" t="s">
        <v>0</v>
      </c>
      <c r="AN866">
        <v>-10</v>
      </c>
    </row>
    <row r="867" spans="12:40" x14ac:dyDescent="0.25">
      <c r="L867" t="s">
        <v>644</v>
      </c>
      <c r="M867">
        <v>-5</v>
      </c>
      <c r="O867" t="s">
        <v>608</v>
      </c>
      <c r="P867">
        <v>-1.3</v>
      </c>
      <c r="AM867" t="s">
        <v>469</v>
      </c>
      <c r="AN867">
        <v>-7</v>
      </c>
    </row>
    <row r="868" spans="12:40" x14ac:dyDescent="0.25">
      <c r="L868" t="s">
        <v>485</v>
      </c>
      <c r="M868">
        <v>-72.600000000000009</v>
      </c>
      <c r="O868" t="s">
        <v>1540</v>
      </c>
      <c r="P868">
        <v>-6</v>
      </c>
      <c r="AM868" t="s">
        <v>471</v>
      </c>
      <c r="AN868">
        <v>-2</v>
      </c>
    </row>
    <row r="869" spans="12:40" x14ac:dyDescent="0.25">
      <c r="L869" t="s">
        <v>123</v>
      </c>
      <c r="M869">
        <v>-17.999999999999996</v>
      </c>
      <c r="O869" t="s">
        <v>1541</v>
      </c>
      <c r="P869">
        <v>-5</v>
      </c>
      <c r="AM869" t="s">
        <v>1543</v>
      </c>
      <c r="AN869">
        <v>-11.000000000000002</v>
      </c>
    </row>
    <row r="870" spans="12:40" x14ac:dyDescent="0.25">
      <c r="L870" t="s">
        <v>486</v>
      </c>
      <c r="M870">
        <v>-14.000000000000002</v>
      </c>
      <c r="O870" t="s">
        <v>1542</v>
      </c>
      <c r="P870">
        <v>-3</v>
      </c>
      <c r="AM870" t="s">
        <v>1544</v>
      </c>
      <c r="AN870">
        <v>-11.000000000000002</v>
      </c>
    </row>
    <row r="871" spans="12:40" x14ac:dyDescent="0.25">
      <c r="L871" t="s">
        <v>740</v>
      </c>
      <c r="M871">
        <v>-6</v>
      </c>
      <c r="O871" t="s">
        <v>698</v>
      </c>
      <c r="P871">
        <v>-2.86</v>
      </c>
      <c r="AM871" t="s">
        <v>611</v>
      </c>
      <c r="AN871">
        <v>-19.999999999999996</v>
      </c>
    </row>
    <row r="872" spans="12:40" x14ac:dyDescent="0.25">
      <c r="L872" t="s">
        <v>741</v>
      </c>
      <c r="M872">
        <v>-4</v>
      </c>
      <c r="O872" t="s">
        <v>500</v>
      </c>
      <c r="P872">
        <v>-6.8999999999999995</v>
      </c>
      <c r="AM872" t="s">
        <v>612</v>
      </c>
      <c r="AN872">
        <v>-10</v>
      </c>
    </row>
    <row r="873" spans="12:40" x14ac:dyDescent="0.25">
      <c r="L873" t="s">
        <v>742</v>
      </c>
      <c r="M873">
        <v>-12</v>
      </c>
      <c r="O873" t="s">
        <v>572</v>
      </c>
      <c r="P873">
        <v>-87</v>
      </c>
      <c r="AM873" t="s">
        <v>644</v>
      </c>
      <c r="AN873">
        <v>-12</v>
      </c>
    </row>
    <row r="874" spans="12:40" x14ac:dyDescent="0.25">
      <c r="L874" t="s">
        <v>781</v>
      </c>
      <c r="O874" t="s">
        <v>503</v>
      </c>
      <c r="P874">
        <v>-8.8000000000000007</v>
      </c>
      <c r="AM874" t="s">
        <v>485</v>
      </c>
      <c r="AN874">
        <v>-37</v>
      </c>
    </row>
    <row r="875" spans="12:40" x14ac:dyDescent="0.25">
      <c r="L875" t="s">
        <v>782</v>
      </c>
      <c r="M875">
        <v>-68645.426400000011</v>
      </c>
      <c r="O875" t="s">
        <v>574</v>
      </c>
      <c r="P875">
        <v>-4.5599999999999996</v>
      </c>
      <c r="AM875" t="s">
        <v>123</v>
      </c>
      <c r="AN875">
        <v>-22</v>
      </c>
    </row>
    <row r="876" spans="12:40" x14ac:dyDescent="0.25">
      <c r="O876" t="s">
        <v>423</v>
      </c>
      <c r="P876">
        <v>-0.5</v>
      </c>
      <c r="AM876" t="s">
        <v>486</v>
      </c>
      <c r="AN876">
        <v>-10.999999999999998</v>
      </c>
    </row>
    <row r="877" spans="12:40" x14ac:dyDescent="0.25">
      <c r="O877" t="s">
        <v>504</v>
      </c>
      <c r="P877">
        <v>-14.339999999999998</v>
      </c>
      <c r="AM877" t="s">
        <v>740</v>
      </c>
      <c r="AN877">
        <v>-9</v>
      </c>
    </row>
    <row r="878" spans="12:40" x14ac:dyDescent="0.25">
      <c r="O878" t="s">
        <v>839</v>
      </c>
      <c r="P878">
        <v>-72</v>
      </c>
      <c r="AM878" t="s">
        <v>741</v>
      </c>
      <c r="AN878">
        <v>-9</v>
      </c>
    </row>
    <row r="879" spans="12:40" x14ac:dyDescent="0.25">
      <c r="O879" t="s">
        <v>766</v>
      </c>
      <c r="P879">
        <v>-0.42</v>
      </c>
      <c r="AM879" t="s">
        <v>742</v>
      </c>
      <c r="AN879">
        <v>-9</v>
      </c>
    </row>
    <row r="880" spans="12:40" x14ac:dyDescent="0.25">
      <c r="O880" t="s">
        <v>108</v>
      </c>
      <c r="P880">
        <v>-207.99999999999994</v>
      </c>
      <c r="AM880" t="s">
        <v>781</v>
      </c>
    </row>
    <row r="881" spans="15:40" x14ac:dyDescent="0.25">
      <c r="O881" t="s">
        <v>0</v>
      </c>
      <c r="P881">
        <v>-47</v>
      </c>
      <c r="AM881" t="s">
        <v>782</v>
      </c>
      <c r="AN881">
        <v>-52819.515599999962</v>
      </c>
    </row>
    <row r="882" spans="15:40" x14ac:dyDescent="0.25">
      <c r="O882" t="s">
        <v>469</v>
      </c>
      <c r="P882">
        <v>-4</v>
      </c>
    </row>
    <row r="883" spans="15:40" x14ac:dyDescent="0.25">
      <c r="O883" t="s">
        <v>1543</v>
      </c>
      <c r="P883">
        <v>-5</v>
      </c>
    </row>
    <row r="884" spans="15:40" x14ac:dyDescent="0.25">
      <c r="O884" t="s">
        <v>1544</v>
      </c>
      <c r="P884">
        <v>-6</v>
      </c>
    </row>
    <row r="885" spans="15:40" x14ac:dyDescent="0.25">
      <c r="O885" t="s">
        <v>612</v>
      </c>
      <c r="P885">
        <v>-40.000199999999992</v>
      </c>
    </row>
    <row r="886" spans="15:40" x14ac:dyDescent="0.25">
      <c r="O886" t="s">
        <v>644</v>
      </c>
      <c r="P886">
        <v>-12</v>
      </c>
    </row>
    <row r="887" spans="15:40" x14ac:dyDescent="0.25">
      <c r="O887" t="s">
        <v>485</v>
      </c>
      <c r="P887">
        <v>-30</v>
      </c>
    </row>
    <row r="888" spans="15:40" x14ac:dyDescent="0.25">
      <c r="O888" t="s">
        <v>123</v>
      </c>
      <c r="P888">
        <v>-29.000000000000004</v>
      </c>
    </row>
    <row r="889" spans="15:40" x14ac:dyDescent="0.25">
      <c r="O889" t="s">
        <v>486</v>
      </c>
      <c r="P889">
        <v>-9</v>
      </c>
    </row>
    <row r="890" spans="15:40" x14ac:dyDescent="0.25">
      <c r="O890" t="s">
        <v>740</v>
      </c>
      <c r="P890">
        <v>-3</v>
      </c>
    </row>
    <row r="891" spans="15:40" x14ac:dyDescent="0.25">
      <c r="O891" t="s">
        <v>741</v>
      </c>
      <c r="P891">
        <v>-4</v>
      </c>
    </row>
    <row r="892" spans="15:40" x14ac:dyDescent="0.25">
      <c r="O892" t="s">
        <v>742</v>
      </c>
      <c r="P892">
        <v>-1</v>
      </c>
    </row>
    <row r="893" spans="15:40" x14ac:dyDescent="0.25">
      <c r="O893" t="s">
        <v>781</v>
      </c>
    </row>
    <row r="894" spans="15:40" x14ac:dyDescent="0.25">
      <c r="O894" t="s">
        <v>782</v>
      </c>
      <c r="P894">
        <v>-69465.685499999978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54774-2AB1-4435-93D1-168E5FF0A599}">
  <dimension ref="A1:AC410"/>
  <sheetViews>
    <sheetView topLeftCell="P1" workbookViewId="0">
      <selection activeCell="AB2" sqref="AB2"/>
    </sheetView>
  </sheetViews>
  <sheetFormatPr defaultRowHeight="15" x14ac:dyDescent="0.25"/>
  <cols>
    <col min="1" max="1" width="22.85546875" customWidth="1"/>
    <col min="2" max="2" width="43.7109375" bestFit="1" customWidth="1"/>
    <col min="3" max="21" width="9.140625" style="1"/>
  </cols>
  <sheetData>
    <row r="1" spans="1:29" s="2" customFormat="1" ht="45" customHeight="1" x14ac:dyDescent="0.25">
      <c r="A1" s="2" t="s">
        <v>2525</v>
      </c>
      <c r="B1" s="2" t="s">
        <v>2526</v>
      </c>
      <c r="C1" s="3">
        <v>45658</v>
      </c>
      <c r="D1" s="3">
        <v>45689</v>
      </c>
      <c r="E1" s="3">
        <v>45717</v>
      </c>
      <c r="F1" s="3">
        <v>45748</v>
      </c>
      <c r="G1" s="3">
        <v>45778</v>
      </c>
      <c r="H1" s="3">
        <v>45809</v>
      </c>
      <c r="I1" s="3">
        <v>45839</v>
      </c>
      <c r="J1" s="3">
        <v>45870</v>
      </c>
      <c r="K1" s="3">
        <v>45901</v>
      </c>
      <c r="L1" s="3">
        <v>45931</v>
      </c>
      <c r="M1" s="3">
        <v>45962</v>
      </c>
      <c r="N1" s="3">
        <v>45992</v>
      </c>
      <c r="O1" s="3">
        <v>46023</v>
      </c>
      <c r="P1" s="3">
        <v>46054</v>
      </c>
      <c r="Q1" s="3">
        <v>46082</v>
      </c>
      <c r="R1" s="3">
        <v>46113</v>
      </c>
      <c r="S1" s="3">
        <v>46143</v>
      </c>
      <c r="T1" s="3">
        <v>46174</v>
      </c>
      <c r="U1" s="3" t="s">
        <v>3060</v>
      </c>
      <c r="V1" s="2" t="s">
        <v>3058</v>
      </c>
      <c r="W1" s="2" t="s">
        <v>3059</v>
      </c>
      <c r="X1" s="2" t="s">
        <v>3061</v>
      </c>
      <c r="Y1" s="2" t="s">
        <v>3062</v>
      </c>
      <c r="Z1" s="2" t="s">
        <v>3064</v>
      </c>
      <c r="AA1" s="2" t="s">
        <v>3063</v>
      </c>
      <c r="AB1" s="2" t="s">
        <v>3063</v>
      </c>
      <c r="AC1" s="2" t="s">
        <v>3065</v>
      </c>
    </row>
    <row r="2" spans="1:29" x14ac:dyDescent="0.25">
      <c r="A2" t="s">
        <v>402</v>
      </c>
      <c r="B2" t="s">
        <v>2527</v>
      </c>
      <c r="C2" s="4" t="s">
        <v>3057</v>
      </c>
      <c r="D2" s="4" t="s">
        <v>3057</v>
      </c>
      <c r="E2" s="4" t="s">
        <v>3057</v>
      </c>
      <c r="F2" s="4">
        <v>3000</v>
      </c>
      <c r="G2" s="4">
        <v>4430</v>
      </c>
      <c r="H2" s="4">
        <v>4821</v>
      </c>
      <c r="I2" s="4">
        <v>8079.9999999999973</v>
      </c>
      <c r="J2" s="4">
        <v>12240.999999999996</v>
      </c>
      <c r="K2" s="4">
        <v>7899.9999999999945</v>
      </c>
      <c r="L2" s="4">
        <v>2224</v>
      </c>
      <c r="M2" s="4">
        <v>3835.9999999999986</v>
      </c>
      <c r="N2" s="4">
        <v>150</v>
      </c>
      <c r="O2" s="4">
        <v>1200</v>
      </c>
      <c r="P2" s="4">
        <v>4013.9999999999995</v>
      </c>
      <c r="Q2" s="4">
        <v>5676.9999999999991</v>
      </c>
      <c r="R2" s="4">
        <v>3489</v>
      </c>
      <c r="S2" s="4">
        <v>9050</v>
      </c>
      <c r="T2" s="4">
        <v>3450.0000000000005</v>
      </c>
      <c r="U2" s="4">
        <f t="shared" ref="U2:U65" si="0">SUM(C2:T2)</f>
        <v>73561.999999999985</v>
      </c>
      <c r="V2" s="5">
        <f t="shared" ref="V2:V65" si="1">AVERAGE(C2:T2)</f>
        <v>4904.1333333333323</v>
      </c>
      <c r="W2" s="5">
        <f t="shared" ref="W2:W65" si="2">V2/30</f>
        <v>163.47111111111107</v>
      </c>
      <c r="X2" s="7">
        <f>U2/SUM($U$2:$U$410)</f>
        <v>0.1111437577202207</v>
      </c>
      <c r="Y2" s="7">
        <f>X2</f>
        <v>0.1111437577202207</v>
      </c>
      <c r="Z2" s="7">
        <f>_xlfn.STDEV.P(C2:T2)/AVERAGE(C2:T2)</f>
        <v>0.63198780191436787</v>
      </c>
      <c r="AA2" t="str">
        <f>IF(Y2&lt;=0.7,"A",IF(Y2&lt;=0.9,"B","C"))</f>
        <v>A</v>
      </c>
      <c r="AB2" t="str">
        <f>IF(Z2&lt;=0.5,"X",IF(Z2&lt;=1,"Y","Z"))</f>
        <v>Y</v>
      </c>
      <c r="AC2" t="str">
        <f>AA2&amp;AB2</f>
        <v>AY</v>
      </c>
    </row>
    <row r="3" spans="1:29" x14ac:dyDescent="0.25">
      <c r="A3" t="s">
        <v>586</v>
      </c>
      <c r="B3" t="s">
        <v>2548</v>
      </c>
      <c r="C3" s="4" t="s">
        <v>3057</v>
      </c>
      <c r="D3" s="4" t="s">
        <v>3057</v>
      </c>
      <c r="E3" s="4" t="s">
        <v>3057</v>
      </c>
      <c r="F3" s="4">
        <v>4300</v>
      </c>
      <c r="G3" s="4">
        <v>1005</v>
      </c>
      <c r="H3" s="4">
        <v>3200</v>
      </c>
      <c r="I3" s="4">
        <v>7800</v>
      </c>
      <c r="J3" s="4">
        <v>7893.9999999999982</v>
      </c>
      <c r="K3" s="4">
        <v>8183.0000000000009</v>
      </c>
      <c r="L3" s="4">
        <v>4000</v>
      </c>
      <c r="M3" s="4">
        <v>3738.0000000000005</v>
      </c>
      <c r="N3" s="4">
        <v>200</v>
      </c>
      <c r="O3" s="4">
        <v>1900</v>
      </c>
      <c r="P3" s="4">
        <v>3885.7499999999991</v>
      </c>
      <c r="Q3" s="4">
        <v>3966</v>
      </c>
      <c r="R3" s="4">
        <v>3204.9990000000007</v>
      </c>
      <c r="S3" s="4">
        <v>5798.3329999999978</v>
      </c>
      <c r="T3" s="4">
        <v>1100.6669999999999</v>
      </c>
      <c r="U3" s="4">
        <f t="shared" si="0"/>
        <v>60175.749000000003</v>
      </c>
      <c r="V3" s="5">
        <f t="shared" si="1"/>
        <v>4011.7166000000002</v>
      </c>
      <c r="W3" s="5">
        <f t="shared" si="2"/>
        <v>133.72388666666669</v>
      </c>
      <c r="X3" s="7">
        <f t="shared" ref="X3:X66" si="3">U3/SUM($U$2:$U$410)</f>
        <v>9.0918665445322511E-2</v>
      </c>
      <c r="Y3" s="7">
        <f>X3+Y2</f>
        <v>0.20206242316554321</v>
      </c>
      <c r="Z3" s="7">
        <f t="shared" ref="Z3:Z66" si="4">_xlfn.STDEV.P(C3:T3)/AVERAGE(C3:T3)</f>
        <v>0.60377426858279581</v>
      </c>
      <c r="AA3" t="str">
        <f t="shared" ref="AA3:AA66" si="5">IF(Y3&lt;=0.7,"A",IF(Y3&lt;=0.9,"B","C"))</f>
        <v>A</v>
      </c>
      <c r="AB3" t="str">
        <f t="shared" ref="AB3:AB66" si="6">IF(Z3&lt;=0.5,"X",IF(Z3&lt;=1,"Y","Z"))</f>
        <v>Y</v>
      </c>
      <c r="AC3" t="str">
        <f t="shared" ref="AC3:AC66" si="7">AA3&amp;AB3</f>
        <v>AY</v>
      </c>
    </row>
    <row r="4" spans="1:29" x14ac:dyDescent="0.25">
      <c r="A4" t="s">
        <v>408</v>
      </c>
      <c r="B4" t="s">
        <v>2528</v>
      </c>
      <c r="C4" s="4" t="s">
        <v>3057</v>
      </c>
      <c r="D4" s="4" t="s">
        <v>3057</v>
      </c>
      <c r="E4" s="4" t="s">
        <v>3057</v>
      </c>
      <c r="F4" s="4">
        <v>1580</v>
      </c>
      <c r="G4" s="4">
        <v>700</v>
      </c>
      <c r="H4" s="4">
        <v>2473.3335999999999</v>
      </c>
      <c r="I4" s="4">
        <v>3777.5</v>
      </c>
      <c r="J4" s="4">
        <v>4183.5</v>
      </c>
      <c r="K4" s="4">
        <v>2838.5000000000014</v>
      </c>
      <c r="L4" s="4">
        <v>1850</v>
      </c>
      <c r="M4" s="4">
        <v>2758</v>
      </c>
      <c r="N4" s="4">
        <v>392</v>
      </c>
      <c r="O4" s="4">
        <v>1000</v>
      </c>
      <c r="P4" s="4">
        <v>3933.0000000000014</v>
      </c>
      <c r="Q4" s="4">
        <v>5067</v>
      </c>
      <c r="R4" s="4">
        <v>4509.9999999999982</v>
      </c>
      <c r="S4" s="4">
        <v>9100.0000000000018</v>
      </c>
      <c r="T4" s="4">
        <v>1678.0000000000002</v>
      </c>
      <c r="U4" s="4">
        <f t="shared" si="0"/>
        <v>45840.833599999998</v>
      </c>
      <c r="V4" s="5">
        <f t="shared" si="1"/>
        <v>3056.0555733333331</v>
      </c>
      <c r="W4" s="5">
        <f t="shared" si="2"/>
        <v>101.8685191111111</v>
      </c>
      <c r="X4" s="7">
        <f t="shared" si="3"/>
        <v>6.92602499025496E-2</v>
      </c>
      <c r="Y4" s="7">
        <f>X4+Y3</f>
        <v>0.27132267306809282</v>
      </c>
      <c r="Z4" s="7">
        <f t="shared" si="4"/>
        <v>0.6973756241580692</v>
      </c>
      <c r="AA4" t="str">
        <f t="shared" si="5"/>
        <v>A</v>
      </c>
      <c r="AB4" t="str">
        <f t="shared" si="6"/>
        <v>Y</v>
      </c>
      <c r="AC4" t="str">
        <f t="shared" si="7"/>
        <v>AY</v>
      </c>
    </row>
    <row r="5" spans="1:29" x14ac:dyDescent="0.25">
      <c r="A5" t="s">
        <v>355</v>
      </c>
      <c r="B5" t="s">
        <v>2529</v>
      </c>
      <c r="C5" s="4">
        <v>2862</v>
      </c>
      <c r="D5" s="4">
        <v>3150</v>
      </c>
      <c r="E5" s="4">
        <v>3200.0007999999993</v>
      </c>
      <c r="F5" s="4">
        <v>656</v>
      </c>
      <c r="G5" s="4">
        <v>1183</v>
      </c>
      <c r="H5" s="4">
        <v>2149.0001000000002</v>
      </c>
      <c r="I5" s="4">
        <v>3138.9998999999998</v>
      </c>
      <c r="J5" s="4">
        <v>6278.0000000000018</v>
      </c>
      <c r="K5" s="4">
        <v>3599.9999999999995</v>
      </c>
      <c r="L5" s="4">
        <v>4162.0000000000009</v>
      </c>
      <c r="M5" s="4">
        <v>3100</v>
      </c>
      <c r="N5" s="4">
        <v>100</v>
      </c>
      <c r="O5" s="4">
        <v>1500</v>
      </c>
      <c r="P5" s="4">
        <v>800</v>
      </c>
      <c r="Q5" s="4">
        <v>2015</v>
      </c>
      <c r="R5" s="4">
        <v>3132</v>
      </c>
      <c r="S5" s="4">
        <v>2732</v>
      </c>
      <c r="T5" s="4">
        <v>1944.9999999999998</v>
      </c>
      <c r="U5" s="4">
        <f t="shared" si="0"/>
        <v>45703.000800000002</v>
      </c>
      <c r="V5" s="5">
        <f t="shared" si="1"/>
        <v>2539.0556000000001</v>
      </c>
      <c r="W5" s="5">
        <f t="shared" si="2"/>
        <v>84.635186666666669</v>
      </c>
      <c r="X5" s="7">
        <f t="shared" si="3"/>
        <v>6.9052000326286042E-2</v>
      </c>
      <c r="Y5" s="7">
        <f>X5+Y4</f>
        <v>0.34037467339437888</v>
      </c>
      <c r="Z5" s="7">
        <f t="shared" si="4"/>
        <v>0.55647685864498819</v>
      </c>
      <c r="AA5" t="str">
        <f t="shared" si="5"/>
        <v>A</v>
      </c>
      <c r="AB5" t="str">
        <f t="shared" si="6"/>
        <v>Y</v>
      </c>
      <c r="AC5" t="str">
        <f t="shared" si="7"/>
        <v>AY</v>
      </c>
    </row>
    <row r="6" spans="1:29" x14ac:dyDescent="0.25">
      <c r="A6" t="s">
        <v>354</v>
      </c>
      <c r="B6" t="s">
        <v>2532</v>
      </c>
      <c r="C6" s="4" t="s">
        <v>3057</v>
      </c>
      <c r="D6" s="4" t="s">
        <v>3057</v>
      </c>
      <c r="E6" s="4" t="s">
        <v>3057</v>
      </c>
      <c r="F6" s="4">
        <v>1400</v>
      </c>
      <c r="G6" s="4">
        <v>3046</v>
      </c>
      <c r="H6" s="4">
        <v>1080</v>
      </c>
      <c r="I6" s="4">
        <v>6007.0000000000009</v>
      </c>
      <c r="J6" s="4">
        <v>6512.9999999999973</v>
      </c>
      <c r="K6" s="4">
        <v>6345.4444999999942</v>
      </c>
      <c r="L6" s="4">
        <v>3656.9999999999977</v>
      </c>
      <c r="M6" s="4">
        <v>2000</v>
      </c>
      <c r="N6" s="4" t="s">
        <v>3057</v>
      </c>
      <c r="O6" s="4">
        <v>2200.0000000000009</v>
      </c>
      <c r="P6" s="4">
        <v>2416</v>
      </c>
      <c r="Q6" s="4">
        <v>3200</v>
      </c>
      <c r="R6" s="4">
        <v>3000</v>
      </c>
      <c r="S6" s="4">
        <v>2192</v>
      </c>
      <c r="T6" s="4">
        <v>200</v>
      </c>
      <c r="U6" s="4">
        <f t="shared" si="0"/>
        <v>43256.444499999983</v>
      </c>
      <c r="V6" s="5">
        <f t="shared" si="1"/>
        <v>3089.7460357142845</v>
      </c>
      <c r="W6" s="5">
        <f t="shared" si="2"/>
        <v>102.99153452380948</v>
      </c>
      <c r="X6" s="7">
        <f t="shared" si="3"/>
        <v>6.5355533935267829E-2</v>
      </c>
      <c r="Y6" s="7">
        <f>X6+Y5</f>
        <v>0.40573020732964671</v>
      </c>
      <c r="Z6" s="7">
        <f t="shared" si="4"/>
        <v>0.60953890484066042</v>
      </c>
      <c r="AA6" t="str">
        <f t="shared" si="5"/>
        <v>A</v>
      </c>
      <c r="AB6" t="str">
        <f t="shared" si="6"/>
        <v>Y</v>
      </c>
      <c r="AC6" t="str">
        <f t="shared" si="7"/>
        <v>AY</v>
      </c>
    </row>
    <row r="7" spans="1:29" x14ac:dyDescent="0.25">
      <c r="A7" t="s">
        <v>356</v>
      </c>
      <c r="B7" t="s">
        <v>2530</v>
      </c>
      <c r="C7" s="4" t="s">
        <v>3057</v>
      </c>
      <c r="D7" s="4" t="s">
        <v>3057</v>
      </c>
      <c r="E7" s="4" t="s">
        <v>3057</v>
      </c>
      <c r="F7" s="4">
        <v>950</v>
      </c>
      <c r="G7" s="4">
        <v>2950.0000000000005</v>
      </c>
      <c r="H7" s="4">
        <v>2126</v>
      </c>
      <c r="I7" s="4">
        <v>4320.3333000000021</v>
      </c>
      <c r="J7" s="4">
        <v>5769</v>
      </c>
      <c r="K7" s="4">
        <v>4400.4999999999973</v>
      </c>
      <c r="L7" s="4">
        <v>4336.9999999999982</v>
      </c>
      <c r="M7" s="4">
        <v>3200</v>
      </c>
      <c r="N7" s="4" t="s">
        <v>3057</v>
      </c>
      <c r="O7" s="4">
        <v>50</v>
      </c>
      <c r="P7" s="4">
        <v>2085.79</v>
      </c>
      <c r="Q7" s="4">
        <v>1235</v>
      </c>
      <c r="R7" s="4">
        <v>2499</v>
      </c>
      <c r="S7" s="4">
        <v>3169</v>
      </c>
      <c r="T7" s="4">
        <v>1550</v>
      </c>
      <c r="U7" s="4">
        <f t="shared" si="0"/>
        <v>38641.623299999999</v>
      </c>
      <c r="V7" s="5">
        <f t="shared" si="1"/>
        <v>2760.1159499999999</v>
      </c>
      <c r="W7" s="5">
        <f t="shared" si="2"/>
        <v>92.00386499999999</v>
      </c>
      <c r="X7" s="7">
        <f t="shared" si="3"/>
        <v>5.8383067588853428E-2</v>
      </c>
      <c r="Y7" s="7">
        <f t="shared" ref="Y7:Y70" si="8">X7+Y6</f>
        <v>0.46411327491850013</v>
      </c>
      <c r="Z7" s="7">
        <f t="shared" si="4"/>
        <v>0.55115106719815932</v>
      </c>
      <c r="AA7" t="str">
        <f t="shared" si="5"/>
        <v>A</v>
      </c>
      <c r="AB7" t="str">
        <f t="shared" si="6"/>
        <v>Y</v>
      </c>
      <c r="AC7" t="str">
        <f t="shared" si="7"/>
        <v>AY</v>
      </c>
    </row>
    <row r="8" spans="1:29" x14ac:dyDescent="0.25">
      <c r="A8" t="s">
        <v>404</v>
      </c>
      <c r="B8" t="s">
        <v>2535</v>
      </c>
      <c r="C8" s="4" t="s">
        <v>3057</v>
      </c>
      <c r="D8" s="4" t="s">
        <v>3057</v>
      </c>
      <c r="E8" s="4" t="s">
        <v>3057</v>
      </c>
      <c r="F8" s="4">
        <v>800.66640000000007</v>
      </c>
      <c r="G8" s="4">
        <v>1000</v>
      </c>
      <c r="H8" s="4">
        <v>1000</v>
      </c>
      <c r="I8" s="4">
        <v>2200.333599999999</v>
      </c>
      <c r="J8" s="4">
        <v>5488.0000000000036</v>
      </c>
      <c r="K8" s="4">
        <v>4694.4444999999969</v>
      </c>
      <c r="L8" s="4">
        <v>1529.9999999999993</v>
      </c>
      <c r="M8" s="4">
        <v>339</v>
      </c>
      <c r="N8" s="4" t="s">
        <v>3057</v>
      </c>
      <c r="O8" s="4" t="s">
        <v>3057</v>
      </c>
      <c r="P8" s="4">
        <v>1220</v>
      </c>
      <c r="Q8" s="4">
        <v>1500</v>
      </c>
      <c r="R8" s="4">
        <v>2280</v>
      </c>
      <c r="S8" s="4">
        <v>428.57099999999997</v>
      </c>
      <c r="T8" s="4">
        <v>1099.4290000000001</v>
      </c>
      <c r="U8" s="4">
        <f t="shared" si="0"/>
        <v>23580.444500000001</v>
      </c>
      <c r="V8" s="5">
        <f t="shared" si="1"/>
        <v>1813.8803461538462</v>
      </c>
      <c r="W8" s="5">
        <f t="shared" si="2"/>
        <v>60.462678205128206</v>
      </c>
      <c r="X8" s="7">
        <f t="shared" si="3"/>
        <v>3.5627351219965631E-2</v>
      </c>
      <c r="Y8" s="7">
        <f t="shared" si="8"/>
        <v>0.49974062613846576</v>
      </c>
      <c r="Z8" s="7">
        <f t="shared" si="4"/>
        <v>0.8326115779118114</v>
      </c>
      <c r="AA8" t="str">
        <f t="shared" si="5"/>
        <v>A</v>
      </c>
      <c r="AB8" t="str">
        <f t="shared" si="6"/>
        <v>Y</v>
      </c>
      <c r="AC8" t="str">
        <f t="shared" si="7"/>
        <v>AY</v>
      </c>
    </row>
    <row r="9" spans="1:29" x14ac:dyDescent="0.25">
      <c r="A9" t="s">
        <v>403</v>
      </c>
      <c r="B9" t="s">
        <v>2531</v>
      </c>
      <c r="C9" s="4" t="s">
        <v>3057</v>
      </c>
      <c r="D9" s="4" t="s">
        <v>3057</v>
      </c>
      <c r="E9" s="4" t="s">
        <v>3057</v>
      </c>
      <c r="F9" s="4">
        <v>800</v>
      </c>
      <c r="G9" s="4">
        <v>66.666799999999995</v>
      </c>
      <c r="H9" s="4">
        <v>1853.3334</v>
      </c>
      <c r="I9" s="4">
        <v>2120.9998000000001</v>
      </c>
      <c r="J9" s="4">
        <v>2600</v>
      </c>
      <c r="K9" s="4">
        <v>1900.0000000000005</v>
      </c>
      <c r="L9" s="4">
        <v>1030</v>
      </c>
      <c r="M9" s="4">
        <v>917</v>
      </c>
      <c r="N9" s="4">
        <v>150</v>
      </c>
      <c r="O9" s="4">
        <v>400</v>
      </c>
      <c r="P9" s="4">
        <v>2499.9999999999995</v>
      </c>
      <c r="Q9" s="4">
        <v>1100</v>
      </c>
      <c r="R9" s="4">
        <v>2732.9999999999995</v>
      </c>
      <c r="S9" s="4">
        <v>4136</v>
      </c>
      <c r="T9" s="4">
        <v>50</v>
      </c>
      <c r="U9" s="4">
        <f t="shared" si="0"/>
        <v>22357</v>
      </c>
      <c r="V9" s="5">
        <f t="shared" si="1"/>
        <v>1490.4666666666667</v>
      </c>
      <c r="W9" s="5">
        <f t="shared" si="2"/>
        <v>49.682222222222222</v>
      </c>
      <c r="X9" s="7">
        <f t="shared" si="3"/>
        <v>3.3778866688656844E-2</v>
      </c>
      <c r="Y9" s="7">
        <f t="shared" si="8"/>
        <v>0.53351949282712263</v>
      </c>
      <c r="Z9" s="7">
        <f t="shared" si="4"/>
        <v>0.76983065665149464</v>
      </c>
      <c r="AA9" t="str">
        <f t="shared" si="5"/>
        <v>A</v>
      </c>
      <c r="AB9" t="str">
        <f t="shared" si="6"/>
        <v>Y</v>
      </c>
      <c r="AC9" t="str">
        <f t="shared" si="7"/>
        <v>AY</v>
      </c>
    </row>
    <row r="10" spans="1:29" x14ac:dyDescent="0.25">
      <c r="A10" t="s">
        <v>492</v>
      </c>
      <c r="B10" t="s">
        <v>2533</v>
      </c>
      <c r="C10" s="4" t="s">
        <v>3057</v>
      </c>
      <c r="D10" s="4" t="s">
        <v>3057</v>
      </c>
      <c r="E10" s="4" t="s">
        <v>3057</v>
      </c>
      <c r="F10" s="4">
        <v>1100</v>
      </c>
      <c r="G10" s="4">
        <v>1500.0001999999999</v>
      </c>
      <c r="H10" s="4">
        <v>1689.9997999999998</v>
      </c>
      <c r="I10" s="4">
        <v>1260</v>
      </c>
      <c r="J10" s="4">
        <v>2421.0000000000014</v>
      </c>
      <c r="K10" s="4">
        <v>1532.0000000000002</v>
      </c>
      <c r="L10" s="4">
        <v>3265.9999999999995</v>
      </c>
      <c r="M10" s="4">
        <v>318</v>
      </c>
      <c r="N10" s="4" t="s">
        <v>3057</v>
      </c>
      <c r="O10" s="4">
        <v>1116</v>
      </c>
      <c r="P10" s="4">
        <v>1957.1500000000003</v>
      </c>
      <c r="Q10" s="4">
        <v>772</v>
      </c>
      <c r="R10" s="4">
        <v>2228</v>
      </c>
      <c r="S10" s="4">
        <v>2150</v>
      </c>
      <c r="T10" s="4" t="s">
        <v>3057</v>
      </c>
      <c r="U10" s="4">
        <f t="shared" si="0"/>
        <v>21310.15</v>
      </c>
      <c r="V10" s="5">
        <f t="shared" si="1"/>
        <v>1639.2423076923078</v>
      </c>
      <c r="W10" s="5">
        <f t="shared" si="2"/>
        <v>54.641410256410261</v>
      </c>
      <c r="X10" s="7">
        <f t="shared" si="3"/>
        <v>3.2197196223343057E-2</v>
      </c>
      <c r="Y10" s="7">
        <f t="shared" si="8"/>
        <v>0.56571668905046568</v>
      </c>
      <c r="Z10" s="7">
        <f t="shared" si="4"/>
        <v>0.45417521051650089</v>
      </c>
      <c r="AA10" t="str">
        <f t="shared" si="5"/>
        <v>A</v>
      </c>
      <c r="AB10" t="str">
        <f t="shared" si="6"/>
        <v>X</v>
      </c>
      <c r="AC10" t="str">
        <f t="shared" si="7"/>
        <v>AX</v>
      </c>
    </row>
    <row r="11" spans="1:29" x14ac:dyDescent="0.25">
      <c r="A11" t="s">
        <v>79</v>
      </c>
      <c r="B11" t="s">
        <v>2536</v>
      </c>
      <c r="C11" s="4">
        <v>3400</v>
      </c>
      <c r="D11" s="4">
        <v>300</v>
      </c>
      <c r="E11" s="4">
        <v>1868</v>
      </c>
      <c r="F11" s="4">
        <v>24</v>
      </c>
      <c r="G11" s="4">
        <v>305</v>
      </c>
      <c r="H11" s="4">
        <v>880</v>
      </c>
      <c r="I11" s="4">
        <v>1690.0001</v>
      </c>
      <c r="J11" s="4">
        <v>927.99990000000025</v>
      </c>
      <c r="K11" s="4">
        <v>1500</v>
      </c>
      <c r="L11" s="4">
        <v>1700.0000000000016</v>
      </c>
      <c r="M11" s="4">
        <v>200</v>
      </c>
      <c r="N11" s="4">
        <v>100</v>
      </c>
      <c r="O11" s="4">
        <v>500</v>
      </c>
      <c r="P11" s="4">
        <v>43</v>
      </c>
      <c r="Q11" s="4">
        <v>260</v>
      </c>
      <c r="R11" s="4">
        <v>1367</v>
      </c>
      <c r="S11" s="4">
        <v>1750</v>
      </c>
      <c r="T11" s="4">
        <v>450</v>
      </c>
      <c r="U11" s="4">
        <f t="shared" si="0"/>
        <v>17265</v>
      </c>
      <c r="V11" s="5">
        <f t="shared" si="1"/>
        <v>959.16666666666663</v>
      </c>
      <c r="W11" s="5">
        <f t="shared" si="2"/>
        <v>31.972222222222221</v>
      </c>
      <c r="X11" s="7">
        <f t="shared" si="3"/>
        <v>2.6085437821696131E-2</v>
      </c>
      <c r="Y11" s="7">
        <f t="shared" si="8"/>
        <v>0.59180212687216183</v>
      </c>
      <c r="Z11" s="7">
        <f t="shared" si="4"/>
        <v>0.91312967916934695</v>
      </c>
      <c r="AA11" t="str">
        <f t="shared" si="5"/>
        <v>A</v>
      </c>
      <c r="AB11" t="str">
        <f t="shared" si="6"/>
        <v>Y</v>
      </c>
      <c r="AC11" t="str">
        <f t="shared" si="7"/>
        <v>AY</v>
      </c>
    </row>
    <row r="12" spans="1:29" x14ac:dyDescent="0.25">
      <c r="A12" t="s">
        <v>359</v>
      </c>
      <c r="B12" t="s">
        <v>2534</v>
      </c>
      <c r="C12" s="4" t="s">
        <v>3057</v>
      </c>
      <c r="D12" s="4" t="s">
        <v>3057</v>
      </c>
      <c r="E12" s="4" t="s">
        <v>3057</v>
      </c>
      <c r="F12" s="4">
        <v>529.99939999999992</v>
      </c>
      <c r="G12" s="4">
        <v>800</v>
      </c>
      <c r="H12" s="4">
        <v>860</v>
      </c>
      <c r="I12" s="4">
        <v>1550</v>
      </c>
      <c r="J12" s="4">
        <v>1058.9999999999995</v>
      </c>
      <c r="K12" s="4">
        <v>894.00000000000023</v>
      </c>
      <c r="L12" s="4">
        <v>660.99999999999989</v>
      </c>
      <c r="M12" s="4">
        <v>655</v>
      </c>
      <c r="N12" s="4">
        <v>80</v>
      </c>
      <c r="O12" s="4">
        <v>340</v>
      </c>
      <c r="P12" s="4">
        <v>1420</v>
      </c>
      <c r="Q12" s="4">
        <v>650</v>
      </c>
      <c r="R12" s="4">
        <v>2090</v>
      </c>
      <c r="S12" s="4">
        <v>1600</v>
      </c>
      <c r="T12" s="4">
        <v>240</v>
      </c>
      <c r="U12" s="4">
        <f t="shared" si="0"/>
        <v>13428.999399999999</v>
      </c>
      <c r="V12" s="5">
        <f t="shared" si="1"/>
        <v>895.26662666666664</v>
      </c>
      <c r="W12" s="5">
        <f t="shared" si="2"/>
        <v>29.842220888888889</v>
      </c>
      <c r="X12" s="7">
        <f t="shared" si="3"/>
        <v>2.0289680211774956E-2</v>
      </c>
      <c r="Y12" s="7">
        <f t="shared" si="8"/>
        <v>0.61209180708393673</v>
      </c>
      <c r="Z12" s="7">
        <f t="shared" si="4"/>
        <v>0.60315346818858051</v>
      </c>
      <c r="AA12" t="str">
        <f t="shared" si="5"/>
        <v>A</v>
      </c>
      <c r="AB12" t="str">
        <f t="shared" si="6"/>
        <v>Y</v>
      </c>
      <c r="AC12" t="str">
        <f t="shared" si="7"/>
        <v>AY</v>
      </c>
    </row>
    <row r="13" spans="1:29" x14ac:dyDescent="0.25">
      <c r="A13" t="s">
        <v>409</v>
      </c>
      <c r="B13" t="s">
        <v>2537</v>
      </c>
      <c r="C13" s="4" t="s">
        <v>3057</v>
      </c>
      <c r="D13" s="4" t="s">
        <v>3057</v>
      </c>
      <c r="E13" s="4" t="s">
        <v>3057</v>
      </c>
      <c r="F13" s="4">
        <v>700</v>
      </c>
      <c r="G13" s="4">
        <v>200</v>
      </c>
      <c r="H13" s="4">
        <v>873.99999999999989</v>
      </c>
      <c r="I13" s="4">
        <v>640</v>
      </c>
      <c r="J13" s="4">
        <v>1239.5460999999993</v>
      </c>
      <c r="K13" s="4">
        <v>1200.4539</v>
      </c>
      <c r="L13" s="4">
        <v>1705.9999999999995</v>
      </c>
      <c r="M13" s="4">
        <v>596.00000000000011</v>
      </c>
      <c r="N13" s="4" t="s">
        <v>3057</v>
      </c>
      <c r="O13" s="4">
        <v>300</v>
      </c>
      <c r="P13" s="4">
        <v>1607.72</v>
      </c>
      <c r="Q13" s="4">
        <v>650</v>
      </c>
      <c r="R13" s="4">
        <v>1240.0000000000007</v>
      </c>
      <c r="S13" s="4">
        <v>1175</v>
      </c>
      <c r="T13" s="4">
        <v>39</v>
      </c>
      <c r="U13" s="4">
        <f t="shared" si="0"/>
        <v>12167.72</v>
      </c>
      <c r="V13" s="5">
        <f t="shared" si="1"/>
        <v>869.12285714285713</v>
      </c>
      <c r="W13" s="5">
        <f t="shared" si="2"/>
        <v>28.970761904761904</v>
      </c>
      <c r="X13" s="7">
        <f t="shared" si="3"/>
        <v>1.8384031479398114E-2</v>
      </c>
      <c r="Y13" s="7">
        <f t="shared" si="8"/>
        <v>0.63047583856333489</v>
      </c>
      <c r="Z13" s="7">
        <f t="shared" si="4"/>
        <v>0.56605140427927936</v>
      </c>
      <c r="AA13" t="str">
        <f t="shared" si="5"/>
        <v>A</v>
      </c>
      <c r="AB13" t="str">
        <f t="shared" si="6"/>
        <v>Y</v>
      </c>
      <c r="AC13" t="str">
        <f t="shared" si="7"/>
        <v>AY</v>
      </c>
    </row>
    <row r="14" spans="1:29" x14ac:dyDescent="0.25">
      <c r="A14" t="s">
        <v>488</v>
      </c>
      <c r="B14" t="s">
        <v>2539</v>
      </c>
      <c r="C14" s="4" t="s">
        <v>3057</v>
      </c>
      <c r="D14" s="4" t="s">
        <v>3057</v>
      </c>
      <c r="E14" s="4" t="s">
        <v>3057</v>
      </c>
      <c r="F14" s="4" t="s">
        <v>3057</v>
      </c>
      <c r="G14" s="4" t="s">
        <v>3057</v>
      </c>
      <c r="H14" s="4">
        <v>900.00029999999992</v>
      </c>
      <c r="I14" s="4">
        <v>2233.3350999999998</v>
      </c>
      <c r="J14" s="4" t="s">
        <v>3057</v>
      </c>
      <c r="K14" s="4">
        <v>2366.6645999999992</v>
      </c>
      <c r="L14" s="4">
        <v>999.99999999999977</v>
      </c>
      <c r="M14" s="4">
        <v>0</v>
      </c>
      <c r="N14" s="4" t="s">
        <v>3057</v>
      </c>
      <c r="O14" s="4" t="s">
        <v>3057</v>
      </c>
      <c r="P14" s="4">
        <v>1000</v>
      </c>
      <c r="Q14" s="4">
        <v>1000</v>
      </c>
      <c r="R14" s="4">
        <v>1000</v>
      </c>
      <c r="S14" s="4">
        <v>1142</v>
      </c>
      <c r="T14" s="4" t="s">
        <v>3057</v>
      </c>
      <c r="U14" s="4">
        <f t="shared" si="0"/>
        <v>10642</v>
      </c>
      <c r="V14" s="5">
        <f t="shared" si="1"/>
        <v>1182.4444444444443</v>
      </c>
      <c r="W14" s="5">
        <f t="shared" si="2"/>
        <v>39.414814814814811</v>
      </c>
      <c r="X14" s="7">
        <f t="shared" si="3"/>
        <v>1.6078843284013336E-2</v>
      </c>
      <c r="Y14" s="7">
        <f t="shared" si="8"/>
        <v>0.64655468184734821</v>
      </c>
      <c r="Z14" s="7">
        <f t="shared" si="4"/>
        <v>0.57216209293914988</v>
      </c>
      <c r="AA14" t="str">
        <f t="shared" si="5"/>
        <v>A</v>
      </c>
      <c r="AB14" t="str">
        <f t="shared" si="6"/>
        <v>Y</v>
      </c>
      <c r="AC14" t="str">
        <f t="shared" si="7"/>
        <v>AY</v>
      </c>
    </row>
    <row r="15" spans="1:29" x14ac:dyDescent="0.25">
      <c r="A15" t="s">
        <v>407</v>
      </c>
      <c r="B15" t="s">
        <v>2554</v>
      </c>
      <c r="C15" s="4" t="s">
        <v>3057</v>
      </c>
      <c r="D15" s="4" t="s">
        <v>3057</v>
      </c>
      <c r="E15" s="4" t="s">
        <v>3057</v>
      </c>
      <c r="F15" s="4" t="s">
        <v>3057</v>
      </c>
      <c r="G15" s="4">
        <v>315</v>
      </c>
      <c r="H15" s="4">
        <v>460</v>
      </c>
      <c r="I15" s="4">
        <v>295</v>
      </c>
      <c r="J15" s="4">
        <v>1715.3332000000012</v>
      </c>
      <c r="K15" s="4">
        <v>800</v>
      </c>
      <c r="L15" s="4">
        <v>3385.9999999999995</v>
      </c>
      <c r="M15" s="4">
        <v>1472.9999999999998</v>
      </c>
      <c r="N15" s="4" t="s">
        <v>3057</v>
      </c>
      <c r="O15" s="4">
        <v>100</v>
      </c>
      <c r="P15" s="4" t="s">
        <v>3057</v>
      </c>
      <c r="Q15" s="4">
        <v>350</v>
      </c>
      <c r="R15" s="4">
        <v>900</v>
      </c>
      <c r="S15" s="4">
        <v>49.999099999999999</v>
      </c>
      <c r="T15" s="4">
        <v>168.0009</v>
      </c>
      <c r="U15" s="4">
        <f t="shared" si="0"/>
        <v>10012.333200000001</v>
      </c>
      <c r="V15" s="5">
        <f t="shared" si="1"/>
        <v>834.36110000000008</v>
      </c>
      <c r="W15" s="5">
        <f t="shared" si="2"/>
        <v>27.812036666666668</v>
      </c>
      <c r="X15" s="7">
        <f t="shared" si="3"/>
        <v>1.5127488858308941E-2</v>
      </c>
      <c r="Y15" s="7">
        <f t="shared" si="8"/>
        <v>0.66168217070565716</v>
      </c>
      <c r="Z15" s="7">
        <f t="shared" si="4"/>
        <v>1.1068370195606712</v>
      </c>
      <c r="AA15" t="str">
        <f t="shared" si="5"/>
        <v>A</v>
      </c>
      <c r="AB15" t="str">
        <f t="shared" si="6"/>
        <v>Z</v>
      </c>
      <c r="AC15" t="str">
        <f t="shared" si="7"/>
        <v>AZ</v>
      </c>
    </row>
    <row r="16" spans="1:29" x14ac:dyDescent="0.25">
      <c r="A16" t="s">
        <v>406</v>
      </c>
      <c r="B16" t="s">
        <v>2538</v>
      </c>
      <c r="C16" s="4" t="s">
        <v>3057</v>
      </c>
      <c r="D16" s="4" t="s">
        <v>3057</v>
      </c>
      <c r="E16" s="4" t="s">
        <v>3057</v>
      </c>
      <c r="F16" s="4">
        <v>397</v>
      </c>
      <c r="G16" s="4">
        <v>938</v>
      </c>
      <c r="H16" s="4">
        <v>425</v>
      </c>
      <c r="I16" s="4">
        <v>449</v>
      </c>
      <c r="J16" s="4">
        <v>1955</v>
      </c>
      <c r="K16" s="4">
        <v>1724</v>
      </c>
      <c r="L16" s="4">
        <v>10</v>
      </c>
      <c r="M16" s="4">
        <v>466</v>
      </c>
      <c r="N16" s="4">
        <v>133</v>
      </c>
      <c r="O16" s="4">
        <v>50</v>
      </c>
      <c r="P16" s="4">
        <v>786</v>
      </c>
      <c r="Q16" s="4">
        <v>390</v>
      </c>
      <c r="R16" s="4">
        <v>480</v>
      </c>
      <c r="S16" s="4">
        <v>1160</v>
      </c>
      <c r="T16" s="4">
        <v>510</v>
      </c>
      <c r="U16" s="4">
        <f t="shared" si="0"/>
        <v>9873</v>
      </c>
      <c r="V16" s="5">
        <f t="shared" si="1"/>
        <v>658.2</v>
      </c>
      <c r="W16" s="5">
        <f t="shared" si="2"/>
        <v>21.94</v>
      </c>
      <c r="X16" s="7">
        <f t="shared" si="3"/>
        <v>1.4916972349470368E-2</v>
      </c>
      <c r="Y16" s="7">
        <f t="shared" si="8"/>
        <v>0.67659914305512747</v>
      </c>
      <c r="Z16" s="7">
        <f t="shared" si="4"/>
        <v>0.83758157677258072</v>
      </c>
      <c r="AA16" t="str">
        <f t="shared" si="5"/>
        <v>A</v>
      </c>
      <c r="AB16" t="str">
        <f t="shared" si="6"/>
        <v>Y</v>
      </c>
      <c r="AC16" t="str">
        <f t="shared" si="7"/>
        <v>AY</v>
      </c>
    </row>
    <row r="17" spans="1:29" x14ac:dyDescent="0.25">
      <c r="A17" t="s">
        <v>494</v>
      </c>
      <c r="B17" t="s">
        <v>2558</v>
      </c>
      <c r="C17" s="4" t="s">
        <v>3057</v>
      </c>
      <c r="D17" s="4" t="s">
        <v>3057</v>
      </c>
      <c r="E17" s="4" t="s">
        <v>3057</v>
      </c>
      <c r="F17" s="4" t="s">
        <v>3057</v>
      </c>
      <c r="G17" s="4">
        <v>100</v>
      </c>
      <c r="H17" s="4" t="s">
        <v>3057</v>
      </c>
      <c r="I17" s="4">
        <v>2199.9999999999991</v>
      </c>
      <c r="J17" s="4">
        <v>1103.9999999999995</v>
      </c>
      <c r="K17" s="4">
        <v>2640.0000000000005</v>
      </c>
      <c r="L17" s="4">
        <v>829.00000000000023</v>
      </c>
      <c r="M17" s="4">
        <v>200</v>
      </c>
      <c r="N17" s="4" t="s">
        <v>3057</v>
      </c>
      <c r="O17" s="4" t="s">
        <v>3057</v>
      </c>
      <c r="P17" s="4">
        <v>800</v>
      </c>
      <c r="Q17" s="4">
        <v>400</v>
      </c>
      <c r="R17" s="4">
        <v>800</v>
      </c>
      <c r="S17" s="4" t="s">
        <v>3057</v>
      </c>
      <c r="T17" s="4" t="s">
        <v>3057</v>
      </c>
      <c r="U17" s="4">
        <f t="shared" si="0"/>
        <v>9073</v>
      </c>
      <c r="V17" s="5">
        <f t="shared" si="1"/>
        <v>1008.1111111111111</v>
      </c>
      <c r="W17" s="5">
        <f t="shared" si="2"/>
        <v>33.603703703703701</v>
      </c>
      <c r="X17" s="7">
        <f t="shared" si="3"/>
        <v>1.3708263965030351E-2</v>
      </c>
      <c r="Y17" s="7">
        <f t="shared" si="8"/>
        <v>0.6903074070201578</v>
      </c>
      <c r="Z17" s="7">
        <f t="shared" si="4"/>
        <v>0.81390393019817708</v>
      </c>
      <c r="AA17" t="str">
        <f t="shared" si="5"/>
        <v>A</v>
      </c>
      <c r="AB17" t="str">
        <f t="shared" si="6"/>
        <v>Y</v>
      </c>
      <c r="AC17" t="str">
        <f t="shared" si="7"/>
        <v>AY</v>
      </c>
    </row>
    <row r="18" spans="1:29" x14ac:dyDescent="0.25">
      <c r="A18" t="s">
        <v>358</v>
      </c>
      <c r="B18" t="s">
        <v>2544</v>
      </c>
      <c r="C18" s="4" t="s">
        <v>3057</v>
      </c>
      <c r="D18" s="4" t="s">
        <v>3057</v>
      </c>
      <c r="E18" s="4" t="s">
        <v>3057</v>
      </c>
      <c r="F18" s="4">
        <v>101</v>
      </c>
      <c r="G18" s="4">
        <v>115</v>
      </c>
      <c r="H18" s="4">
        <v>540</v>
      </c>
      <c r="I18" s="4">
        <v>1340</v>
      </c>
      <c r="J18" s="4">
        <v>1470.9999999999986</v>
      </c>
      <c r="K18" s="4">
        <v>1160</v>
      </c>
      <c r="L18" s="4">
        <v>400</v>
      </c>
      <c r="M18" s="4">
        <v>591</v>
      </c>
      <c r="N18" s="4" t="s">
        <v>3057</v>
      </c>
      <c r="O18" s="4" t="s">
        <v>3057</v>
      </c>
      <c r="P18" s="4">
        <v>900.00000000000011</v>
      </c>
      <c r="Q18" s="4">
        <v>262</v>
      </c>
      <c r="R18" s="4">
        <v>1060</v>
      </c>
      <c r="S18" s="4">
        <v>300</v>
      </c>
      <c r="T18" s="4">
        <v>706.00000000000023</v>
      </c>
      <c r="U18" s="4">
        <f t="shared" si="0"/>
        <v>8945.9999999999982</v>
      </c>
      <c r="V18" s="5">
        <f t="shared" si="1"/>
        <v>688.15384615384596</v>
      </c>
      <c r="W18" s="5">
        <f t="shared" si="2"/>
        <v>22.938461538461532</v>
      </c>
      <c r="X18" s="7">
        <f t="shared" si="3"/>
        <v>1.3516381509000495E-2</v>
      </c>
      <c r="Y18" s="7">
        <f t="shared" si="8"/>
        <v>0.70382378852915828</v>
      </c>
      <c r="Z18" s="7">
        <f t="shared" si="4"/>
        <v>0.64533492089803068</v>
      </c>
      <c r="AA18" t="str">
        <f t="shared" si="5"/>
        <v>B</v>
      </c>
      <c r="AB18" t="str">
        <f t="shared" si="6"/>
        <v>Y</v>
      </c>
      <c r="AC18" t="str">
        <f t="shared" si="7"/>
        <v>BY</v>
      </c>
    </row>
    <row r="19" spans="1:29" x14ac:dyDescent="0.25">
      <c r="A19" t="s">
        <v>405</v>
      </c>
      <c r="B19" t="s">
        <v>2550</v>
      </c>
      <c r="C19" s="4" t="s">
        <v>3057</v>
      </c>
      <c r="D19" s="4" t="s">
        <v>3057</v>
      </c>
      <c r="E19" s="4" t="s">
        <v>3057</v>
      </c>
      <c r="F19" s="4">
        <v>398</v>
      </c>
      <c r="G19" s="4">
        <v>200</v>
      </c>
      <c r="H19" s="4">
        <v>500.00019999999995</v>
      </c>
      <c r="I19" s="4">
        <v>1001.9997999999999</v>
      </c>
      <c r="J19" s="4">
        <v>1060</v>
      </c>
      <c r="K19" s="4">
        <v>999.99839999999961</v>
      </c>
      <c r="L19" s="4">
        <v>1410</v>
      </c>
      <c r="M19" s="4">
        <v>855</v>
      </c>
      <c r="N19" s="4" t="s">
        <v>3057</v>
      </c>
      <c r="O19" s="4">
        <v>550</v>
      </c>
      <c r="P19" s="4">
        <v>350</v>
      </c>
      <c r="Q19" s="4">
        <v>300</v>
      </c>
      <c r="R19" s="4">
        <v>24</v>
      </c>
      <c r="S19" s="4" t="s">
        <v>3057</v>
      </c>
      <c r="T19" s="4">
        <v>1110.9999999999998</v>
      </c>
      <c r="U19" s="4">
        <f t="shared" si="0"/>
        <v>8759.9983999999986</v>
      </c>
      <c r="V19" s="5">
        <f t="shared" si="1"/>
        <v>673.84603076923065</v>
      </c>
      <c r="W19" s="5">
        <f t="shared" si="2"/>
        <v>22.461534358974355</v>
      </c>
      <c r="X19" s="7">
        <f t="shared" si="3"/>
        <v>1.3235354392201422E-2</v>
      </c>
      <c r="Y19" s="7">
        <f t="shared" si="8"/>
        <v>0.71705914292135975</v>
      </c>
      <c r="Z19" s="7">
        <f t="shared" si="4"/>
        <v>0.60240867130323905</v>
      </c>
      <c r="AA19" t="str">
        <f t="shared" si="5"/>
        <v>B</v>
      </c>
      <c r="AB19" t="str">
        <f t="shared" si="6"/>
        <v>Y</v>
      </c>
      <c r="AC19" t="str">
        <f t="shared" si="7"/>
        <v>BY</v>
      </c>
    </row>
    <row r="20" spans="1:29" x14ac:dyDescent="0.25">
      <c r="A20" t="s">
        <v>493</v>
      </c>
      <c r="B20" t="s">
        <v>2541</v>
      </c>
      <c r="C20" s="4" t="s">
        <v>3057</v>
      </c>
      <c r="D20" s="4" t="s">
        <v>3057</v>
      </c>
      <c r="E20" s="4" t="s">
        <v>3057</v>
      </c>
      <c r="F20" s="4" t="s">
        <v>3057</v>
      </c>
      <c r="G20" s="4">
        <v>1000</v>
      </c>
      <c r="H20" s="4" t="s">
        <v>3057</v>
      </c>
      <c r="I20" s="4">
        <v>840</v>
      </c>
      <c r="J20" s="4">
        <v>1487</v>
      </c>
      <c r="K20" s="4">
        <v>869.99999999999955</v>
      </c>
      <c r="L20" s="4">
        <v>50</v>
      </c>
      <c r="M20" s="4">
        <v>400</v>
      </c>
      <c r="N20" s="4">
        <v>50</v>
      </c>
      <c r="O20" s="4">
        <v>250</v>
      </c>
      <c r="P20" s="4">
        <v>750.00000000000011</v>
      </c>
      <c r="Q20" s="4">
        <v>750</v>
      </c>
      <c r="R20" s="4">
        <v>1000</v>
      </c>
      <c r="S20" s="4">
        <v>850</v>
      </c>
      <c r="T20" s="4">
        <v>228.00000000000003</v>
      </c>
      <c r="U20" s="4">
        <f t="shared" si="0"/>
        <v>8525</v>
      </c>
      <c r="V20" s="5">
        <f t="shared" si="1"/>
        <v>655.76923076923072</v>
      </c>
      <c r="W20" s="5">
        <f t="shared" si="2"/>
        <v>21.858974358974358</v>
      </c>
      <c r="X20" s="7">
        <f t="shared" si="3"/>
        <v>1.2880298721688938E-2</v>
      </c>
      <c r="Y20" s="7">
        <f t="shared" si="8"/>
        <v>0.72993944164304869</v>
      </c>
      <c r="Z20" s="7">
        <f t="shared" si="4"/>
        <v>0.62877471776708804</v>
      </c>
      <c r="AA20" t="str">
        <f t="shared" si="5"/>
        <v>B</v>
      </c>
      <c r="AB20" t="str">
        <f t="shared" si="6"/>
        <v>Y</v>
      </c>
      <c r="AC20" t="str">
        <f t="shared" si="7"/>
        <v>BY</v>
      </c>
    </row>
    <row r="21" spans="1:29" x14ac:dyDescent="0.25">
      <c r="A21" t="s">
        <v>357</v>
      </c>
      <c r="B21" t="s">
        <v>2546</v>
      </c>
      <c r="C21" s="4" t="s">
        <v>3057</v>
      </c>
      <c r="D21" s="4" t="s">
        <v>3057</v>
      </c>
      <c r="E21" s="4" t="s">
        <v>3057</v>
      </c>
      <c r="F21" s="4">
        <v>1000</v>
      </c>
      <c r="G21" s="4">
        <v>733</v>
      </c>
      <c r="H21" s="4">
        <v>720</v>
      </c>
      <c r="I21" s="4">
        <v>300</v>
      </c>
      <c r="J21" s="4">
        <v>1559</v>
      </c>
      <c r="K21" s="4">
        <v>960.00000000000034</v>
      </c>
      <c r="L21" s="4">
        <v>116</v>
      </c>
      <c r="M21" s="4">
        <v>300</v>
      </c>
      <c r="N21" s="4">
        <v>100</v>
      </c>
      <c r="O21" s="4">
        <v>80</v>
      </c>
      <c r="P21" s="4">
        <v>1004</v>
      </c>
      <c r="Q21" s="4">
        <v>300.00000000000006</v>
      </c>
      <c r="R21" s="4" t="s">
        <v>3057</v>
      </c>
      <c r="S21" s="4">
        <v>1000</v>
      </c>
      <c r="T21" s="4">
        <v>230</v>
      </c>
      <c r="U21" s="4">
        <f t="shared" si="0"/>
        <v>8402</v>
      </c>
      <c r="V21" s="5">
        <f t="shared" si="1"/>
        <v>600.14285714285711</v>
      </c>
      <c r="W21" s="5">
        <f t="shared" si="2"/>
        <v>20.004761904761903</v>
      </c>
      <c r="X21" s="7">
        <f t="shared" si="3"/>
        <v>1.2694459807581285E-2</v>
      </c>
      <c r="Y21" s="7">
        <f t="shared" si="8"/>
        <v>0.74263390145063002</v>
      </c>
      <c r="Z21" s="7">
        <f t="shared" si="4"/>
        <v>0.73528474333360994</v>
      </c>
      <c r="AA21" t="str">
        <f t="shared" si="5"/>
        <v>B</v>
      </c>
      <c r="AB21" t="str">
        <f t="shared" si="6"/>
        <v>Y</v>
      </c>
      <c r="AC21" t="str">
        <f t="shared" si="7"/>
        <v>BY</v>
      </c>
    </row>
    <row r="22" spans="1:29" x14ac:dyDescent="0.25">
      <c r="A22" t="s">
        <v>414</v>
      </c>
      <c r="B22" t="s">
        <v>2547</v>
      </c>
      <c r="C22" s="4">
        <v>944</v>
      </c>
      <c r="D22" s="4">
        <v>1080</v>
      </c>
      <c r="E22" s="4">
        <v>463</v>
      </c>
      <c r="F22" s="4" t="s">
        <v>3057</v>
      </c>
      <c r="G22" s="4">
        <v>330</v>
      </c>
      <c r="H22" s="4" t="s">
        <v>3057</v>
      </c>
      <c r="I22" s="4">
        <v>440</v>
      </c>
      <c r="J22" s="4">
        <v>231</v>
      </c>
      <c r="K22" s="4">
        <v>550</v>
      </c>
      <c r="L22" s="4" t="s">
        <v>3057</v>
      </c>
      <c r="M22" s="4">
        <v>200</v>
      </c>
      <c r="N22" s="4">
        <v>42</v>
      </c>
      <c r="O22" s="4">
        <v>110.00000000000001</v>
      </c>
      <c r="P22" s="4">
        <v>220</v>
      </c>
      <c r="Q22" s="4">
        <v>330</v>
      </c>
      <c r="R22" s="4">
        <v>570</v>
      </c>
      <c r="S22" s="4">
        <v>630</v>
      </c>
      <c r="T22" s="4" t="s">
        <v>3057</v>
      </c>
      <c r="U22" s="4">
        <f t="shared" si="0"/>
        <v>6140</v>
      </c>
      <c r="V22" s="5">
        <f t="shared" si="1"/>
        <v>438.57142857142856</v>
      </c>
      <c r="W22" s="5">
        <f t="shared" si="2"/>
        <v>14.619047619047619</v>
      </c>
      <c r="X22" s="7">
        <f t="shared" si="3"/>
        <v>9.2768368505771349E-3</v>
      </c>
      <c r="Y22" s="7">
        <f t="shared" si="8"/>
        <v>0.75191073830120714</v>
      </c>
      <c r="Z22" s="7">
        <f t="shared" si="4"/>
        <v>0.65926962751666363</v>
      </c>
      <c r="AA22" t="str">
        <f t="shared" si="5"/>
        <v>B</v>
      </c>
      <c r="AB22" t="str">
        <f t="shared" si="6"/>
        <v>Y</v>
      </c>
      <c r="AC22" t="str">
        <f t="shared" si="7"/>
        <v>BY</v>
      </c>
    </row>
    <row r="23" spans="1:29" x14ac:dyDescent="0.25">
      <c r="A23" t="s">
        <v>735</v>
      </c>
      <c r="B23" t="s">
        <v>2553</v>
      </c>
      <c r="C23" s="4" t="s">
        <v>3057</v>
      </c>
      <c r="D23" s="4" t="s">
        <v>3057</v>
      </c>
      <c r="E23" s="4" t="s">
        <v>3057</v>
      </c>
      <c r="F23" s="4" t="s">
        <v>3057</v>
      </c>
      <c r="G23" s="4">
        <v>1000</v>
      </c>
      <c r="H23" s="4" t="s">
        <v>3057</v>
      </c>
      <c r="I23" s="4">
        <v>1000</v>
      </c>
      <c r="J23" s="4" t="s">
        <v>3057</v>
      </c>
      <c r="K23" s="4" t="s">
        <v>3057</v>
      </c>
      <c r="L23" s="4">
        <v>1000</v>
      </c>
      <c r="M23" s="4">
        <v>0</v>
      </c>
      <c r="N23" s="4" t="s">
        <v>3057</v>
      </c>
      <c r="O23" s="4">
        <v>500</v>
      </c>
      <c r="P23" s="4">
        <v>1222.22</v>
      </c>
      <c r="Q23" s="4" t="s">
        <v>3057</v>
      </c>
      <c r="R23" s="4">
        <v>1000</v>
      </c>
      <c r="S23" s="4" t="s">
        <v>3057</v>
      </c>
      <c r="T23" s="4" t="s">
        <v>3057</v>
      </c>
      <c r="U23" s="4">
        <f t="shared" si="0"/>
        <v>5722.22</v>
      </c>
      <c r="V23" s="5">
        <f t="shared" si="1"/>
        <v>817.46</v>
      </c>
      <c r="W23" s="5">
        <f t="shared" si="2"/>
        <v>27.248666666666669</v>
      </c>
      <c r="X23" s="7">
        <f t="shared" si="3"/>
        <v>8.645619114512948E-3</v>
      </c>
      <c r="Y23" s="7">
        <f t="shared" si="8"/>
        <v>0.76055635741572014</v>
      </c>
      <c r="Z23" s="7">
        <f t="shared" si="4"/>
        <v>0.4774091361454269</v>
      </c>
      <c r="AA23" t="str">
        <f t="shared" si="5"/>
        <v>B</v>
      </c>
      <c r="AB23" t="str">
        <f t="shared" si="6"/>
        <v>X</v>
      </c>
      <c r="AC23" t="str">
        <f t="shared" si="7"/>
        <v>BX</v>
      </c>
    </row>
    <row r="24" spans="1:29" x14ac:dyDescent="0.25">
      <c r="A24" t="s">
        <v>948</v>
      </c>
      <c r="B24" t="s">
        <v>2542</v>
      </c>
      <c r="C24" s="4" t="s">
        <v>3057</v>
      </c>
      <c r="D24" s="4" t="s">
        <v>3057</v>
      </c>
      <c r="E24" s="4" t="s">
        <v>3057</v>
      </c>
      <c r="F24" s="4" t="s">
        <v>3057</v>
      </c>
      <c r="G24" s="4" t="s">
        <v>3057</v>
      </c>
      <c r="H24" s="4" t="s">
        <v>3057</v>
      </c>
      <c r="I24" s="4">
        <v>1667</v>
      </c>
      <c r="J24" s="4" t="s">
        <v>3057</v>
      </c>
      <c r="K24" s="4" t="s">
        <v>3057</v>
      </c>
      <c r="L24" s="4">
        <v>1000</v>
      </c>
      <c r="M24" s="4">
        <v>0</v>
      </c>
      <c r="N24" s="4" t="s">
        <v>3057</v>
      </c>
      <c r="O24" s="4" t="s">
        <v>3057</v>
      </c>
      <c r="P24" s="4" t="s">
        <v>3057</v>
      </c>
      <c r="Q24" s="4">
        <v>1000</v>
      </c>
      <c r="R24" s="4" t="s">
        <v>3057</v>
      </c>
      <c r="S24" s="4">
        <v>1000</v>
      </c>
      <c r="T24" s="4">
        <v>1000</v>
      </c>
      <c r="U24" s="4">
        <f t="shared" si="0"/>
        <v>5667</v>
      </c>
      <c r="V24" s="5">
        <f t="shared" si="1"/>
        <v>944.5</v>
      </c>
      <c r="W24" s="5">
        <f t="shared" si="2"/>
        <v>31.483333333333334</v>
      </c>
      <c r="X24" s="7">
        <f t="shared" si="3"/>
        <v>8.5621880182769755E-3</v>
      </c>
      <c r="Y24" s="7">
        <f t="shared" si="8"/>
        <v>0.76911854543399716</v>
      </c>
      <c r="Z24" s="7">
        <f t="shared" si="4"/>
        <v>0.51623116491382404</v>
      </c>
      <c r="AA24" t="str">
        <f t="shared" si="5"/>
        <v>B</v>
      </c>
      <c r="AB24" t="str">
        <f t="shared" si="6"/>
        <v>Y</v>
      </c>
      <c r="AC24" t="str">
        <f t="shared" si="7"/>
        <v>BY</v>
      </c>
    </row>
    <row r="25" spans="1:29" x14ac:dyDescent="0.25">
      <c r="A25" t="s">
        <v>587</v>
      </c>
      <c r="B25" t="s">
        <v>2549</v>
      </c>
      <c r="C25" s="4" t="s">
        <v>3057</v>
      </c>
      <c r="D25" s="4" t="s">
        <v>3057</v>
      </c>
      <c r="E25" s="4" t="s">
        <v>3057</v>
      </c>
      <c r="F25" s="4" t="s">
        <v>3057</v>
      </c>
      <c r="G25" s="4">
        <v>600</v>
      </c>
      <c r="H25" s="4">
        <v>100</v>
      </c>
      <c r="I25" s="4" t="s">
        <v>3057</v>
      </c>
      <c r="J25" s="4">
        <v>469.99999999999983</v>
      </c>
      <c r="K25" s="4">
        <v>300</v>
      </c>
      <c r="L25" s="4">
        <v>600</v>
      </c>
      <c r="M25" s="4">
        <v>329.99999999999994</v>
      </c>
      <c r="N25" s="4" t="s">
        <v>3057</v>
      </c>
      <c r="O25" s="4">
        <v>100</v>
      </c>
      <c r="P25" s="4">
        <v>728.55</v>
      </c>
      <c r="Q25" s="4">
        <v>600</v>
      </c>
      <c r="R25" s="4">
        <v>300</v>
      </c>
      <c r="S25" s="4">
        <v>880</v>
      </c>
      <c r="T25" s="4">
        <v>100</v>
      </c>
      <c r="U25" s="4">
        <f t="shared" si="0"/>
        <v>5108.55</v>
      </c>
      <c r="V25" s="5">
        <f t="shared" si="1"/>
        <v>425.71250000000003</v>
      </c>
      <c r="W25" s="5">
        <f t="shared" si="2"/>
        <v>14.190416666666668</v>
      </c>
      <c r="X25" s="7">
        <f t="shared" si="3"/>
        <v>7.7184340216638154E-3</v>
      </c>
      <c r="Y25" s="7">
        <f t="shared" si="8"/>
        <v>0.77683697945566099</v>
      </c>
      <c r="Z25" s="7">
        <f t="shared" si="4"/>
        <v>0.5873335861310367</v>
      </c>
      <c r="AA25" t="str">
        <f t="shared" si="5"/>
        <v>B</v>
      </c>
      <c r="AB25" t="str">
        <f t="shared" si="6"/>
        <v>Y</v>
      </c>
      <c r="AC25" t="str">
        <f t="shared" si="7"/>
        <v>BY</v>
      </c>
    </row>
    <row r="26" spans="1:29" x14ac:dyDescent="0.25">
      <c r="A26" t="s">
        <v>363</v>
      </c>
      <c r="B26" t="s">
        <v>2545</v>
      </c>
      <c r="C26" s="4" t="s">
        <v>3057</v>
      </c>
      <c r="D26" s="4" t="s">
        <v>3057</v>
      </c>
      <c r="E26" s="4" t="s">
        <v>3057</v>
      </c>
      <c r="F26" s="4" t="s">
        <v>3057</v>
      </c>
      <c r="G26" s="4">
        <v>500</v>
      </c>
      <c r="H26" s="4">
        <v>260</v>
      </c>
      <c r="I26" s="4" t="s">
        <v>3057</v>
      </c>
      <c r="J26" s="4">
        <v>500</v>
      </c>
      <c r="K26" s="4">
        <v>500</v>
      </c>
      <c r="L26" s="4" t="s">
        <v>3057</v>
      </c>
      <c r="M26" s="4">
        <v>0</v>
      </c>
      <c r="N26" s="4">
        <v>128</v>
      </c>
      <c r="O26" s="4">
        <v>500</v>
      </c>
      <c r="P26" s="4">
        <v>500</v>
      </c>
      <c r="Q26" s="4">
        <v>500</v>
      </c>
      <c r="R26" s="4" t="s">
        <v>3057</v>
      </c>
      <c r="S26" s="4">
        <v>500</v>
      </c>
      <c r="T26" s="4">
        <v>1110.9999999999998</v>
      </c>
      <c r="U26" s="4">
        <f t="shared" si="0"/>
        <v>4999</v>
      </c>
      <c r="V26" s="5">
        <f t="shared" si="1"/>
        <v>454.45454545454544</v>
      </c>
      <c r="W26" s="5">
        <f t="shared" si="2"/>
        <v>15.148484848484848</v>
      </c>
      <c r="X26" s="7">
        <f t="shared" si="3"/>
        <v>7.5529165172695603E-3</v>
      </c>
      <c r="Y26" s="7">
        <f t="shared" si="8"/>
        <v>0.78438989597293052</v>
      </c>
      <c r="Z26" s="7">
        <f t="shared" si="4"/>
        <v>0.59211011115308299</v>
      </c>
      <c r="AA26" t="str">
        <f t="shared" si="5"/>
        <v>B</v>
      </c>
      <c r="AB26" t="str">
        <f t="shared" si="6"/>
        <v>Y</v>
      </c>
      <c r="AC26" t="str">
        <f t="shared" si="7"/>
        <v>BY</v>
      </c>
    </row>
    <row r="27" spans="1:29" x14ac:dyDescent="0.25">
      <c r="A27" t="s">
        <v>362</v>
      </c>
      <c r="B27" t="s">
        <v>2540</v>
      </c>
      <c r="C27" s="4" t="s">
        <v>3057</v>
      </c>
      <c r="D27" s="4" t="s">
        <v>3057</v>
      </c>
      <c r="E27" s="4" t="s">
        <v>3057</v>
      </c>
      <c r="F27" s="4" t="s">
        <v>3057</v>
      </c>
      <c r="G27" s="4">
        <v>500</v>
      </c>
      <c r="H27" s="4">
        <v>500</v>
      </c>
      <c r="I27" s="4" t="s">
        <v>3057</v>
      </c>
      <c r="J27" s="4">
        <v>187.00000000000003</v>
      </c>
      <c r="K27" s="4">
        <v>500</v>
      </c>
      <c r="L27" s="4" t="s">
        <v>3057</v>
      </c>
      <c r="M27" s="4">
        <v>0</v>
      </c>
      <c r="N27" s="4" t="s">
        <v>3057</v>
      </c>
      <c r="O27" s="4">
        <v>600</v>
      </c>
      <c r="P27" s="4">
        <v>100</v>
      </c>
      <c r="Q27" s="4">
        <v>500</v>
      </c>
      <c r="R27" s="4">
        <v>1000</v>
      </c>
      <c r="S27" s="4" t="s">
        <v>3057</v>
      </c>
      <c r="T27" s="4">
        <v>1110.9999999999998</v>
      </c>
      <c r="U27" s="4">
        <f t="shared" si="0"/>
        <v>4998</v>
      </c>
      <c r="V27" s="5">
        <f t="shared" si="1"/>
        <v>499.8</v>
      </c>
      <c r="W27" s="5">
        <f t="shared" si="2"/>
        <v>16.66</v>
      </c>
      <c r="X27" s="7">
        <f t="shared" si="3"/>
        <v>7.5514056317890106E-3</v>
      </c>
      <c r="Y27" s="7">
        <f t="shared" si="8"/>
        <v>0.79194130160471954</v>
      </c>
      <c r="Z27" s="7">
        <f t="shared" si="4"/>
        <v>0.67592993121811773</v>
      </c>
      <c r="AA27" t="str">
        <f t="shared" si="5"/>
        <v>B</v>
      </c>
      <c r="AB27" t="str">
        <f t="shared" si="6"/>
        <v>Y</v>
      </c>
      <c r="AC27" t="str">
        <f t="shared" si="7"/>
        <v>BY</v>
      </c>
    </row>
    <row r="28" spans="1:29" x14ac:dyDescent="0.25">
      <c r="A28" t="s">
        <v>622</v>
      </c>
      <c r="B28" t="s">
        <v>2556</v>
      </c>
      <c r="C28" s="4" t="s">
        <v>3057</v>
      </c>
      <c r="D28" s="4" t="s">
        <v>3057</v>
      </c>
      <c r="E28" s="4" t="s">
        <v>3057</v>
      </c>
      <c r="F28" s="4">
        <v>200</v>
      </c>
      <c r="G28" s="4">
        <v>300</v>
      </c>
      <c r="H28" s="4">
        <v>200</v>
      </c>
      <c r="I28" s="4">
        <v>500</v>
      </c>
      <c r="J28" s="4">
        <v>1190</v>
      </c>
      <c r="K28" s="4">
        <v>600</v>
      </c>
      <c r="L28" s="4" t="s">
        <v>3057</v>
      </c>
      <c r="M28" s="4">
        <v>300</v>
      </c>
      <c r="N28" s="4" t="s">
        <v>3057</v>
      </c>
      <c r="O28" s="4" t="s">
        <v>3057</v>
      </c>
      <c r="P28" s="4">
        <v>642.90000000000009</v>
      </c>
      <c r="Q28" s="4" t="s">
        <v>3057</v>
      </c>
      <c r="R28" s="4">
        <v>700</v>
      </c>
      <c r="S28" s="4">
        <v>160</v>
      </c>
      <c r="T28" s="4">
        <v>200</v>
      </c>
      <c r="U28" s="4">
        <f t="shared" si="0"/>
        <v>4992.8999999999996</v>
      </c>
      <c r="V28" s="5">
        <f t="shared" si="1"/>
        <v>453.9</v>
      </c>
      <c r="W28" s="5">
        <f t="shared" si="2"/>
        <v>15.129999999999999</v>
      </c>
      <c r="X28" s="7">
        <f t="shared" si="3"/>
        <v>7.5437001158382049E-3</v>
      </c>
      <c r="Y28" s="7">
        <f t="shared" si="8"/>
        <v>0.7994850017205577</v>
      </c>
      <c r="Z28" s="7">
        <f t="shared" si="4"/>
        <v>0.66051883701781988</v>
      </c>
      <c r="AA28" t="str">
        <f t="shared" si="5"/>
        <v>B</v>
      </c>
      <c r="AB28" t="str">
        <f t="shared" si="6"/>
        <v>Y</v>
      </c>
      <c r="AC28" t="str">
        <f t="shared" si="7"/>
        <v>BY</v>
      </c>
    </row>
    <row r="29" spans="1:29" x14ac:dyDescent="0.25">
      <c r="A29" t="s">
        <v>737</v>
      </c>
      <c r="B29" t="s">
        <v>2568</v>
      </c>
      <c r="C29" s="4" t="s">
        <v>3057</v>
      </c>
      <c r="D29" s="4" t="s">
        <v>3057</v>
      </c>
      <c r="E29" s="4" t="s">
        <v>3057</v>
      </c>
      <c r="F29" s="4">
        <v>444.00000000000011</v>
      </c>
      <c r="G29" s="4" t="s">
        <v>3057</v>
      </c>
      <c r="H29" s="4" t="s">
        <v>3057</v>
      </c>
      <c r="I29" s="4">
        <v>900.00000000000023</v>
      </c>
      <c r="J29" s="4">
        <v>799.99999999999977</v>
      </c>
      <c r="K29" s="4" t="s">
        <v>3057</v>
      </c>
      <c r="L29" s="4">
        <v>700.00000000000057</v>
      </c>
      <c r="M29" s="4">
        <v>483.00000000000017</v>
      </c>
      <c r="N29" s="4" t="s">
        <v>3057</v>
      </c>
      <c r="O29" s="4" t="s">
        <v>3057</v>
      </c>
      <c r="P29" s="4">
        <v>999.99999999999966</v>
      </c>
      <c r="Q29" s="4" t="s">
        <v>3057</v>
      </c>
      <c r="R29" s="4">
        <v>564</v>
      </c>
      <c r="S29" s="4" t="s">
        <v>3057</v>
      </c>
      <c r="T29" s="4" t="s">
        <v>3057</v>
      </c>
      <c r="U29" s="4">
        <f t="shared" si="0"/>
        <v>4891</v>
      </c>
      <c r="V29" s="5">
        <f t="shared" si="1"/>
        <v>698.71428571428567</v>
      </c>
      <c r="W29" s="5">
        <f t="shared" si="2"/>
        <v>23.290476190476188</v>
      </c>
      <c r="X29" s="7">
        <f t="shared" si="3"/>
        <v>7.3897408853701579E-3</v>
      </c>
      <c r="Y29" s="7">
        <f t="shared" si="8"/>
        <v>0.80687474260592784</v>
      </c>
      <c r="Z29" s="7">
        <f t="shared" si="4"/>
        <v>0.28165902267332021</v>
      </c>
      <c r="AA29" t="str">
        <f t="shared" si="5"/>
        <v>B</v>
      </c>
      <c r="AB29" t="str">
        <f t="shared" si="6"/>
        <v>X</v>
      </c>
      <c r="AC29" t="str">
        <f t="shared" si="7"/>
        <v>BX</v>
      </c>
    </row>
    <row r="30" spans="1:29" x14ac:dyDescent="0.25">
      <c r="A30" t="s">
        <v>626</v>
      </c>
      <c r="B30" t="s">
        <v>2574</v>
      </c>
      <c r="C30" s="4">
        <v>425</v>
      </c>
      <c r="D30" s="4">
        <v>475</v>
      </c>
      <c r="E30" s="4">
        <v>144.9999</v>
      </c>
      <c r="F30" s="4" t="s">
        <v>3057</v>
      </c>
      <c r="G30" s="4">
        <v>499.99999999999994</v>
      </c>
      <c r="H30" s="4">
        <v>200</v>
      </c>
      <c r="I30" s="4">
        <v>365</v>
      </c>
      <c r="J30" s="4">
        <v>450.0003999999999</v>
      </c>
      <c r="K30" s="4">
        <v>500.99960000000021</v>
      </c>
      <c r="L30" s="4">
        <v>1049</v>
      </c>
      <c r="M30" s="4">
        <v>0</v>
      </c>
      <c r="N30" s="4" t="s">
        <v>3057</v>
      </c>
      <c r="O30" s="4" t="s">
        <v>3057</v>
      </c>
      <c r="P30" s="4">
        <v>25</v>
      </c>
      <c r="Q30" s="4">
        <v>30</v>
      </c>
      <c r="R30" s="4">
        <v>240</v>
      </c>
      <c r="S30" s="4">
        <v>205</v>
      </c>
      <c r="T30" s="4">
        <v>54</v>
      </c>
      <c r="U30" s="4">
        <f t="shared" si="0"/>
        <v>4663.9998999999998</v>
      </c>
      <c r="V30" s="5">
        <f t="shared" si="1"/>
        <v>310.93332666666663</v>
      </c>
      <c r="W30" s="5">
        <f t="shared" si="2"/>
        <v>10.364444222222222</v>
      </c>
      <c r="X30" s="7">
        <f t="shared" si="3"/>
        <v>7.0467697301967542E-3</v>
      </c>
      <c r="Y30" s="7">
        <f t="shared" si="8"/>
        <v>0.81392151233612464</v>
      </c>
      <c r="Z30" s="7">
        <f t="shared" si="4"/>
        <v>0.85425268052060233</v>
      </c>
      <c r="AA30" t="str">
        <f t="shared" si="5"/>
        <v>B</v>
      </c>
      <c r="AB30" t="str">
        <f t="shared" si="6"/>
        <v>Y</v>
      </c>
      <c r="AC30" t="str">
        <f t="shared" si="7"/>
        <v>BY</v>
      </c>
    </row>
    <row r="31" spans="1:29" x14ac:dyDescent="0.25">
      <c r="A31" t="s">
        <v>361</v>
      </c>
      <c r="B31" t="s">
        <v>2569</v>
      </c>
      <c r="C31" s="4">
        <v>640</v>
      </c>
      <c r="D31" s="4">
        <v>120</v>
      </c>
      <c r="E31" s="4">
        <v>300</v>
      </c>
      <c r="F31" s="4" t="s">
        <v>3057</v>
      </c>
      <c r="G31" s="4">
        <v>360</v>
      </c>
      <c r="H31" s="4">
        <v>400</v>
      </c>
      <c r="I31" s="4">
        <v>560</v>
      </c>
      <c r="J31" s="4">
        <v>260.00039999999996</v>
      </c>
      <c r="K31" s="4">
        <v>770.99959999999965</v>
      </c>
      <c r="L31" s="4">
        <v>200</v>
      </c>
      <c r="M31" s="4">
        <v>33.33</v>
      </c>
      <c r="N31" s="4" t="s">
        <v>3057</v>
      </c>
      <c r="O31" s="4" t="s">
        <v>3057</v>
      </c>
      <c r="P31" s="4" t="s">
        <v>3057</v>
      </c>
      <c r="Q31" s="4">
        <v>230</v>
      </c>
      <c r="R31" s="4">
        <v>170</v>
      </c>
      <c r="S31" s="4">
        <v>300</v>
      </c>
      <c r="T31" s="4">
        <v>42</v>
      </c>
      <c r="U31" s="4">
        <f t="shared" si="0"/>
        <v>4386.33</v>
      </c>
      <c r="V31" s="5">
        <f t="shared" si="1"/>
        <v>313.30928571428569</v>
      </c>
      <c r="W31" s="5">
        <f t="shared" si="2"/>
        <v>10.443642857142857</v>
      </c>
      <c r="X31" s="7">
        <f t="shared" si="3"/>
        <v>6.6272423099009783E-3</v>
      </c>
      <c r="Y31" s="7">
        <f t="shared" si="8"/>
        <v>0.82054875464602561</v>
      </c>
      <c r="Z31" s="7">
        <f t="shared" si="4"/>
        <v>0.671477683553655</v>
      </c>
      <c r="AA31" t="str">
        <f t="shared" si="5"/>
        <v>B</v>
      </c>
      <c r="AB31" t="str">
        <f t="shared" si="6"/>
        <v>Y</v>
      </c>
      <c r="AC31" t="str">
        <f t="shared" si="7"/>
        <v>BY</v>
      </c>
    </row>
    <row r="32" spans="1:29" x14ac:dyDescent="0.25">
      <c r="A32" t="s">
        <v>491</v>
      </c>
      <c r="B32" t="s">
        <v>2570</v>
      </c>
      <c r="C32" s="4" t="s">
        <v>3057</v>
      </c>
      <c r="D32" s="4" t="s">
        <v>3057</v>
      </c>
      <c r="E32" s="4" t="s">
        <v>3057</v>
      </c>
      <c r="F32" s="4">
        <v>80</v>
      </c>
      <c r="G32" s="4">
        <v>400</v>
      </c>
      <c r="H32" s="4">
        <v>300</v>
      </c>
      <c r="I32" s="4">
        <v>510</v>
      </c>
      <c r="J32" s="4">
        <v>604.99999999999989</v>
      </c>
      <c r="K32" s="4">
        <v>900</v>
      </c>
      <c r="L32" s="4" t="s">
        <v>3057</v>
      </c>
      <c r="M32" s="4">
        <v>200</v>
      </c>
      <c r="N32" s="4" t="s">
        <v>3057</v>
      </c>
      <c r="O32" s="4" t="s">
        <v>3057</v>
      </c>
      <c r="P32" s="4">
        <v>428.54999999999995</v>
      </c>
      <c r="Q32" s="4">
        <v>350</v>
      </c>
      <c r="R32" s="4">
        <v>300</v>
      </c>
      <c r="S32" s="4" t="s">
        <v>3057</v>
      </c>
      <c r="T32" s="4">
        <v>200</v>
      </c>
      <c r="U32" s="4">
        <f t="shared" si="0"/>
        <v>4273.55</v>
      </c>
      <c r="V32" s="5">
        <f t="shared" si="1"/>
        <v>388.50454545454545</v>
      </c>
      <c r="W32" s="5">
        <f t="shared" si="2"/>
        <v>12.950151515151514</v>
      </c>
      <c r="X32" s="7">
        <f t="shared" si="3"/>
        <v>6.4568446454045473E-3</v>
      </c>
      <c r="Y32" s="7">
        <f t="shared" si="8"/>
        <v>0.82700559929143014</v>
      </c>
      <c r="Z32" s="7">
        <f t="shared" si="4"/>
        <v>0.55335591776769477</v>
      </c>
      <c r="AA32" t="str">
        <f t="shared" si="5"/>
        <v>B</v>
      </c>
      <c r="AB32" t="str">
        <f t="shared" si="6"/>
        <v>Y</v>
      </c>
      <c r="AC32" t="str">
        <f t="shared" si="7"/>
        <v>BY</v>
      </c>
    </row>
    <row r="33" spans="1:29" x14ac:dyDescent="0.25">
      <c r="A33" t="s">
        <v>490</v>
      </c>
      <c r="B33" t="s">
        <v>2560</v>
      </c>
      <c r="C33" s="4" t="s">
        <v>3057</v>
      </c>
      <c r="D33" s="4" t="s">
        <v>3057</v>
      </c>
      <c r="E33" s="4" t="s">
        <v>3057</v>
      </c>
      <c r="F33" s="4">
        <v>200.66649999999998</v>
      </c>
      <c r="G33" s="4">
        <v>100.00019999999999</v>
      </c>
      <c r="H33" s="4">
        <v>200</v>
      </c>
      <c r="I33" s="4">
        <v>632</v>
      </c>
      <c r="J33" s="4">
        <v>518</v>
      </c>
      <c r="K33" s="4">
        <v>481.99980000000011</v>
      </c>
      <c r="L33" s="4">
        <v>200</v>
      </c>
      <c r="M33" s="4">
        <v>50</v>
      </c>
      <c r="N33" s="4" t="s">
        <v>3057</v>
      </c>
      <c r="O33" s="4" t="s">
        <v>3057</v>
      </c>
      <c r="P33" s="4">
        <v>308.54999999999995</v>
      </c>
      <c r="Q33" s="4">
        <v>518</v>
      </c>
      <c r="R33" s="4">
        <v>560</v>
      </c>
      <c r="S33" s="4">
        <v>160</v>
      </c>
      <c r="T33" s="4" t="s">
        <v>3057</v>
      </c>
      <c r="U33" s="4">
        <f t="shared" si="0"/>
        <v>3929.2165000000005</v>
      </c>
      <c r="V33" s="5">
        <f t="shared" si="1"/>
        <v>327.43470833333339</v>
      </c>
      <c r="W33" s="5">
        <f t="shared" si="2"/>
        <v>10.91449027777778</v>
      </c>
      <c r="X33" s="7">
        <f t="shared" si="3"/>
        <v>5.9365961597875761E-3</v>
      </c>
      <c r="Y33" s="7">
        <f t="shared" si="8"/>
        <v>0.83294219545121773</v>
      </c>
      <c r="Z33" s="7">
        <f t="shared" si="4"/>
        <v>0.59075830305179866</v>
      </c>
      <c r="AA33" t="str">
        <f t="shared" si="5"/>
        <v>B</v>
      </c>
      <c r="AB33" t="str">
        <f t="shared" si="6"/>
        <v>Y</v>
      </c>
      <c r="AC33" t="str">
        <f t="shared" si="7"/>
        <v>BY</v>
      </c>
    </row>
    <row r="34" spans="1:29" x14ac:dyDescent="0.25">
      <c r="A34" t="s">
        <v>744</v>
      </c>
      <c r="B34" t="s">
        <v>2564</v>
      </c>
      <c r="C34" s="4" t="s">
        <v>3057</v>
      </c>
      <c r="D34" s="4" t="s">
        <v>3057</v>
      </c>
      <c r="E34" s="4" t="s">
        <v>3057</v>
      </c>
      <c r="F34" s="4">
        <v>200</v>
      </c>
      <c r="G34" s="4">
        <v>600</v>
      </c>
      <c r="H34" s="4" t="s">
        <v>3057</v>
      </c>
      <c r="I34" s="4" t="s">
        <v>3057</v>
      </c>
      <c r="J34" s="4">
        <v>520</v>
      </c>
      <c r="K34" s="4">
        <v>386.99999999999994</v>
      </c>
      <c r="L34" s="4">
        <v>20</v>
      </c>
      <c r="M34" s="4">
        <v>400</v>
      </c>
      <c r="N34" s="4" t="s">
        <v>3057</v>
      </c>
      <c r="O34" s="4">
        <v>1200</v>
      </c>
      <c r="P34" s="4" t="s">
        <v>3057</v>
      </c>
      <c r="Q34" s="4" t="s">
        <v>3057</v>
      </c>
      <c r="R34" s="4" t="s">
        <v>3057</v>
      </c>
      <c r="S34" s="4">
        <v>600</v>
      </c>
      <c r="T34" s="4" t="s">
        <v>3057</v>
      </c>
      <c r="U34" s="4">
        <f t="shared" si="0"/>
        <v>3927</v>
      </c>
      <c r="V34" s="5">
        <f t="shared" si="1"/>
        <v>490.875</v>
      </c>
      <c r="W34" s="5">
        <f t="shared" si="2"/>
        <v>16.362500000000001</v>
      </c>
      <c r="X34" s="7">
        <f t="shared" si="3"/>
        <v>5.9332472821199368E-3</v>
      </c>
      <c r="Y34" s="7">
        <f t="shared" si="8"/>
        <v>0.8388754427333377</v>
      </c>
      <c r="Z34" s="7">
        <f t="shared" si="4"/>
        <v>0.66517188026364449</v>
      </c>
      <c r="AA34" t="str">
        <f t="shared" si="5"/>
        <v>B</v>
      </c>
      <c r="AB34" t="str">
        <f t="shared" si="6"/>
        <v>Y</v>
      </c>
      <c r="AC34" t="str">
        <f t="shared" si="7"/>
        <v>BY</v>
      </c>
    </row>
    <row r="35" spans="1:29" x14ac:dyDescent="0.25">
      <c r="A35" t="s">
        <v>621</v>
      </c>
      <c r="B35" t="s">
        <v>2563</v>
      </c>
      <c r="C35" s="4" t="s">
        <v>3057</v>
      </c>
      <c r="D35" s="4" t="s">
        <v>3057</v>
      </c>
      <c r="E35" s="4" t="s">
        <v>3057</v>
      </c>
      <c r="F35" s="4">
        <v>300</v>
      </c>
      <c r="G35" s="4" t="s">
        <v>3057</v>
      </c>
      <c r="H35" s="4">
        <v>400</v>
      </c>
      <c r="I35" s="4" t="s">
        <v>3057</v>
      </c>
      <c r="J35" s="4">
        <v>599.99999999999989</v>
      </c>
      <c r="K35" s="4">
        <v>397.99999999999994</v>
      </c>
      <c r="L35" s="4">
        <v>700</v>
      </c>
      <c r="M35" s="4">
        <v>100</v>
      </c>
      <c r="N35" s="4" t="s">
        <v>3057</v>
      </c>
      <c r="O35" s="4" t="s">
        <v>3057</v>
      </c>
      <c r="P35" s="4">
        <v>365</v>
      </c>
      <c r="Q35" s="4">
        <v>200</v>
      </c>
      <c r="R35" s="4">
        <v>200</v>
      </c>
      <c r="S35" s="4">
        <v>400</v>
      </c>
      <c r="T35" s="4" t="s">
        <v>3057</v>
      </c>
      <c r="U35" s="4">
        <f t="shared" si="0"/>
        <v>3663</v>
      </c>
      <c r="V35" s="5">
        <f t="shared" si="1"/>
        <v>366.3</v>
      </c>
      <c r="W35" s="5">
        <f t="shared" si="2"/>
        <v>12.21</v>
      </c>
      <c r="X35" s="7">
        <f t="shared" si="3"/>
        <v>5.5343735152547308E-3</v>
      </c>
      <c r="Y35" s="7">
        <f t="shared" si="8"/>
        <v>0.84440981624859246</v>
      </c>
      <c r="Z35" s="7">
        <f t="shared" si="4"/>
        <v>0.47274953663967262</v>
      </c>
      <c r="AA35" t="str">
        <f t="shared" si="5"/>
        <v>B</v>
      </c>
      <c r="AB35" t="str">
        <f t="shared" si="6"/>
        <v>X</v>
      </c>
      <c r="AC35" t="str">
        <f t="shared" si="7"/>
        <v>BX</v>
      </c>
    </row>
    <row r="36" spans="1:29" x14ac:dyDescent="0.25">
      <c r="A36" t="s">
        <v>555</v>
      </c>
      <c r="B36" t="s">
        <v>2561</v>
      </c>
      <c r="C36" s="4" t="s">
        <v>3057</v>
      </c>
      <c r="D36" s="4" t="s">
        <v>3057</v>
      </c>
      <c r="E36" s="4" t="s">
        <v>3057</v>
      </c>
      <c r="F36" s="4">
        <v>100</v>
      </c>
      <c r="G36" s="4">
        <v>400</v>
      </c>
      <c r="H36" s="4">
        <v>200</v>
      </c>
      <c r="I36" s="4">
        <v>220</v>
      </c>
      <c r="J36" s="4" t="s">
        <v>3057</v>
      </c>
      <c r="K36" s="4">
        <v>600</v>
      </c>
      <c r="L36" s="4">
        <v>199.99999999999994</v>
      </c>
      <c r="M36" s="4">
        <v>173</v>
      </c>
      <c r="N36" s="4" t="s">
        <v>3057</v>
      </c>
      <c r="O36" s="4">
        <v>100</v>
      </c>
      <c r="P36" s="4">
        <v>300</v>
      </c>
      <c r="Q36" s="4">
        <v>400</v>
      </c>
      <c r="R36" s="4">
        <v>100</v>
      </c>
      <c r="S36" s="4">
        <v>500</v>
      </c>
      <c r="T36" s="4" t="s">
        <v>3057</v>
      </c>
      <c r="U36" s="4">
        <f t="shared" si="0"/>
        <v>3293</v>
      </c>
      <c r="V36" s="5">
        <f t="shared" si="1"/>
        <v>274.41666666666669</v>
      </c>
      <c r="W36" s="5">
        <f t="shared" si="2"/>
        <v>9.1472222222222221</v>
      </c>
      <c r="X36" s="7">
        <f t="shared" si="3"/>
        <v>4.9753458874512227E-3</v>
      </c>
      <c r="Y36" s="7">
        <f t="shared" si="8"/>
        <v>0.84938516213604365</v>
      </c>
      <c r="Z36" s="7">
        <f t="shared" si="4"/>
        <v>0.58065376024124105</v>
      </c>
      <c r="AA36" t="str">
        <f t="shared" si="5"/>
        <v>B</v>
      </c>
      <c r="AB36" t="str">
        <f t="shared" si="6"/>
        <v>Y</v>
      </c>
      <c r="AC36" t="str">
        <f t="shared" si="7"/>
        <v>BY</v>
      </c>
    </row>
    <row r="37" spans="1:29" x14ac:dyDescent="0.25">
      <c r="A37" t="s">
        <v>625</v>
      </c>
      <c r="B37" t="s">
        <v>2892</v>
      </c>
      <c r="C37" s="4" t="s">
        <v>3057</v>
      </c>
      <c r="D37" s="4" t="s">
        <v>3057</v>
      </c>
      <c r="E37" s="4" t="s">
        <v>3057</v>
      </c>
      <c r="F37" s="4">
        <v>200</v>
      </c>
      <c r="G37" s="4">
        <v>500</v>
      </c>
      <c r="H37" s="4">
        <v>420</v>
      </c>
      <c r="I37" s="4">
        <v>320</v>
      </c>
      <c r="J37" s="4">
        <v>895.83429999999987</v>
      </c>
      <c r="K37" s="4">
        <v>425.16569999999996</v>
      </c>
      <c r="L37" s="4">
        <v>200</v>
      </c>
      <c r="M37" s="4">
        <v>200</v>
      </c>
      <c r="N37" s="4" t="s">
        <v>3057</v>
      </c>
      <c r="O37" s="4" t="s">
        <v>3057</v>
      </c>
      <c r="P37" s="4" t="s">
        <v>3057</v>
      </c>
      <c r="Q37" s="4">
        <v>42</v>
      </c>
      <c r="R37" s="4" t="s">
        <v>3057</v>
      </c>
      <c r="S37" s="4" t="s">
        <v>3057</v>
      </c>
      <c r="T37" s="4" t="s">
        <v>3057</v>
      </c>
      <c r="U37" s="4">
        <f t="shared" si="0"/>
        <v>3203</v>
      </c>
      <c r="V37" s="5">
        <f t="shared" si="1"/>
        <v>355.88888888888891</v>
      </c>
      <c r="W37" s="5">
        <f t="shared" si="2"/>
        <v>11.862962962962964</v>
      </c>
      <c r="X37" s="7">
        <f t="shared" si="3"/>
        <v>4.839366194201721E-3</v>
      </c>
      <c r="Y37" s="7">
        <f t="shared" si="8"/>
        <v>0.85422452833024531</v>
      </c>
      <c r="Z37" s="7">
        <f t="shared" si="4"/>
        <v>0.65826388995603591</v>
      </c>
      <c r="AA37" t="str">
        <f t="shared" si="5"/>
        <v>B</v>
      </c>
      <c r="AB37" t="str">
        <f t="shared" si="6"/>
        <v>Y</v>
      </c>
      <c r="AC37" t="str">
        <f t="shared" si="7"/>
        <v>BY</v>
      </c>
    </row>
    <row r="38" spans="1:29" x14ac:dyDescent="0.25">
      <c r="A38" t="s">
        <v>360</v>
      </c>
      <c r="C38" s="4">
        <v>336</v>
      </c>
      <c r="D38" s="4">
        <v>196</v>
      </c>
      <c r="E38" s="4">
        <v>256</v>
      </c>
      <c r="F38" s="4">
        <v>44</v>
      </c>
      <c r="G38" s="4">
        <v>100</v>
      </c>
      <c r="H38" s="4">
        <v>84</v>
      </c>
      <c r="I38" s="4">
        <v>28</v>
      </c>
      <c r="J38" s="4">
        <v>116</v>
      </c>
      <c r="K38" s="4">
        <v>272</v>
      </c>
      <c r="L38" s="4">
        <v>84</v>
      </c>
      <c r="M38" s="4">
        <v>84</v>
      </c>
      <c r="N38" s="4">
        <v>178</v>
      </c>
      <c r="O38" s="4">
        <v>250</v>
      </c>
      <c r="P38" s="4">
        <v>168</v>
      </c>
      <c r="Q38" s="4">
        <v>304</v>
      </c>
      <c r="R38" s="4">
        <v>140</v>
      </c>
      <c r="S38" s="4">
        <v>332</v>
      </c>
      <c r="T38" s="4">
        <v>92</v>
      </c>
      <c r="U38" s="4">
        <f t="shared" si="0"/>
        <v>3064</v>
      </c>
      <c r="V38" s="5">
        <f t="shared" si="1"/>
        <v>170.22222222222223</v>
      </c>
      <c r="W38" s="5">
        <f t="shared" si="2"/>
        <v>5.674074074074074</v>
      </c>
      <c r="X38" s="7">
        <f t="shared" si="3"/>
        <v>4.6293531124052675E-3</v>
      </c>
      <c r="Y38" s="7">
        <f t="shared" si="8"/>
        <v>0.85885388144265062</v>
      </c>
      <c r="Z38" s="7">
        <f t="shared" si="4"/>
        <v>0.57045724634939654</v>
      </c>
      <c r="AA38" t="str">
        <f t="shared" si="5"/>
        <v>B</v>
      </c>
      <c r="AB38" t="str">
        <f t="shared" si="6"/>
        <v>Y</v>
      </c>
      <c r="AC38" t="str">
        <f t="shared" si="7"/>
        <v>BY</v>
      </c>
    </row>
    <row r="39" spans="1:29" x14ac:dyDescent="0.25">
      <c r="A39" t="s">
        <v>1785</v>
      </c>
      <c r="B39" t="s">
        <v>2543</v>
      </c>
      <c r="C39" s="4" t="s">
        <v>3057</v>
      </c>
      <c r="D39" s="4" t="s">
        <v>3057</v>
      </c>
      <c r="E39" s="4" t="s">
        <v>3057</v>
      </c>
      <c r="F39" s="4" t="s">
        <v>3057</v>
      </c>
      <c r="G39" s="4" t="s">
        <v>3057</v>
      </c>
      <c r="H39" s="4" t="s">
        <v>3057</v>
      </c>
      <c r="I39" s="4" t="s">
        <v>3057</v>
      </c>
      <c r="J39" s="4" t="s">
        <v>3057</v>
      </c>
      <c r="K39" s="4">
        <v>555.55560000000014</v>
      </c>
      <c r="L39" s="4" t="s">
        <v>3057</v>
      </c>
      <c r="M39" s="4">
        <v>0</v>
      </c>
      <c r="N39" s="4" t="s">
        <v>3057</v>
      </c>
      <c r="O39" s="4" t="s">
        <v>3057</v>
      </c>
      <c r="P39" s="4" t="s">
        <v>3057</v>
      </c>
      <c r="Q39" s="4">
        <v>500</v>
      </c>
      <c r="R39" s="4" t="s">
        <v>3057</v>
      </c>
      <c r="S39" s="4" t="s">
        <v>3057</v>
      </c>
      <c r="T39" s="4">
        <v>1999.9999999999998</v>
      </c>
      <c r="U39" s="4">
        <f t="shared" si="0"/>
        <v>3055.5555999999997</v>
      </c>
      <c r="V39" s="5">
        <f t="shared" si="1"/>
        <v>763.88889999999992</v>
      </c>
      <c r="W39" s="5">
        <f t="shared" si="2"/>
        <v>25.462963333333331</v>
      </c>
      <c r="X39" s="7">
        <f t="shared" si="3"/>
        <v>4.6165945910533104E-3</v>
      </c>
      <c r="Y39" s="7">
        <f t="shared" si="8"/>
        <v>0.86347047603370397</v>
      </c>
      <c r="Z39" s="7">
        <f t="shared" si="4"/>
        <v>0.97624680054813362</v>
      </c>
      <c r="AA39" t="str">
        <f t="shared" si="5"/>
        <v>B</v>
      </c>
      <c r="AB39" t="str">
        <f t="shared" si="6"/>
        <v>Y</v>
      </c>
      <c r="AC39" t="str">
        <f t="shared" si="7"/>
        <v>BY</v>
      </c>
    </row>
    <row r="40" spans="1:29" x14ac:dyDescent="0.25">
      <c r="A40" t="s">
        <v>1629</v>
      </c>
      <c r="B40" t="s">
        <v>2964</v>
      </c>
      <c r="C40" s="4" t="s">
        <v>3057</v>
      </c>
      <c r="D40" s="4" t="s">
        <v>3057</v>
      </c>
      <c r="E40" s="4" t="s">
        <v>3057</v>
      </c>
      <c r="F40" s="4" t="s">
        <v>3057</v>
      </c>
      <c r="G40" s="4" t="s">
        <v>3057</v>
      </c>
      <c r="H40" s="4" t="s">
        <v>3057</v>
      </c>
      <c r="I40" s="4">
        <v>262.5</v>
      </c>
      <c r="J40" s="4">
        <v>1650</v>
      </c>
      <c r="K40" s="4" t="s">
        <v>3057</v>
      </c>
      <c r="L40" s="4" t="s">
        <v>3057</v>
      </c>
      <c r="M40" s="4">
        <v>300</v>
      </c>
      <c r="N40" s="4" t="s">
        <v>3057</v>
      </c>
      <c r="O40" s="4" t="s">
        <v>3057</v>
      </c>
      <c r="P40" s="4">
        <v>5</v>
      </c>
      <c r="Q40" s="4">
        <v>800</v>
      </c>
      <c r="R40" s="4" t="s">
        <v>3057</v>
      </c>
      <c r="S40" s="4" t="s">
        <v>3057</v>
      </c>
      <c r="T40" s="4" t="s">
        <v>3057</v>
      </c>
      <c r="U40" s="4">
        <f t="shared" si="0"/>
        <v>3017.5</v>
      </c>
      <c r="V40" s="5">
        <f t="shared" si="1"/>
        <v>603.5</v>
      </c>
      <c r="W40" s="5">
        <f t="shared" si="2"/>
        <v>20.116666666666667</v>
      </c>
      <c r="X40" s="7">
        <f t="shared" si="3"/>
        <v>4.5590969375596917E-3</v>
      </c>
      <c r="Y40" s="7">
        <f t="shared" si="8"/>
        <v>0.86802957297126371</v>
      </c>
      <c r="Z40" s="7">
        <f t="shared" si="4"/>
        <v>0.96629435047015466</v>
      </c>
      <c r="AA40" t="str">
        <f t="shared" si="5"/>
        <v>B</v>
      </c>
      <c r="AB40" t="str">
        <f t="shared" si="6"/>
        <v>Y</v>
      </c>
      <c r="AC40" t="str">
        <f t="shared" si="7"/>
        <v>BY</v>
      </c>
    </row>
    <row r="41" spans="1:29" x14ac:dyDescent="0.25">
      <c r="A41" t="s">
        <v>1527</v>
      </c>
      <c r="B41" t="s">
        <v>2886</v>
      </c>
      <c r="C41" s="4" t="s">
        <v>3057</v>
      </c>
      <c r="D41" s="4" t="s">
        <v>3057</v>
      </c>
      <c r="E41" s="4" t="s">
        <v>3057</v>
      </c>
      <c r="F41" s="4" t="s">
        <v>3057</v>
      </c>
      <c r="G41" s="4" t="s">
        <v>3057</v>
      </c>
      <c r="H41" s="4">
        <v>1000</v>
      </c>
      <c r="I41" s="4" t="s">
        <v>3057</v>
      </c>
      <c r="J41" s="4" t="s">
        <v>3057</v>
      </c>
      <c r="K41" s="4" t="s">
        <v>3057</v>
      </c>
      <c r="L41" s="4" t="s">
        <v>3057</v>
      </c>
      <c r="M41" s="4">
        <v>0</v>
      </c>
      <c r="N41" s="4" t="s">
        <v>3057</v>
      </c>
      <c r="O41" s="4">
        <v>1000</v>
      </c>
      <c r="P41" s="4">
        <v>1000</v>
      </c>
      <c r="Q41" s="4" t="s">
        <v>3057</v>
      </c>
      <c r="R41" s="4" t="s">
        <v>3057</v>
      </c>
      <c r="S41" s="4" t="s">
        <v>3057</v>
      </c>
      <c r="T41" s="4" t="s">
        <v>3057</v>
      </c>
      <c r="U41" s="4">
        <f t="shared" si="0"/>
        <v>3000</v>
      </c>
      <c r="V41" s="5">
        <f t="shared" si="1"/>
        <v>750</v>
      </c>
      <c r="W41" s="5">
        <f t="shared" si="2"/>
        <v>25</v>
      </c>
      <c r="X41" s="7">
        <f t="shared" si="3"/>
        <v>4.5326564416500658E-3</v>
      </c>
      <c r="Y41" s="7">
        <f t="shared" si="8"/>
        <v>0.87256222941291373</v>
      </c>
      <c r="Z41" s="7">
        <f t="shared" si="4"/>
        <v>0.57735026918962573</v>
      </c>
      <c r="AA41" t="str">
        <f t="shared" si="5"/>
        <v>B</v>
      </c>
      <c r="AB41" t="str">
        <f t="shared" si="6"/>
        <v>Y</v>
      </c>
      <c r="AC41" t="str">
        <f t="shared" si="7"/>
        <v>BY</v>
      </c>
    </row>
    <row r="42" spans="1:29" x14ac:dyDescent="0.25">
      <c r="A42" t="s">
        <v>659</v>
      </c>
      <c r="B42" t="s">
        <v>2602</v>
      </c>
      <c r="C42" s="4" t="s">
        <v>3057</v>
      </c>
      <c r="D42" s="4" t="s">
        <v>3057</v>
      </c>
      <c r="E42" s="4" t="s">
        <v>3057</v>
      </c>
      <c r="F42" s="4">
        <v>400</v>
      </c>
      <c r="G42" s="4">
        <v>200</v>
      </c>
      <c r="H42" s="4">
        <v>224.97589999999991</v>
      </c>
      <c r="I42" s="4">
        <v>100.0241</v>
      </c>
      <c r="J42" s="4">
        <v>424.99999999999994</v>
      </c>
      <c r="K42" s="4">
        <v>452.75869999999935</v>
      </c>
      <c r="L42" s="4">
        <v>125</v>
      </c>
      <c r="M42" s="4">
        <v>125</v>
      </c>
      <c r="N42" s="4">
        <v>100</v>
      </c>
      <c r="O42" s="4" t="s">
        <v>3057</v>
      </c>
      <c r="P42" s="4" t="s">
        <v>3057</v>
      </c>
      <c r="Q42" s="4">
        <v>350</v>
      </c>
      <c r="R42" s="4" t="s">
        <v>3057</v>
      </c>
      <c r="S42" s="4">
        <v>300</v>
      </c>
      <c r="T42" s="4" t="s">
        <v>3057</v>
      </c>
      <c r="U42" s="4">
        <f t="shared" si="0"/>
        <v>2802.7586999999994</v>
      </c>
      <c r="V42" s="5">
        <f t="shared" si="1"/>
        <v>254.79624545454541</v>
      </c>
      <c r="W42" s="5">
        <f t="shared" si="2"/>
        <v>8.493208181818181</v>
      </c>
      <c r="X42" s="7">
        <f t="shared" si="3"/>
        <v>4.2346474253152546E-3</v>
      </c>
      <c r="Y42" s="7">
        <f t="shared" si="8"/>
        <v>0.87679687683822893</v>
      </c>
      <c r="Z42" s="7">
        <f t="shared" si="4"/>
        <v>0.51014575776079918</v>
      </c>
      <c r="AA42" t="str">
        <f t="shared" si="5"/>
        <v>B</v>
      </c>
      <c r="AB42" t="str">
        <f t="shared" si="6"/>
        <v>Y</v>
      </c>
      <c r="AC42" t="str">
        <f t="shared" si="7"/>
        <v>BY</v>
      </c>
    </row>
    <row r="43" spans="1:29" x14ac:dyDescent="0.25">
      <c r="A43" t="s">
        <v>733</v>
      </c>
      <c r="B43" t="s">
        <v>2559</v>
      </c>
      <c r="C43" s="4" t="s">
        <v>3057</v>
      </c>
      <c r="D43" s="4" t="s">
        <v>3057</v>
      </c>
      <c r="E43" s="4">
        <v>416</v>
      </c>
      <c r="F43" s="4">
        <v>64</v>
      </c>
      <c r="G43" s="4">
        <v>128</v>
      </c>
      <c r="H43" s="4">
        <v>96</v>
      </c>
      <c r="I43" s="4">
        <v>32</v>
      </c>
      <c r="J43" s="4">
        <v>160</v>
      </c>
      <c r="K43" s="4">
        <v>320</v>
      </c>
      <c r="L43" s="4">
        <v>96</v>
      </c>
      <c r="M43" s="4">
        <v>96</v>
      </c>
      <c r="N43" s="4">
        <v>32</v>
      </c>
      <c r="O43" s="4" t="s">
        <v>3057</v>
      </c>
      <c r="P43" s="4">
        <v>192</v>
      </c>
      <c r="Q43" s="4">
        <v>412</v>
      </c>
      <c r="R43" s="4">
        <v>310</v>
      </c>
      <c r="S43" s="4">
        <v>384</v>
      </c>
      <c r="T43" s="4">
        <v>64</v>
      </c>
      <c r="U43" s="4">
        <f t="shared" si="0"/>
        <v>2802</v>
      </c>
      <c r="V43" s="5">
        <f t="shared" si="1"/>
        <v>186.8</v>
      </c>
      <c r="W43" s="5">
        <f t="shared" si="2"/>
        <v>6.2266666666666675</v>
      </c>
      <c r="X43" s="7">
        <f t="shared" si="3"/>
        <v>4.2335011165011618E-3</v>
      </c>
      <c r="Y43" s="7">
        <f t="shared" si="8"/>
        <v>0.88103037795473005</v>
      </c>
      <c r="Z43" s="7">
        <f t="shared" si="4"/>
        <v>0.73411215404556296</v>
      </c>
      <c r="AA43" t="str">
        <f t="shared" si="5"/>
        <v>B</v>
      </c>
      <c r="AB43" t="str">
        <f t="shared" si="6"/>
        <v>Y</v>
      </c>
      <c r="AC43" t="str">
        <f t="shared" si="7"/>
        <v>BY</v>
      </c>
    </row>
    <row r="44" spans="1:29" x14ac:dyDescent="0.25">
      <c r="A44" t="s">
        <v>487</v>
      </c>
      <c r="B44" t="s">
        <v>2963</v>
      </c>
      <c r="C44" s="4" t="s">
        <v>3057</v>
      </c>
      <c r="D44" s="4" t="s">
        <v>3057</v>
      </c>
      <c r="E44" s="4" t="s">
        <v>3057</v>
      </c>
      <c r="F44" s="4" t="s">
        <v>3057</v>
      </c>
      <c r="G44" s="4" t="s">
        <v>3057</v>
      </c>
      <c r="H44" s="4" t="s">
        <v>3057</v>
      </c>
      <c r="I44" s="4">
        <v>1800</v>
      </c>
      <c r="J44" s="4" t="s">
        <v>3057</v>
      </c>
      <c r="K44" s="4" t="s">
        <v>3057</v>
      </c>
      <c r="L44" s="4">
        <v>800</v>
      </c>
      <c r="M44" s="4">
        <v>0</v>
      </c>
      <c r="N44" s="4" t="s">
        <v>3057</v>
      </c>
      <c r="O44" s="4" t="s">
        <v>3057</v>
      </c>
      <c r="P44" s="4" t="s">
        <v>3057</v>
      </c>
      <c r="Q44" s="4">
        <v>200</v>
      </c>
      <c r="R44" s="4" t="s">
        <v>3057</v>
      </c>
      <c r="S44" s="4" t="s">
        <v>3057</v>
      </c>
      <c r="T44" s="4" t="s">
        <v>3057</v>
      </c>
      <c r="U44" s="4">
        <f t="shared" si="0"/>
        <v>2800</v>
      </c>
      <c r="V44" s="5">
        <f t="shared" si="1"/>
        <v>700</v>
      </c>
      <c r="W44" s="5">
        <f t="shared" si="2"/>
        <v>23.333333333333332</v>
      </c>
      <c r="X44" s="7">
        <f t="shared" si="3"/>
        <v>4.2304793455400615E-3</v>
      </c>
      <c r="Y44" s="7">
        <f t="shared" si="8"/>
        <v>0.88526085730027015</v>
      </c>
      <c r="Z44" s="7">
        <f t="shared" si="4"/>
        <v>1</v>
      </c>
      <c r="AA44" t="str">
        <f t="shared" si="5"/>
        <v>B</v>
      </c>
      <c r="AB44" t="str">
        <f t="shared" si="6"/>
        <v>Y</v>
      </c>
      <c r="AC44" t="str">
        <f t="shared" si="7"/>
        <v>BY</v>
      </c>
    </row>
    <row r="45" spans="1:29" x14ac:dyDescent="0.25">
      <c r="A45" t="s">
        <v>1089</v>
      </c>
      <c r="B45" t="s">
        <v>2565</v>
      </c>
      <c r="C45" s="4" t="s">
        <v>3057</v>
      </c>
      <c r="D45" s="4" t="s">
        <v>3057</v>
      </c>
      <c r="E45" s="4" t="s">
        <v>3057</v>
      </c>
      <c r="F45" s="4">
        <v>250</v>
      </c>
      <c r="G45" s="4" t="s">
        <v>3057</v>
      </c>
      <c r="H45" s="4" t="s">
        <v>3057</v>
      </c>
      <c r="I45" s="4" t="s">
        <v>3057</v>
      </c>
      <c r="J45" s="4" t="s">
        <v>3057</v>
      </c>
      <c r="K45" s="4" t="s">
        <v>3057</v>
      </c>
      <c r="L45" s="4" t="s">
        <v>3057</v>
      </c>
      <c r="M45" s="4">
        <v>1750</v>
      </c>
      <c r="N45" s="4" t="s">
        <v>3057</v>
      </c>
      <c r="O45" s="4" t="s">
        <v>3057</v>
      </c>
      <c r="P45" s="4">
        <v>194</v>
      </c>
      <c r="Q45" s="4" t="s">
        <v>3057</v>
      </c>
      <c r="R45" s="4" t="s">
        <v>3057</v>
      </c>
      <c r="S45" s="4">
        <v>600</v>
      </c>
      <c r="T45" s="4" t="s">
        <v>3057</v>
      </c>
      <c r="U45" s="4">
        <f t="shared" si="0"/>
        <v>2794</v>
      </c>
      <c r="V45" s="5">
        <f t="shared" si="1"/>
        <v>698.5</v>
      </c>
      <c r="W45" s="5">
        <f t="shared" si="2"/>
        <v>23.283333333333335</v>
      </c>
      <c r="X45" s="7">
        <f t="shared" si="3"/>
        <v>4.2214140326567616E-3</v>
      </c>
      <c r="Y45" s="7">
        <f t="shared" si="8"/>
        <v>0.8894822713329269</v>
      </c>
      <c r="Z45" s="7">
        <f t="shared" si="4"/>
        <v>0.89721271240638167</v>
      </c>
      <c r="AA45" t="str">
        <f t="shared" si="5"/>
        <v>B</v>
      </c>
      <c r="AB45" t="str">
        <f t="shared" si="6"/>
        <v>Y</v>
      </c>
      <c r="AC45" t="str">
        <f t="shared" si="7"/>
        <v>BY</v>
      </c>
    </row>
    <row r="46" spans="1:29" x14ac:dyDescent="0.25">
      <c r="A46" t="s">
        <v>1095</v>
      </c>
      <c r="B46" t="s">
        <v>2902</v>
      </c>
      <c r="C46" s="4" t="s">
        <v>3057</v>
      </c>
      <c r="D46" s="4" t="s">
        <v>3057</v>
      </c>
      <c r="E46" s="4" t="s">
        <v>3057</v>
      </c>
      <c r="F46" s="4">
        <v>350</v>
      </c>
      <c r="G46" s="4">
        <v>50</v>
      </c>
      <c r="H46" s="4">
        <v>66.666799999999995</v>
      </c>
      <c r="I46" s="4">
        <v>300</v>
      </c>
      <c r="J46" s="4">
        <v>200.33320000000001</v>
      </c>
      <c r="K46" s="4" t="s">
        <v>3057</v>
      </c>
      <c r="L46" s="4">
        <v>540</v>
      </c>
      <c r="M46" s="4">
        <v>800</v>
      </c>
      <c r="N46" s="4" t="s">
        <v>3057</v>
      </c>
      <c r="O46" s="4">
        <v>200</v>
      </c>
      <c r="P46" s="4" t="s">
        <v>3057</v>
      </c>
      <c r="Q46" s="4">
        <v>250</v>
      </c>
      <c r="R46" s="4" t="s">
        <v>3057</v>
      </c>
      <c r="S46" s="4" t="s">
        <v>3057</v>
      </c>
      <c r="T46" s="4" t="s">
        <v>3057</v>
      </c>
      <c r="U46" s="4">
        <f t="shared" si="0"/>
        <v>2757</v>
      </c>
      <c r="V46" s="5">
        <f t="shared" si="1"/>
        <v>306.33333333333331</v>
      </c>
      <c r="W46" s="5">
        <f t="shared" si="2"/>
        <v>10.21111111111111</v>
      </c>
      <c r="X46" s="7">
        <f t="shared" si="3"/>
        <v>4.1655112698764105E-3</v>
      </c>
      <c r="Y46" s="7">
        <f t="shared" si="8"/>
        <v>0.89364778260280331</v>
      </c>
      <c r="Z46" s="7">
        <f t="shared" si="4"/>
        <v>0.72922939199129699</v>
      </c>
      <c r="AA46" t="str">
        <f t="shared" si="5"/>
        <v>B</v>
      </c>
      <c r="AB46" t="str">
        <f t="shared" si="6"/>
        <v>Y</v>
      </c>
      <c r="AC46" t="str">
        <f t="shared" si="7"/>
        <v>BY</v>
      </c>
    </row>
    <row r="47" spans="1:29" x14ac:dyDescent="0.25">
      <c r="A47" t="s">
        <v>676</v>
      </c>
      <c r="B47" t="s">
        <v>2586</v>
      </c>
      <c r="C47" s="4" t="s">
        <v>3057</v>
      </c>
      <c r="D47" s="4" t="s">
        <v>3057</v>
      </c>
      <c r="E47" s="4" t="s">
        <v>3057</v>
      </c>
      <c r="F47" s="4" t="s">
        <v>3057</v>
      </c>
      <c r="G47" s="4">
        <v>175</v>
      </c>
      <c r="H47" s="4" t="s">
        <v>3057</v>
      </c>
      <c r="I47" s="4">
        <v>325</v>
      </c>
      <c r="J47" s="4">
        <v>287.69360000000006</v>
      </c>
      <c r="K47" s="4" t="s">
        <v>3057</v>
      </c>
      <c r="L47" s="4">
        <v>886.00000000000034</v>
      </c>
      <c r="M47" s="4">
        <v>500</v>
      </c>
      <c r="N47" s="4" t="s">
        <v>3057</v>
      </c>
      <c r="O47" s="4" t="s">
        <v>3057</v>
      </c>
      <c r="P47" s="4" t="s">
        <v>3057</v>
      </c>
      <c r="Q47" s="4">
        <v>83</v>
      </c>
      <c r="R47" s="4">
        <v>8</v>
      </c>
      <c r="S47" s="4">
        <v>191</v>
      </c>
      <c r="T47" s="4" t="s">
        <v>3057</v>
      </c>
      <c r="U47" s="4">
        <f t="shared" si="0"/>
        <v>2455.6936000000005</v>
      </c>
      <c r="V47" s="5">
        <f t="shared" si="1"/>
        <v>306.96170000000006</v>
      </c>
      <c r="W47" s="5">
        <f t="shared" si="2"/>
        <v>10.232056666666669</v>
      </c>
      <c r="X47" s="7">
        <f t="shared" si="3"/>
        <v>3.7102718049196143E-3</v>
      </c>
      <c r="Y47" s="7">
        <f t="shared" si="8"/>
        <v>0.89735805440772287</v>
      </c>
      <c r="Z47" s="7">
        <f t="shared" si="4"/>
        <v>0.84923523533850565</v>
      </c>
      <c r="AA47" t="str">
        <f t="shared" si="5"/>
        <v>B</v>
      </c>
      <c r="AB47" t="str">
        <f t="shared" si="6"/>
        <v>Y</v>
      </c>
      <c r="AC47" t="str">
        <f t="shared" si="7"/>
        <v>BY</v>
      </c>
    </row>
    <row r="48" spans="1:29" x14ac:dyDescent="0.25">
      <c r="A48" t="s">
        <v>623</v>
      </c>
      <c r="B48" t="s">
        <v>2562</v>
      </c>
      <c r="C48" s="4" t="s">
        <v>3057</v>
      </c>
      <c r="D48" s="4" t="s">
        <v>3057</v>
      </c>
      <c r="E48" s="4" t="s">
        <v>3057</v>
      </c>
      <c r="F48" s="4">
        <v>140</v>
      </c>
      <c r="G48" s="4">
        <v>360</v>
      </c>
      <c r="H48" s="4">
        <v>200.00039999999996</v>
      </c>
      <c r="I48" s="4">
        <v>54</v>
      </c>
      <c r="J48" s="4">
        <v>119.00000000000001</v>
      </c>
      <c r="K48" s="4" t="s">
        <v>3057</v>
      </c>
      <c r="L48" s="4">
        <v>97</v>
      </c>
      <c r="M48" s="4">
        <v>0</v>
      </c>
      <c r="N48" s="4" t="s">
        <v>3057</v>
      </c>
      <c r="O48" s="4">
        <v>284</v>
      </c>
      <c r="P48" s="4">
        <v>385</v>
      </c>
      <c r="Q48" s="4" t="s">
        <v>3057</v>
      </c>
      <c r="R48" s="4">
        <v>435.00000000000006</v>
      </c>
      <c r="S48" s="4">
        <v>250</v>
      </c>
      <c r="T48" s="4" t="s">
        <v>3057</v>
      </c>
      <c r="U48" s="4">
        <f t="shared" si="0"/>
        <v>2324.0003999999999</v>
      </c>
      <c r="V48" s="5">
        <f t="shared" si="1"/>
        <v>211.27276363636363</v>
      </c>
      <c r="W48" s="5">
        <f t="shared" si="2"/>
        <v>7.0424254545454543</v>
      </c>
      <c r="X48" s="7">
        <f t="shared" si="3"/>
        <v>3.5112984611524434E-3</v>
      </c>
      <c r="Y48" s="7">
        <f t="shared" si="8"/>
        <v>0.90086935286887526</v>
      </c>
      <c r="Z48" s="7">
        <f t="shared" si="4"/>
        <v>0.64661899052601857</v>
      </c>
      <c r="AA48" t="str">
        <f t="shared" si="5"/>
        <v>C</v>
      </c>
      <c r="AB48" t="str">
        <f t="shared" si="6"/>
        <v>Y</v>
      </c>
      <c r="AC48" t="str">
        <f t="shared" si="7"/>
        <v>CY</v>
      </c>
    </row>
    <row r="49" spans="1:29" x14ac:dyDescent="0.25">
      <c r="A49" t="s">
        <v>596</v>
      </c>
      <c r="B49" t="s">
        <v>2552</v>
      </c>
      <c r="C49" s="4" t="s">
        <v>3057</v>
      </c>
      <c r="D49" s="4" t="s">
        <v>3057</v>
      </c>
      <c r="E49" s="4" t="s">
        <v>3057</v>
      </c>
      <c r="F49" s="4" t="s">
        <v>3057</v>
      </c>
      <c r="G49" s="4" t="s">
        <v>3057</v>
      </c>
      <c r="H49" s="4" t="s">
        <v>3057</v>
      </c>
      <c r="I49" s="4">
        <v>250.00000000000003</v>
      </c>
      <c r="J49" s="4" t="s">
        <v>3057</v>
      </c>
      <c r="K49" s="4" t="s">
        <v>3057</v>
      </c>
      <c r="L49" s="4" t="s">
        <v>3057</v>
      </c>
      <c r="M49" s="4">
        <v>0</v>
      </c>
      <c r="N49" s="4" t="s">
        <v>3057</v>
      </c>
      <c r="O49" s="4" t="s">
        <v>3057</v>
      </c>
      <c r="P49" s="4" t="s">
        <v>3057</v>
      </c>
      <c r="Q49" s="4">
        <v>1000</v>
      </c>
      <c r="R49" s="4">
        <v>1000</v>
      </c>
      <c r="S49" s="4" t="s">
        <v>3057</v>
      </c>
      <c r="T49" s="4" t="s">
        <v>3057</v>
      </c>
      <c r="U49" s="4">
        <f t="shared" si="0"/>
        <v>2250</v>
      </c>
      <c r="V49" s="5">
        <f t="shared" si="1"/>
        <v>562.5</v>
      </c>
      <c r="W49" s="5">
        <f t="shared" si="2"/>
        <v>18.75</v>
      </c>
      <c r="X49" s="7">
        <f t="shared" si="3"/>
        <v>3.3994923312375496E-3</v>
      </c>
      <c r="Y49" s="7">
        <f t="shared" si="8"/>
        <v>0.90426884520011286</v>
      </c>
      <c r="Z49" s="7">
        <f t="shared" si="4"/>
        <v>0.79349204761587222</v>
      </c>
      <c r="AA49" t="str">
        <f t="shared" si="5"/>
        <v>C</v>
      </c>
      <c r="AB49" t="str">
        <f t="shared" si="6"/>
        <v>Y</v>
      </c>
      <c r="AC49" t="str">
        <f t="shared" si="7"/>
        <v>CY</v>
      </c>
    </row>
    <row r="50" spans="1:29" x14ac:dyDescent="0.25">
      <c r="A50" t="s">
        <v>945</v>
      </c>
      <c r="B50" t="s">
        <v>2581</v>
      </c>
      <c r="C50" s="4" t="s">
        <v>3057</v>
      </c>
      <c r="D50" s="4" t="s">
        <v>3057</v>
      </c>
      <c r="E50" s="4" t="s">
        <v>3057</v>
      </c>
      <c r="F50" s="4">
        <v>200</v>
      </c>
      <c r="G50" s="4" t="s">
        <v>3057</v>
      </c>
      <c r="H50" s="4">
        <v>250</v>
      </c>
      <c r="I50" s="4">
        <v>92.999999999999986</v>
      </c>
      <c r="J50" s="4">
        <v>555.55560000000014</v>
      </c>
      <c r="K50" s="4" t="s">
        <v>3057</v>
      </c>
      <c r="L50" s="4" t="s">
        <v>3057</v>
      </c>
      <c r="M50" s="4">
        <v>0</v>
      </c>
      <c r="N50" s="4" t="s">
        <v>3057</v>
      </c>
      <c r="O50" s="4">
        <v>300</v>
      </c>
      <c r="P50" s="4" t="s">
        <v>3057</v>
      </c>
      <c r="Q50" s="4">
        <v>500</v>
      </c>
      <c r="R50" s="4">
        <v>300</v>
      </c>
      <c r="S50" s="4" t="s">
        <v>3057</v>
      </c>
      <c r="T50" s="4" t="s">
        <v>3057</v>
      </c>
      <c r="U50" s="4">
        <f t="shared" si="0"/>
        <v>2198.5556000000001</v>
      </c>
      <c r="V50" s="5">
        <f t="shared" si="1"/>
        <v>274.81945000000002</v>
      </c>
      <c r="W50" s="5">
        <f t="shared" si="2"/>
        <v>9.1606483333333344</v>
      </c>
      <c r="X50" s="7">
        <f t="shared" si="3"/>
        <v>3.3217657342219423E-3</v>
      </c>
      <c r="Y50" s="7">
        <f t="shared" si="8"/>
        <v>0.9075906109343348</v>
      </c>
      <c r="Z50" s="7">
        <f t="shared" si="4"/>
        <v>0.6375417373282275</v>
      </c>
      <c r="AA50" t="str">
        <f t="shared" si="5"/>
        <v>C</v>
      </c>
      <c r="AB50" t="str">
        <f t="shared" si="6"/>
        <v>Y</v>
      </c>
      <c r="AC50" t="str">
        <f t="shared" si="7"/>
        <v>CY</v>
      </c>
    </row>
    <row r="51" spans="1:29" x14ac:dyDescent="0.25">
      <c r="A51" t="s">
        <v>162</v>
      </c>
      <c r="B51" t="s">
        <v>2578</v>
      </c>
      <c r="C51" s="4" t="s">
        <v>3057</v>
      </c>
      <c r="D51" s="4" t="s">
        <v>3057</v>
      </c>
      <c r="E51" s="4" t="s">
        <v>3057</v>
      </c>
      <c r="F51" s="4">
        <v>139</v>
      </c>
      <c r="G51" s="4">
        <v>190.00000000000006</v>
      </c>
      <c r="H51" s="4">
        <v>125</v>
      </c>
      <c r="I51" s="4">
        <v>168.00000000000006</v>
      </c>
      <c r="J51" s="4">
        <v>158</v>
      </c>
      <c r="K51" s="4">
        <v>177</v>
      </c>
      <c r="L51" s="4">
        <v>91.000000000000028</v>
      </c>
      <c r="M51" s="4">
        <v>80</v>
      </c>
      <c r="N51" s="4" t="s">
        <v>3057</v>
      </c>
      <c r="O51" s="4">
        <v>194</v>
      </c>
      <c r="P51" s="4">
        <v>89.999999999999986</v>
      </c>
      <c r="Q51" s="4">
        <v>160</v>
      </c>
      <c r="R51" s="4">
        <v>135.00000000000003</v>
      </c>
      <c r="S51" s="4">
        <v>117.99999999999999</v>
      </c>
      <c r="T51" s="4">
        <v>176.00000000000006</v>
      </c>
      <c r="U51" s="4">
        <f t="shared" si="0"/>
        <v>2001.0000000000002</v>
      </c>
      <c r="V51" s="5">
        <f t="shared" si="1"/>
        <v>142.92857142857144</v>
      </c>
      <c r="W51" s="5">
        <f t="shared" si="2"/>
        <v>4.7642857142857151</v>
      </c>
      <c r="X51" s="7">
        <f t="shared" si="3"/>
        <v>3.0232818465805943E-3</v>
      </c>
      <c r="Y51" s="7">
        <f t="shared" si="8"/>
        <v>0.91061389278091542</v>
      </c>
      <c r="Z51" s="7">
        <f t="shared" si="4"/>
        <v>0.25573781851287519</v>
      </c>
      <c r="AA51" t="str">
        <f t="shared" si="5"/>
        <v>C</v>
      </c>
      <c r="AB51" t="str">
        <f t="shared" si="6"/>
        <v>X</v>
      </c>
      <c r="AC51" t="str">
        <f t="shared" si="7"/>
        <v>CX</v>
      </c>
    </row>
    <row r="52" spans="1:29" x14ac:dyDescent="0.25">
      <c r="A52" t="s">
        <v>652</v>
      </c>
      <c r="B52" t="s">
        <v>2609</v>
      </c>
      <c r="C52" s="4" t="s">
        <v>3057</v>
      </c>
      <c r="D52" s="4" t="s">
        <v>3057</v>
      </c>
      <c r="E52" s="4" t="s">
        <v>3057</v>
      </c>
      <c r="F52" s="4" t="s">
        <v>3057</v>
      </c>
      <c r="G52" s="4" t="s">
        <v>3057</v>
      </c>
      <c r="H52" s="4">
        <v>199.99999999999997</v>
      </c>
      <c r="I52" s="4">
        <v>300</v>
      </c>
      <c r="J52" s="4">
        <v>50</v>
      </c>
      <c r="K52" s="4">
        <v>275.03999999999996</v>
      </c>
      <c r="L52" s="4">
        <v>549.99999999999989</v>
      </c>
      <c r="M52" s="4">
        <v>0</v>
      </c>
      <c r="N52" s="4" t="s">
        <v>3057</v>
      </c>
      <c r="O52" s="4">
        <v>200</v>
      </c>
      <c r="P52" s="4">
        <v>300</v>
      </c>
      <c r="Q52" s="4" t="s">
        <v>3057</v>
      </c>
      <c r="R52" s="4">
        <v>16</v>
      </c>
      <c r="S52" s="4">
        <v>66</v>
      </c>
      <c r="T52" s="4" t="s">
        <v>3057</v>
      </c>
      <c r="U52" s="4">
        <f t="shared" si="0"/>
        <v>1957.04</v>
      </c>
      <c r="V52" s="5">
        <f t="shared" si="1"/>
        <v>195.70400000000001</v>
      </c>
      <c r="W52" s="5">
        <f t="shared" si="2"/>
        <v>6.5234666666666667</v>
      </c>
      <c r="X52" s="7">
        <f t="shared" si="3"/>
        <v>2.9568633208556152E-3</v>
      </c>
      <c r="Y52" s="7">
        <f t="shared" si="8"/>
        <v>0.91357075610177108</v>
      </c>
      <c r="Z52" s="7">
        <f t="shared" si="4"/>
        <v>0.82749435344899913</v>
      </c>
      <c r="AA52" t="str">
        <f t="shared" si="5"/>
        <v>C</v>
      </c>
      <c r="AB52" t="str">
        <f t="shared" si="6"/>
        <v>Y</v>
      </c>
      <c r="AC52" t="str">
        <f t="shared" si="7"/>
        <v>CY</v>
      </c>
    </row>
    <row r="53" spans="1:29" x14ac:dyDescent="0.25">
      <c r="A53" t="s">
        <v>624</v>
      </c>
      <c r="B53" t="s">
        <v>2555</v>
      </c>
      <c r="C53" s="4" t="s">
        <v>3057</v>
      </c>
      <c r="D53" s="4" t="s">
        <v>3057</v>
      </c>
      <c r="E53" s="4" t="s">
        <v>3057</v>
      </c>
      <c r="F53" s="4" t="s">
        <v>3057</v>
      </c>
      <c r="G53" s="4">
        <v>70</v>
      </c>
      <c r="H53" s="4" t="s">
        <v>3057</v>
      </c>
      <c r="I53" s="4">
        <v>320</v>
      </c>
      <c r="J53" s="4">
        <v>288.75</v>
      </c>
      <c r="K53" s="4">
        <v>210</v>
      </c>
      <c r="L53" s="4">
        <v>100</v>
      </c>
      <c r="M53" s="4">
        <v>0</v>
      </c>
      <c r="N53" s="4" t="s">
        <v>3057</v>
      </c>
      <c r="O53" s="4" t="s">
        <v>3057</v>
      </c>
      <c r="P53" s="4">
        <v>14</v>
      </c>
      <c r="Q53" s="4" t="s">
        <v>3057</v>
      </c>
      <c r="R53" s="4">
        <v>340</v>
      </c>
      <c r="S53" s="4">
        <v>600</v>
      </c>
      <c r="T53" s="4" t="s">
        <v>3057</v>
      </c>
      <c r="U53" s="4">
        <f t="shared" si="0"/>
        <v>1942.75</v>
      </c>
      <c r="V53" s="5">
        <f t="shared" si="1"/>
        <v>215.86111111111111</v>
      </c>
      <c r="W53" s="5">
        <f t="shared" si="2"/>
        <v>7.1953703703703704</v>
      </c>
      <c r="X53" s="7">
        <f t="shared" si="3"/>
        <v>2.9352727673385556E-3</v>
      </c>
      <c r="Y53" s="7">
        <f t="shared" si="8"/>
        <v>0.91650602886910959</v>
      </c>
      <c r="Z53" s="7">
        <f t="shared" si="4"/>
        <v>0.84749641283220112</v>
      </c>
      <c r="AA53" t="str">
        <f t="shared" si="5"/>
        <v>C</v>
      </c>
      <c r="AB53" t="str">
        <f t="shared" si="6"/>
        <v>Y</v>
      </c>
      <c r="AC53" t="str">
        <f t="shared" si="7"/>
        <v>CY</v>
      </c>
    </row>
    <row r="54" spans="1:29" x14ac:dyDescent="0.25">
      <c r="A54" t="s">
        <v>732</v>
      </c>
      <c r="B54" t="s">
        <v>2591</v>
      </c>
      <c r="C54" s="4" t="s">
        <v>3057</v>
      </c>
      <c r="D54" s="4" t="s">
        <v>3057</v>
      </c>
      <c r="E54" s="4" t="s">
        <v>3057</v>
      </c>
      <c r="F54" s="4" t="s">
        <v>3057</v>
      </c>
      <c r="G54" s="4">
        <v>200</v>
      </c>
      <c r="H54" s="4">
        <v>200.00010000000003</v>
      </c>
      <c r="I54" s="4" t="s">
        <v>3057</v>
      </c>
      <c r="J54" s="4">
        <v>600</v>
      </c>
      <c r="K54" s="4">
        <v>150</v>
      </c>
      <c r="L54" s="4">
        <v>150</v>
      </c>
      <c r="M54" s="4">
        <v>73.000000000000014</v>
      </c>
      <c r="N54" s="4" t="s">
        <v>3057</v>
      </c>
      <c r="O54" s="4" t="s">
        <v>3057</v>
      </c>
      <c r="P54" s="4">
        <v>146</v>
      </c>
      <c r="Q54" s="4" t="s">
        <v>3057</v>
      </c>
      <c r="R54" s="4">
        <v>130</v>
      </c>
      <c r="S54" s="4" t="s">
        <v>3057</v>
      </c>
      <c r="T54" s="4">
        <v>30</v>
      </c>
      <c r="U54" s="4">
        <f t="shared" si="0"/>
        <v>1679.0001</v>
      </c>
      <c r="V54" s="5">
        <f t="shared" si="1"/>
        <v>186.55556666666666</v>
      </c>
      <c r="W54" s="5">
        <f t="shared" si="2"/>
        <v>6.2185188888888892</v>
      </c>
      <c r="X54" s="7">
        <f t="shared" si="3"/>
        <v>2.536776872932035E-3</v>
      </c>
      <c r="Y54" s="7">
        <f t="shared" si="8"/>
        <v>0.91904280574204167</v>
      </c>
      <c r="Z54" s="7">
        <f t="shared" si="4"/>
        <v>0.83083863110155787</v>
      </c>
      <c r="AA54" t="str">
        <f t="shared" si="5"/>
        <v>C</v>
      </c>
      <c r="AB54" t="str">
        <f t="shared" si="6"/>
        <v>Y</v>
      </c>
      <c r="AC54" t="str">
        <f t="shared" si="7"/>
        <v>CY</v>
      </c>
    </row>
    <row r="55" spans="1:29" x14ac:dyDescent="0.25">
      <c r="A55" t="s">
        <v>103</v>
      </c>
      <c r="B55" t="s">
        <v>2695</v>
      </c>
      <c r="C55" s="4" t="s">
        <v>3057</v>
      </c>
      <c r="D55" s="4" t="s">
        <v>3057</v>
      </c>
      <c r="E55" s="4" t="s">
        <v>3057</v>
      </c>
      <c r="F55" s="4">
        <v>89</v>
      </c>
      <c r="G55" s="4">
        <v>196.50020000000006</v>
      </c>
      <c r="H55" s="4">
        <v>218.49979999999996</v>
      </c>
      <c r="I55" s="4">
        <v>148</v>
      </c>
      <c r="J55" s="4">
        <v>36.999999999999993</v>
      </c>
      <c r="K55" s="4">
        <v>83.999999999999957</v>
      </c>
      <c r="L55" s="4">
        <v>56.999999999999986</v>
      </c>
      <c r="M55" s="4">
        <v>34.999999999999993</v>
      </c>
      <c r="N55" s="4">
        <v>14</v>
      </c>
      <c r="O55" s="4">
        <v>72</v>
      </c>
      <c r="P55" s="4">
        <v>120.99999999999997</v>
      </c>
      <c r="Q55" s="4">
        <v>274</v>
      </c>
      <c r="R55" s="4">
        <v>73.000000000000014</v>
      </c>
      <c r="S55" s="4">
        <v>93</v>
      </c>
      <c r="T55" s="4">
        <v>124.00000000000001</v>
      </c>
      <c r="U55" s="4">
        <f t="shared" si="0"/>
        <v>1636</v>
      </c>
      <c r="V55" s="5">
        <f t="shared" si="1"/>
        <v>109.06666666666666</v>
      </c>
      <c r="W55" s="5">
        <f t="shared" si="2"/>
        <v>3.6355555555555554</v>
      </c>
      <c r="X55" s="7">
        <f t="shared" si="3"/>
        <v>2.471808646179836E-3</v>
      </c>
      <c r="Y55" s="7">
        <f t="shared" si="8"/>
        <v>0.92151461438822146</v>
      </c>
      <c r="Z55" s="7">
        <f t="shared" si="4"/>
        <v>0.64874191759560307</v>
      </c>
      <c r="AA55" t="str">
        <f t="shared" si="5"/>
        <v>C</v>
      </c>
      <c r="AB55" t="str">
        <f t="shared" si="6"/>
        <v>Y</v>
      </c>
      <c r="AC55" t="str">
        <f t="shared" si="7"/>
        <v>CY</v>
      </c>
    </row>
    <row r="56" spans="1:29" x14ac:dyDescent="0.25">
      <c r="A56" t="s">
        <v>383</v>
      </c>
      <c r="B56" t="s">
        <v>2583</v>
      </c>
      <c r="C56" s="4">
        <v>79</v>
      </c>
      <c r="D56" s="4">
        <v>144</v>
      </c>
      <c r="E56" s="4">
        <v>208</v>
      </c>
      <c r="F56" s="4">
        <v>32</v>
      </c>
      <c r="G56" s="4">
        <v>64</v>
      </c>
      <c r="H56" s="4">
        <v>48</v>
      </c>
      <c r="I56" s="4">
        <v>16</v>
      </c>
      <c r="J56" s="4">
        <v>112</v>
      </c>
      <c r="K56" s="4">
        <v>160</v>
      </c>
      <c r="L56" s="4">
        <v>48</v>
      </c>
      <c r="M56" s="4">
        <v>48</v>
      </c>
      <c r="N56" s="4">
        <v>16</v>
      </c>
      <c r="O56" s="4">
        <v>50</v>
      </c>
      <c r="P56" s="4">
        <v>96</v>
      </c>
      <c r="Q56" s="4">
        <v>206</v>
      </c>
      <c r="R56" s="4">
        <v>80</v>
      </c>
      <c r="S56" s="4">
        <v>192</v>
      </c>
      <c r="T56" s="4">
        <v>32</v>
      </c>
      <c r="U56" s="4">
        <f t="shared" si="0"/>
        <v>1631</v>
      </c>
      <c r="V56" s="5">
        <f t="shared" si="1"/>
        <v>90.611111111111114</v>
      </c>
      <c r="W56" s="5">
        <f t="shared" si="2"/>
        <v>3.0203703703703706</v>
      </c>
      <c r="X56" s="7">
        <f t="shared" si="3"/>
        <v>2.4642542187770862E-3</v>
      </c>
      <c r="Y56" s="7">
        <f t="shared" si="8"/>
        <v>0.92397886860699852</v>
      </c>
      <c r="Z56" s="7">
        <f t="shared" si="4"/>
        <v>0.69596123220612427</v>
      </c>
      <c r="AA56" t="str">
        <f t="shared" si="5"/>
        <v>C</v>
      </c>
      <c r="AB56" t="str">
        <f t="shared" si="6"/>
        <v>Y</v>
      </c>
      <c r="AC56" t="str">
        <f t="shared" si="7"/>
        <v>CY</v>
      </c>
    </row>
    <row r="57" spans="1:29" x14ac:dyDescent="0.25">
      <c r="A57" t="s">
        <v>661</v>
      </c>
      <c r="B57" t="s">
        <v>2643</v>
      </c>
      <c r="C57" s="4" t="s">
        <v>3057</v>
      </c>
      <c r="D57" s="4" t="s">
        <v>3057</v>
      </c>
      <c r="E57" s="4" t="s">
        <v>3057</v>
      </c>
      <c r="F57" s="4">
        <v>244.99999999999972</v>
      </c>
      <c r="G57" s="4">
        <v>133.50000000000003</v>
      </c>
      <c r="H57" s="4">
        <v>112.24999999999996</v>
      </c>
      <c r="I57" s="4">
        <v>67.748400000000004</v>
      </c>
      <c r="J57" s="4">
        <v>119</v>
      </c>
      <c r="K57" s="4">
        <v>88</v>
      </c>
      <c r="L57" s="4">
        <v>145.8300000000001</v>
      </c>
      <c r="M57" s="4">
        <v>71</v>
      </c>
      <c r="N57" s="4" t="s">
        <v>3057</v>
      </c>
      <c r="O57" s="4">
        <v>26.000000000000007</v>
      </c>
      <c r="P57" s="4">
        <v>35</v>
      </c>
      <c r="Q57" s="4">
        <v>201.00000000000011</v>
      </c>
      <c r="R57" s="4">
        <v>176.00000000000006</v>
      </c>
      <c r="S57" s="4">
        <v>20</v>
      </c>
      <c r="T57" s="4" t="s">
        <v>3057</v>
      </c>
      <c r="U57" s="4">
        <f t="shared" si="0"/>
        <v>1440.3283999999999</v>
      </c>
      <c r="V57" s="5">
        <f t="shared" si="1"/>
        <v>110.79449230769229</v>
      </c>
      <c r="W57" s="5">
        <f t="shared" si="2"/>
        <v>3.6931497435897431</v>
      </c>
      <c r="X57" s="7">
        <f t="shared" si="3"/>
        <v>2.1761712667838443E-3</v>
      </c>
      <c r="Y57" s="7">
        <f t="shared" si="8"/>
        <v>0.92615503987378234</v>
      </c>
      <c r="Z57" s="7">
        <f t="shared" si="4"/>
        <v>0.59946779555637653</v>
      </c>
      <c r="AA57" t="str">
        <f t="shared" si="5"/>
        <v>C</v>
      </c>
      <c r="AB57" t="str">
        <f t="shared" si="6"/>
        <v>Y</v>
      </c>
      <c r="AC57" t="str">
        <f t="shared" si="7"/>
        <v>CY</v>
      </c>
    </row>
    <row r="58" spans="1:29" x14ac:dyDescent="0.25">
      <c r="A58" t="s">
        <v>1524</v>
      </c>
      <c r="B58" t="s">
        <v>2585</v>
      </c>
      <c r="C58" s="4" t="s">
        <v>3057</v>
      </c>
      <c r="D58" s="4" t="s">
        <v>3057</v>
      </c>
      <c r="E58" s="4" t="s">
        <v>3057</v>
      </c>
      <c r="F58" s="4" t="s">
        <v>3057</v>
      </c>
      <c r="G58" s="4" t="s">
        <v>3057</v>
      </c>
      <c r="H58" s="4">
        <v>250</v>
      </c>
      <c r="I58" s="4" t="s">
        <v>3057</v>
      </c>
      <c r="J58" s="4" t="s">
        <v>3057</v>
      </c>
      <c r="K58" s="4" t="s">
        <v>3057</v>
      </c>
      <c r="L58" s="4">
        <v>300</v>
      </c>
      <c r="M58" s="4">
        <v>350</v>
      </c>
      <c r="N58" s="4" t="s">
        <v>3057</v>
      </c>
      <c r="O58" s="4" t="s">
        <v>3057</v>
      </c>
      <c r="P58" s="4">
        <v>200</v>
      </c>
      <c r="Q58" s="4" t="s">
        <v>3057</v>
      </c>
      <c r="R58" s="4">
        <v>200</v>
      </c>
      <c r="S58" s="4" t="s">
        <v>3057</v>
      </c>
      <c r="T58" s="4" t="s">
        <v>3057</v>
      </c>
      <c r="U58" s="4">
        <f t="shared" si="0"/>
        <v>1300</v>
      </c>
      <c r="V58" s="5">
        <f t="shared" si="1"/>
        <v>260</v>
      </c>
      <c r="W58" s="5">
        <f t="shared" si="2"/>
        <v>8.6666666666666661</v>
      </c>
      <c r="X58" s="7">
        <f t="shared" si="3"/>
        <v>1.9641511247150286E-3</v>
      </c>
      <c r="Y58" s="7">
        <f t="shared" si="8"/>
        <v>0.92811919099849738</v>
      </c>
      <c r="Z58" s="7">
        <f t="shared" si="4"/>
        <v>0.22426738057097309</v>
      </c>
      <c r="AA58" t="str">
        <f t="shared" si="5"/>
        <v>C</v>
      </c>
      <c r="AB58" t="str">
        <f t="shared" si="6"/>
        <v>X</v>
      </c>
      <c r="AC58" t="str">
        <f t="shared" si="7"/>
        <v>CX</v>
      </c>
    </row>
    <row r="59" spans="1:29" x14ac:dyDescent="0.25">
      <c r="A59" t="s">
        <v>556</v>
      </c>
      <c r="B59" t="s">
        <v>2577</v>
      </c>
      <c r="C59" s="4" t="s">
        <v>3057</v>
      </c>
      <c r="D59" s="4" t="s">
        <v>3057</v>
      </c>
      <c r="E59" s="4" t="s">
        <v>3057</v>
      </c>
      <c r="F59" s="4" t="s">
        <v>3057</v>
      </c>
      <c r="G59" s="4">
        <v>200</v>
      </c>
      <c r="H59" s="4">
        <v>250</v>
      </c>
      <c r="I59" s="4">
        <v>199.99999999999997</v>
      </c>
      <c r="J59" s="4" t="s">
        <v>3057</v>
      </c>
      <c r="K59" s="4" t="s">
        <v>3057</v>
      </c>
      <c r="L59" s="4" t="s">
        <v>3057</v>
      </c>
      <c r="M59" s="4">
        <v>0</v>
      </c>
      <c r="N59" s="4" t="s">
        <v>3057</v>
      </c>
      <c r="O59" s="4" t="s">
        <v>3057</v>
      </c>
      <c r="P59" s="4">
        <v>200</v>
      </c>
      <c r="Q59" s="4" t="s">
        <v>3057</v>
      </c>
      <c r="R59" s="4">
        <v>439</v>
      </c>
      <c r="S59" s="4" t="s">
        <v>3057</v>
      </c>
      <c r="T59" s="4" t="s">
        <v>3057</v>
      </c>
      <c r="U59" s="4">
        <f t="shared" si="0"/>
        <v>1289</v>
      </c>
      <c r="V59" s="5">
        <f t="shared" si="1"/>
        <v>214.83333333333334</v>
      </c>
      <c r="W59" s="5">
        <f t="shared" si="2"/>
        <v>7.1611111111111114</v>
      </c>
      <c r="X59" s="7">
        <f t="shared" si="3"/>
        <v>1.9475313844289784E-3</v>
      </c>
      <c r="Y59" s="7">
        <f t="shared" si="8"/>
        <v>0.93006672238292631</v>
      </c>
      <c r="Z59" s="7">
        <f t="shared" si="4"/>
        <v>0.59580110947146214</v>
      </c>
      <c r="AA59" t="str">
        <f t="shared" si="5"/>
        <v>C</v>
      </c>
      <c r="AB59" t="str">
        <f t="shared" si="6"/>
        <v>Y</v>
      </c>
      <c r="AC59" t="str">
        <f t="shared" si="7"/>
        <v>CY</v>
      </c>
    </row>
    <row r="60" spans="1:29" x14ac:dyDescent="0.25">
      <c r="A60" t="s">
        <v>466</v>
      </c>
      <c r="B60" t="s">
        <v>2579</v>
      </c>
      <c r="C60" s="4" t="s">
        <v>3057</v>
      </c>
      <c r="D60" s="4" t="s">
        <v>3057</v>
      </c>
      <c r="E60" s="4" t="s">
        <v>3057</v>
      </c>
      <c r="F60" s="4">
        <v>250</v>
      </c>
      <c r="G60" s="4" t="s">
        <v>3057</v>
      </c>
      <c r="H60" s="4" t="s">
        <v>3057</v>
      </c>
      <c r="I60" s="4">
        <v>1</v>
      </c>
      <c r="J60" s="4" t="s">
        <v>3057</v>
      </c>
      <c r="K60" s="4" t="s">
        <v>3057</v>
      </c>
      <c r="L60" s="4">
        <v>500</v>
      </c>
      <c r="M60" s="4">
        <v>0</v>
      </c>
      <c r="N60" s="4" t="s">
        <v>3057</v>
      </c>
      <c r="O60" s="4" t="s">
        <v>3057</v>
      </c>
      <c r="P60" s="4" t="s">
        <v>3057</v>
      </c>
      <c r="Q60" s="4" t="s">
        <v>3057</v>
      </c>
      <c r="R60" s="4">
        <v>400</v>
      </c>
      <c r="S60" s="4" t="s">
        <v>3057</v>
      </c>
      <c r="T60" s="4" t="s">
        <v>3057</v>
      </c>
      <c r="U60" s="4">
        <f t="shared" si="0"/>
        <v>1151</v>
      </c>
      <c r="V60" s="5">
        <f t="shared" si="1"/>
        <v>230.2</v>
      </c>
      <c r="W60" s="5">
        <f t="shared" si="2"/>
        <v>7.6733333333333329</v>
      </c>
      <c r="X60" s="7">
        <f t="shared" si="3"/>
        <v>1.7390291881130755E-3</v>
      </c>
      <c r="Y60" s="7">
        <f t="shared" si="8"/>
        <v>0.9318057515710394</v>
      </c>
      <c r="Z60" s="7">
        <f t="shared" si="4"/>
        <v>0.8850369888033307</v>
      </c>
      <c r="AA60" t="str">
        <f t="shared" si="5"/>
        <v>C</v>
      </c>
      <c r="AB60" t="str">
        <f t="shared" si="6"/>
        <v>Y</v>
      </c>
      <c r="AC60" t="str">
        <f t="shared" si="7"/>
        <v>CY</v>
      </c>
    </row>
    <row r="61" spans="1:29" x14ac:dyDescent="0.25">
      <c r="A61" t="s">
        <v>923</v>
      </c>
      <c r="B61" t="s">
        <v>2596</v>
      </c>
      <c r="C61" s="4" t="s">
        <v>3057</v>
      </c>
      <c r="D61" s="4" t="s">
        <v>3057</v>
      </c>
      <c r="E61" s="4" t="s">
        <v>3057</v>
      </c>
      <c r="F61" s="4">
        <v>113</v>
      </c>
      <c r="G61" s="4">
        <v>107</v>
      </c>
      <c r="H61" s="4">
        <v>68.999999999999986</v>
      </c>
      <c r="I61" s="4">
        <v>94</v>
      </c>
      <c r="J61" s="4">
        <v>99</v>
      </c>
      <c r="K61" s="4">
        <v>86.000000000000014</v>
      </c>
      <c r="L61" s="4">
        <v>89.000000000000028</v>
      </c>
      <c r="M61" s="4">
        <v>76.999999999999986</v>
      </c>
      <c r="N61" s="4">
        <v>23</v>
      </c>
      <c r="O61" s="4">
        <v>35</v>
      </c>
      <c r="P61" s="4">
        <v>94</v>
      </c>
      <c r="Q61" s="4">
        <v>93</v>
      </c>
      <c r="R61" s="4">
        <v>125.99999999999996</v>
      </c>
      <c r="S61" s="4" t="s">
        <v>3057</v>
      </c>
      <c r="T61" s="4" t="s">
        <v>3057</v>
      </c>
      <c r="U61" s="4">
        <f t="shared" si="0"/>
        <v>1105</v>
      </c>
      <c r="V61" s="5">
        <f t="shared" si="1"/>
        <v>85</v>
      </c>
      <c r="W61" s="5">
        <f t="shared" si="2"/>
        <v>2.8333333333333335</v>
      </c>
      <c r="X61" s="7">
        <f t="shared" si="3"/>
        <v>1.6695284560077745E-3</v>
      </c>
      <c r="Y61" s="7">
        <f t="shared" si="8"/>
        <v>0.93347528002704716</v>
      </c>
      <c r="Z61" s="7">
        <f t="shared" si="4"/>
        <v>0.32714149806333587</v>
      </c>
      <c r="AA61" t="str">
        <f t="shared" si="5"/>
        <v>C</v>
      </c>
      <c r="AB61" t="str">
        <f t="shared" si="6"/>
        <v>X</v>
      </c>
      <c r="AC61" t="str">
        <f t="shared" si="7"/>
        <v>CX</v>
      </c>
    </row>
    <row r="62" spans="1:29" x14ac:dyDescent="0.25">
      <c r="A62" t="s">
        <v>2256</v>
      </c>
      <c r="B62" t="s">
        <v>2551</v>
      </c>
      <c r="C62" s="4" t="s">
        <v>3057</v>
      </c>
      <c r="D62" s="4" t="s">
        <v>3057</v>
      </c>
      <c r="E62" s="4" t="s">
        <v>3057</v>
      </c>
      <c r="F62" s="4" t="s">
        <v>3057</v>
      </c>
      <c r="G62" s="4" t="s">
        <v>3057</v>
      </c>
      <c r="H62" s="4" t="s">
        <v>3057</v>
      </c>
      <c r="I62" s="4" t="s">
        <v>3057</v>
      </c>
      <c r="J62" s="4" t="s">
        <v>3057</v>
      </c>
      <c r="K62" s="4" t="s">
        <v>3057</v>
      </c>
      <c r="L62" s="4" t="s">
        <v>3057</v>
      </c>
      <c r="M62" s="4">
        <v>0</v>
      </c>
      <c r="N62" s="4" t="s">
        <v>3057</v>
      </c>
      <c r="O62" s="4" t="s">
        <v>3057</v>
      </c>
      <c r="P62" s="4" t="s">
        <v>3057</v>
      </c>
      <c r="Q62" s="4" t="s">
        <v>3057</v>
      </c>
      <c r="R62" s="4">
        <v>1000</v>
      </c>
      <c r="S62" s="4" t="s">
        <v>3057</v>
      </c>
      <c r="T62" s="4" t="s">
        <v>3057</v>
      </c>
      <c r="U62" s="4">
        <f t="shared" si="0"/>
        <v>1000</v>
      </c>
      <c r="V62" s="5">
        <f t="shared" si="1"/>
        <v>500</v>
      </c>
      <c r="W62" s="5">
        <f t="shared" si="2"/>
        <v>16.666666666666668</v>
      </c>
      <c r="X62" s="7">
        <f t="shared" si="3"/>
        <v>1.5108854805500221E-3</v>
      </c>
      <c r="Y62" s="7">
        <f t="shared" si="8"/>
        <v>0.93498616550759717</v>
      </c>
      <c r="Z62" s="7">
        <f t="shared" si="4"/>
        <v>1</v>
      </c>
      <c r="AA62" t="str">
        <f t="shared" si="5"/>
        <v>C</v>
      </c>
      <c r="AB62" t="str">
        <f t="shared" si="6"/>
        <v>Y</v>
      </c>
      <c r="AC62" t="str">
        <f t="shared" si="7"/>
        <v>CY</v>
      </c>
    </row>
    <row r="63" spans="1:29" x14ac:dyDescent="0.25">
      <c r="A63" t="s">
        <v>734</v>
      </c>
      <c r="B63" t="s">
        <v>2859</v>
      </c>
      <c r="C63" s="4" t="s">
        <v>3057</v>
      </c>
      <c r="D63" s="4" t="s">
        <v>3057</v>
      </c>
      <c r="E63" s="4" t="s">
        <v>3057</v>
      </c>
      <c r="F63" s="4" t="s">
        <v>3057</v>
      </c>
      <c r="G63" s="4" t="s">
        <v>3057</v>
      </c>
      <c r="H63" s="4" t="s">
        <v>3057</v>
      </c>
      <c r="I63" s="4" t="s">
        <v>3057</v>
      </c>
      <c r="J63" s="4">
        <v>500</v>
      </c>
      <c r="K63" s="4">
        <v>500</v>
      </c>
      <c r="L63" s="4" t="s">
        <v>3057</v>
      </c>
      <c r="M63" s="4">
        <v>0</v>
      </c>
      <c r="N63" s="4" t="s">
        <v>3057</v>
      </c>
      <c r="O63" s="4" t="s">
        <v>3057</v>
      </c>
      <c r="P63" s="4" t="s">
        <v>3057</v>
      </c>
      <c r="Q63" s="4" t="s">
        <v>3057</v>
      </c>
      <c r="R63" s="4" t="s">
        <v>3057</v>
      </c>
      <c r="S63" s="4" t="s">
        <v>3057</v>
      </c>
      <c r="T63" s="4" t="s">
        <v>3057</v>
      </c>
      <c r="U63" s="4">
        <f t="shared" si="0"/>
        <v>1000</v>
      </c>
      <c r="V63" s="5">
        <f t="shared" si="1"/>
        <v>333.33333333333331</v>
      </c>
      <c r="W63" s="5">
        <f t="shared" si="2"/>
        <v>11.111111111111111</v>
      </c>
      <c r="X63" s="7">
        <f t="shared" si="3"/>
        <v>1.5108854805500221E-3</v>
      </c>
      <c r="Y63" s="7">
        <f t="shared" si="8"/>
        <v>0.93649705098814717</v>
      </c>
      <c r="Z63" s="7">
        <f t="shared" si="4"/>
        <v>0.70710678118654757</v>
      </c>
      <c r="AA63" t="str">
        <f t="shared" si="5"/>
        <v>C</v>
      </c>
      <c r="AB63" t="str">
        <f t="shared" si="6"/>
        <v>Y</v>
      </c>
      <c r="AC63" t="str">
        <f t="shared" si="7"/>
        <v>CY</v>
      </c>
    </row>
    <row r="64" spans="1:29" x14ac:dyDescent="0.25">
      <c r="A64" t="s">
        <v>1876</v>
      </c>
      <c r="B64" t="s">
        <v>2916</v>
      </c>
      <c r="C64" s="4" t="s">
        <v>3057</v>
      </c>
      <c r="D64" s="4" t="s">
        <v>3057</v>
      </c>
      <c r="E64" s="4" t="s">
        <v>3057</v>
      </c>
      <c r="F64" s="4" t="s">
        <v>3057</v>
      </c>
      <c r="G64" s="4" t="s">
        <v>3057</v>
      </c>
      <c r="H64" s="4" t="s">
        <v>3057</v>
      </c>
      <c r="I64" s="4" t="s">
        <v>3057</v>
      </c>
      <c r="J64" s="4" t="s">
        <v>3057</v>
      </c>
      <c r="K64" s="4" t="s">
        <v>3057</v>
      </c>
      <c r="L64" s="4">
        <v>999.99999999999977</v>
      </c>
      <c r="M64" s="4">
        <v>0</v>
      </c>
      <c r="N64" s="4" t="s">
        <v>3057</v>
      </c>
      <c r="O64" s="4" t="s">
        <v>3057</v>
      </c>
      <c r="P64" s="4" t="s">
        <v>3057</v>
      </c>
      <c r="Q64" s="4" t="s">
        <v>3057</v>
      </c>
      <c r="R64" s="4" t="s">
        <v>3057</v>
      </c>
      <c r="S64" s="4" t="s">
        <v>3057</v>
      </c>
      <c r="T64" s="4" t="s">
        <v>3057</v>
      </c>
      <c r="U64" s="4">
        <f t="shared" si="0"/>
        <v>999.99999999999977</v>
      </c>
      <c r="V64" s="5">
        <f t="shared" si="1"/>
        <v>499.99999999999989</v>
      </c>
      <c r="W64" s="5">
        <f t="shared" si="2"/>
        <v>16.666666666666664</v>
      </c>
      <c r="X64" s="7">
        <f t="shared" si="3"/>
        <v>1.5108854805500217E-3</v>
      </c>
      <c r="Y64" s="7">
        <f t="shared" si="8"/>
        <v>0.93800793646869718</v>
      </c>
      <c r="Z64" s="7">
        <f t="shared" si="4"/>
        <v>1</v>
      </c>
      <c r="AA64" t="str">
        <f t="shared" si="5"/>
        <v>C</v>
      </c>
      <c r="AB64" t="str">
        <f t="shared" si="6"/>
        <v>Y</v>
      </c>
      <c r="AC64" t="str">
        <f t="shared" si="7"/>
        <v>CY</v>
      </c>
    </row>
    <row r="65" spans="1:29" x14ac:dyDescent="0.25">
      <c r="A65" t="s">
        <v>104</v>
      </c>
      <c r="B65" t="s">
        <v>2738</v>
      </c>
      <c r="C65" s="4" t="s">
        <v>3057</v>
      </c>
      <c r="D65" s="4" t="s">
        <v>3057</v>
      </c>
      <c r="E65" s="4" t="s">
        <v>3057</v>
      </c>
      <c r="F65" s="4">
        <v>27.000000000000004</v>
      </c>
      <c r="G65" s="4">
        <v>46</v>
      </c>
      <c r="H65" s="4">
        <v>201.99959999999996</v>
      </c>
      <c r="I65" s="4">
        <v>57.999999999999964</v>
      </c>
      <c r="J65" s="4">
        <v>15</v>
      </c>
      <c r="K65" s="4">
        <v>31.000000000000014</v>
      </c>
      <c r="L65" s="4">
        <v>59</v>
      </c>
      <c r="M65" s="4">
        <v>19.000000000000007</v>
      </c>
      <c r="N65" s="4">
        <v>8</v>
      </c>
      <c r="O65" s="4">
        <v>21</v>
      </c>
      <c r="P65" s="4">
        <v>60</v>
      </c>
      <c r="Q65" s="4">
        <v>197</v>
      </c>
      <c r="R65" s="4">
        <v>59.000000000000007</v>
      </c>
      <c r="S65" s="4">
        <v>65</v>
      </c>
      <c r="T65" s="4">
        <v>73</v>
      </c>
      <c r="U65" s="4">
        <f t="shared" si="0"/>
        <v>939.99959999999987</v>
      </c>
      <c r="V65" s="5">
        <f t="shared" si="1"/>
        <v>62.666639999999994</v>
      </c>
      <c r="W65" s="5">
        <f t="shared" si="2"/>
        <v>2.0888879999999999</v>
      </c>
      <c r="X65" s="7">
        <f t="shared" si="3"/>
        <v>1.4202317473628284E-3</v>
      </c>
      <c r="Y65" s="7">
        <f t="shared" si="8"/>
        <v>0.93942816821606001</v>
      </c>
      <c r="Z65" s="7">
        <f t="shared" si="4"/>
        <v>0.91281862331134156</v>
      </c>
      <c r="AA65" t="str">
        <f t="shared" si="5"/>
        <v>C</v>
      </c>
      <c r="AB65" t="str">
        <f t="shared" si="6"/>
        <v>Y</v>
      </c>
      <c r="AC65" t="str">
        <f t="shared" si="7"/>
        <v>CY</v>
      </c>
    </row>
    <row r="66" spans="1:29" x14ac:dyDescent="0.25">
      <c r="A66" t="s">
        <v>918</v>
      </c>
      <c r="B66" t="s">
        <v>2588</v>
      </c>
      <c r="C66" s="4" t="s">
        <v>3057</v>
      </c>
      <c r="D66" s="4" t="s">
        <v>3057</v>
      </c>
      <c r="E66" s="4" t="s">
        <v>3057</v>
      </c>
      <c r="F66" s="4">
        <v>37</v>
      </c>
      <c r="G66" s="4">
        <v>53</v>
      </c>
      <c r="H66" s="4">
        <v>110.00000000000001</v>
      </c>
      <c r="I66" s="4">
        <v>50</v>
      </c>
      <c r="J66" s="4">
        <v>45.000000000000043</v>
      </c>
      <c r="K66" s="4">
        <v>82.999999999999986</v>
      </c>
      <c r="L66" s="4">
        <v>50.999999999999986</v>
      </c>
      <c r="M66" s="4">
        <v>22.999999999999993</v>
      </c>
      <c r="N66" s="4" t="s">
        <v>3057</v>
      </c>
      <c r="O66" s="4">
        <v>9</v>
      </c>
      <c r="P66" s="4">
        <v>119.99999999999994</v>
      </c>
      <c r="Q66" s="4">
        <v>130</v>
      </c>
      <c r="R66" s="4">
        <v>102.99999999999997</v>
      </c>
      <c r="S66" s="4">
        <v>36</v>
      </c>
      <c r="T66" s="4">
        <v>68</v>
      </c>
      <c r="U66" s="4">
        <f t="shared" ref="U66:U129" si="9">SUM(C66:T66)</f>
        <v>918</v>
      </c>
      <c r="V66" s="5">
        <f t="shared" ref="V66:V129" si="10">AVERAGE(C66:T66)</f>
        <v>65.571428571428569</v>
      </c>
      <c r="W66" s="5">
        <f t="shared" ref="W66:W129" si="11">V66/30</f>
        <v>2.1857142857142855</v>
      </c>
      <c r="X66" s="7">
        <f t="shared" si="3"/>
        <v>1.3869928711449202E-3</v>
      </c>
      <c r="Y66" s="7">
        <f t="shared" si="8"/>
        <v>0.94081516108720498</v>
      </c>
      <c r="Z66" s="7">
        <f t="shared" si="4"/>
        <v>0.5549400665915647</v>
      </c>
      <c r="AA66" t="str">
        <f t="shared" si="5"/>
        <v>C</v>
      </c>
      <c r="AB66" t="str">
        <f t="shared" si="6"/>
        <v>Y</v>
      </c>
      <c r="AC66" t="str">
        <f t="shared" si="7"/>
        <v>CY</v>
      </c>
    </row>
    <row r="67" spans="1:29" x14ac:dyDescent="0.25">
      <c r="A67" t="s">
        <v>935</v>
      </c>
      <c r="B67" t="s">
        <v>2730</v>
      </c>
      <c r="C67" s="4" t="s">
        <v>3057</v>
      </c>
      <c r="D67" s="4" t="s">
        <v>3057</v>
      </c>
      <c r="E67" s="4" t="s">
        <v>3057</v>
      </c>
      <c r="F67" s="4">
        <v>41.222200000000001</v>
      </c>
      <c r="G67" s="4">
        <v>69.999999999999986</v>
      </c>
      <c r="H67" s="4">
        <v>88.999999999999986</v>
      </c>
      <c r="I67" s="4">
        <v>38</v>
      </c>
      <c r="J67" s="4">
        <v>86.000000000000014</v>
      </c>
      <c r="K67" s="4">
        <v>23.999999999999989</v>
      </c>
      <c r="L67" s="4">
        <v>98.999999999999957</v>
      </c>
      <c r="M67" s="4">
        <v>96.999999999999972</v>
      </c>
      <c r="N67" s="4">
        <v>23</v>
      </c>
      <c r="O67" s="4" t="s">
        <v>3057</v>
      </c>
      <c r="P67" s="4">
        <v>150.15</v>
      </c>
      <c r="Q67" s="4">
        <v>82</v>
      </c>
      <c r="R67" s="4">
        <v>64.000000000000014</v>
      </c>
      <c r="S67" s="4">
        <v>8</v>
      </c>
      <c r="T67" s="4" t="s">
        <v>3057</v>
      </c>
      <c r="U67" s="4">
        <f t="shared" si="9"/>
        <v>871.37219999999991</v>
      </c>
      <c r="V67" s="5">
        <f t="shared" si="10"/>
        <v>67.028630769230759</v>
      </c>
      <c r="W67" s="5">
        <f t="shared" si="11"/>
        <v>2.2342876923076918</v>
      </c>
      <c r="X67" s="7">
        <f t="shared" ref="X67:X130" si="12">U67/SUM($U$2:$U$410)</f>
        <v>1.3165436051349299E-3</v>
      </c>
      <c r="Y67" s="7">
        <f t="shared" si="8"/>
        <v>0.94213170469233987</v>
      </c>
      <c r="Z67" s="7">
        <f t="shared" ref="Z67:Z130" si="13">_xlfn.STDEV.P(C67:T67)/AVERAGE(C67:T67)</f>
        <v>0.56579442605531882</v>
      </c>
      <c r="AA67" t="str">
        <f t="shared" ref="AA67:AA130" si="14">IF(Y67&lt;=0.7,"A",IF(Y67&lt;=0.9,"B","C"))</f>
        <v>C</v>
      </c>
      <c r="AB67" t="str">
        <f t="shared" ref="AB67:AB130" si="15">IF(Z67&lt;=0.5,"X",IF(Z67&lt;=1,"Y","Z"))</f>
        <v>Y</v>
      </c>
      <c r="AC67" t="str">
        <f t="shared" ref="AC67:AC130" si="16">AA67&amp;AB67</f>
        <v>CY</v>
      </c>
    </row>
    <row r="68" spans="1:29" x14ac:dyDescent="0.25">
      <c r="A68" t="s">
        <v>108</v>
      </c>
      <c r="B68" t="s">
        <v>2655</v>
      </c>
      <c r="C68" s="4">
        <v>19</v>
      </c>
      <c r="D68" s="4">
        <v>10</v>
      </c>
      <c r="E68" s="4">
        <v>9</v>
      </c>
      <c r="F68" s="4">
        <v>6</v>
      </c>
      <c r="G68" s="4">
        <v>24.999999999999957</v>
      </c>
      <c r="H68" s="4">
        <v>207.99999999999994</v>
      </c>
      <c r="I68" s="4">
        <v>137.99999999999997</v>
      </c>
      <c r="J68" s="4">
        <v>103</v>
      </c>
      <c r="K68" s="4">
        <v>102</v>
      </c>
      <c r="L68" s="4" t="s">
        <v>3057</v>
      </c>
      <c r="M68" s="4">
        <v>26</v>
      </c>
      <c r="N68" s="4">
        <v>18</v>
      </c>
      <c r="O68" s="4">
        <v>5</v>
      </c>
      <c r="P68" s="4">
        <v>2</v>
      </c>
      <c r="Q68" s="4">
        <v>152</v>
      </c>
      <c r="R68" s="4">
        <v>2</v>
      </c>
      <c r="S68" s="4">
        <v>6</v>
      </c>
      <c r="T68" s="4">
        <v>15</v>
      </c>
      <c r="U68" s="4">
        <f t="shared" si="9"/>
        <v>845.99999999999989</v>
      </c>
      <c r="V68" s="5">
        <f t="shared" si="10"/>
        <v>49.764705882352935</v>
      </c>
      <c r="W68" s="5">
        <f t="shared" si="11"/>
        <v>1.6588235294117646</v>
      </c>
      <c r="X68" s="7">
        <f t="shared" si="12"/>
        <v>1.2782091165453185E-3</v>
      </c>
      <c r="Y68" s="7">
        <f t="shared" si="8"/>
        <v>0.94340991380888517</v>
      </c>
      <c r="Z68" s="7">
        <f t="shared" si="13"/>
        <v>1.259826601036542</v>
      </c>
      <c r="AA68" t="str">
        <f t="shared" si="14"/>
        <v>C</v>
      </c>
      <c r="AB68" t="str">
        <f t="shared" si="15"/>
        <v>Z</v>
      </c>
      <c r="AC68" t="str">
        <f t="shared" si="16"/>
        <v>CZ</v>
      </c>
    </row>
    <row r="69" spans="1:29" x14ac:dyDescent="0.25">
      <c r="A69" t="s">
        <v>108</v>
      </c>
      <c r="B69" t="s">
        <v>2656</v>
      </c>
      <c r="C69" s="4">
        <v>19</v>
      </c>
      <c r="D69" s="4">
        <v>10</v>
      </c>
      <c r="E69" s="4">
        <v>9</v>
      </c>
      <c r="F69" s="4">
        <v>6</v>
      </c>
      <c r="G69" s="4">
        <v>24.999999999999957</v>
      </c>
      <c r="H69" s="4">
        <v>207.99999999999994</v>
      </c>
      <c r="I69" s="4">
        <v>137.99999999999997</v>
      </c>
      <c r="J69" s="4">
        <v>103</v>
      </c>
      <c r="K69" s="4">
        <v>102</v>
      </c>
      <c r="L69" s="4" t="s">
        <v>3057</v>
      </c>
      <c r="M69" s="4">
        <v>26</v>
      </c>
      <c r="N69" s="4">
        <v>18</v>
      </c>
      <c r="O69" s="4">
        <v>5</v>
      </c>
      <c r="P69" s="4">
        <v>2</v>
      </c>
      <c r="Q69" s="4">
        <v>152</v>
      </c>
      <c r="R69" s="4">
        <v>2</v>
      </c>
      <c r="S69" s="4">
        <v>6</v>
      </c>
      <c r="T69" s="4">
        <v>15</v>
      </c>
      <c r="U69" s="4">
        <f t="shared" si="9"/>
        <v>845.99999999999989</v>
      </c>
      <c r="V69" s="5">
        <f t="shared" si="10"/>
        <v>49.764705882352935</v>
      </c>
      <c r="W69" s="5">
        <f t="shared" si="11"/>
        <v>1.6588235294117646</v>
      </c>
      <c r="X69" s="7">
        <f t="shared" si="12"/>
        <v>1.2782091165453185E-3</v>
      </c>
      <c r="Y69" s="7">
        <f t="shared" si="8"/>
        <v>0.94468812292543047</v>
      </c>
      <c r="Z69" s="7">
        <f t="shared" si="13"/>
        <v>1.259826601036542</v>
      </c>
      <c r="AA69" t="str">
        <f t="shared" si="14"/>
        <v>C</v>
      </c>
      <c r="AB69" t="str">
        <f t="shared" si="15"/>
        <v>Z</v>
      </c>
      <c r="AC69" t="str">
        <f t="shared" si="16"/>
        <v>CZ</v>
      </c>
    </row>
    <row r="70" spans="1:29" x14ac:dyDescent="0.25">
      <c r="A70" t="s">
        <v>108</v>
      </c>
      <c r="B70" t="s">
        <v>2657</v>
      </c>
      <c r="C70" s="4">
        <v>19</v>
      </c>
      <c r="D70" s="4">
        <v>10</v>
      </c>
      <c r="E70" s="4">
        <v>9</v>
      </c>
      <c r="F70" s="4">
        <v>6</v>
      </c>
      <c r="G70" s="4">
        <v>24.999999999999957</v>
      </c>
      <c r="H70" s="4">
        <v>207.99999999999994</v>
      </c>
      <c r="I70" s="4">
        <v>137.99999999999997</v>
      </c>
      <c r="J70" s="4">
        <v>103</v>
      </c>
      <c r="K70" s="4">
        <v>102</v>
      </c>
      <c r="L70" s="4" t="s">
        <v>3057</v>
      </c>
      <c r="M70" s="4">
        <v>26</v>
      </c>
      <c r="N70" s="4">
        <v>18</v>
      </c>
      <c r="O70" s="4">
        <v>5</v>
      </c>
      <c r="P70" s="4">
        <v>2</v>
      </c>
      <c r="Q70" s="4">
        <v>152</v>
      </c>
      <c r="R70" s="4">
        <v>2</v>
      </c>
      <c r="S70" s="4">
        <v>6</v>
      </c>
      <c r="T70" s="4">
        <v>15</v>
      </c>
      <c r="U70" s="4">
        <f t="shared" si="9"/>
        <v>845.99999999999989</v>
      </c>
      <c r="V70" s="5">
        <f t="shared" si="10"/>
        <v>49.764705882352935</v>
      </c>
      <c r="W70" s="5">
        <f t="shared" si="11"/>
        <v>1.6588235294117646</v>
      </c>
      <c r="X70" s="7">
        <f t="shared" si="12"/>
        <v>1.2782091165453185E-3</v>
      </c>
      <c r="Y70" s="7">
        <f t="shared" si="8"/>
        <v>0.94596633204197578</v>
      </c>
      <c r="Z70" s="7">
        <f t="shared" si="13"/>
        <v>1.259826601036542</v>
      </c>
      <c r="AA70" t="str">
        <f t="shared" si="14"/>
        <v>C</v>
      </c>
      <c r="AB70" t="str">
        <f t="shared" si="15"/>
        <v>Z</v>
      </c>
      <c r="AC70" t="str">
        <f t="shared" si="16"/>
        <v>CZ</v>
      </c>
    </row>
    <row r="71" spans="1:29" x14ac:dyDescent="0.25">
      <c r="A71" t="s">
        <v>108</v>
      </c>
      <c r="B71" t="s">
        <v>2658</v>
      </c>
      <c r="C71" s="4">
        <v>19</v>
      </c>
      <c r="D71" s="4">
        <v>10</v>
      </c>
      <c r="E71" s="4">
        <v>9</v>
      </c>
      <c r="F71" s="4">
        <v>6</v>
      </c>
      <c r="G71" s="4">
        <v>24.999999999999957</v>
      </c>
      <c r="H71" s="4">
        <v>207.99999999999994</v>
      </c>
      <c r="I71" s="4">
        <v>137.99999999999997</v>
      </c>
      <c r="J71" s="4">
        <v>103</v>
      </c>
      <c r="K71" s="4">
        <v>102</v>
      </c>
      <c r="L71" s="4" t="s">
        <v>3057</v>
      </c>
      <c r="M71" s="4">
        <v>26</v>
      </c>
      <c r="N71" s="4">
        <v>18</v>
      </c>
      <c r="O71" s="4">
        <v>5</v>
      </c>
      <c r="P71" s="4">
        <v>2</v>
      </c>
      <c r="Q71" s="4">
        <v>152</v>
      </c>
      <c r="R71" s="4">
        <v>2</v>
      </c>
      <c r="S71" s="4">
        <v>6</v>
      </c>
      <c r="T71" s="4">
        <v>15</v>
      </c>
      <c r="U71" s="4">
        <f t="shared" si="9"/>
        <v>845.99999999999989</v>
      </c>
      <c r="V71" s="5">
        <f t="shared" si="10"/>
        <v>49.764705882352935</v>
      </c>
      <c r="W71" s="5">
        <f t="shared" si="11"/>
        <v>1.6588235294117646</v>
      </c>
      <c r="X71" s="7">
        <f t="shared" si="12"/>
        <v>1.2782091165453185E-3</v>
      </c>
      <c r="Y71" s="7">
        <f t="shared" ref="Y71:Y134" si="17">X71+Y70</f>
        <v>0.94724454115852108</v>
      </c>
      <c r="Z71" s="7">
        <f t="shared" si="13"/>
        <v>1.259826601036542</v>
      </c>
      <c r="AA71" t="str">
        <f t="shared" si="14"/>
        <v>C</v>
      </c>
      <c r="AB71" t="str">
        <f t="shared" si="15"/>
        <v>Z</v>
      </c>
      <c r="AC71" t="str">
        <f t="shared" si="16"/>
        <v>CZ</v>
      </c>
    </row>
    <row r="72" spans="1:29" x14ac:dyDescent="0.25">
      <c r="A72" t="s">
        <v>108</v>
      </c>
      <c r="B72" t="s">
        <v>2659</v>
      </c>
      <c r="C72" s="4">
        <v>19</v>
      </c>
      <c r="D72" s="4">
        <v>10</v>
      </c>
      <c r="E72" s="4">
        <v>9</v>
      </c>
      <c r="F72" s="4">
        <v>6</v>
      </c>
      <c r="G72" s="4">
        <v>24.999999999999957</v>
      </c>
      <c r="H72" s="4">
        <v>207.99999999999994</v>
      </c>
      <c r="I72" s="4">
        <v>137.99999999999997</v>
      </c>
      <c r="J72" s="4">
        <v>103</v>
      </c>
      <c r="K72" s="4">
        <v>102</v>
      </c>
      <c r="L72" s="4" t="s">
        <v>3057</v>
      </c>
      <c r="M72" s="4">
        <v>26</v>
      </c>
      <c r="N72" s="4">
        <v>18</v>
      </c>
      <c r="O72" s="4">
        <v>5</v>
      </c>
      <c r="P72" s="4">
        <v>2</v>
      </c>
      <c r="Q72" s="4">
        <v>152</v>
      </c>
      <c r="R72" s="4">
        <v>2</v>
      </c>
      <c r="S72" s="4">
        <v>6</v>
      </c>
      <c r="T72" s="4">
        <v>15</v>
      </c>
      <c r="U72" s="4">
        <f t="shared" si="9"/>
        <v>845.99999999999989</v>
      </c>
      <c r="V72" s="5">
        <f t="shared" si="10"/>
        <v>49.764705882352935</v>
      </c>
      <c r="W72" s="5">
        <f t="shared" si="11"/>
        <v>1.6588235294117646</v>
      </c>
      <c r="X72" s="7">
        <f t="shared" si="12"/>
        <v>1.2782091165453185E-3</v>
      </c>
      <c r="Y72" s="7">
        <f t="shared" si="17"/>
        <v>0.94852275027506638</v>
      </c>
      <c r="Z72" s="7">
        <f t="shared" si="13"/>
        <v>1.259826601036542</v>
      </c>
      <c r="AA72" t="str">
        <f t="shared" si="14"/>
        <v>C</v>
      </c>
      <c r="AB72" t="str">
        <f t="shared" si="15"/>
        <v>Z</v>
      </c>
      <c r="AC72" t="str">
        <f t="shared" si="16"/>
        <v>CZ</v>
      </c>
    </row>
    <row r="73" spans="1:29" x14ac:dyDescent="0.25">
      <c r="A73" t="s">
        <v>108</v>
      </c>
      <c r="B73" t="s">
        <v>2660</v>
      </c>
      <c r="C73" s="4">
        <v>19</v>
      </c>
      <c r="D73" s="4">
        <v>10</v>
      </c>
      <c r="E73" s="4">
        <v>9</v>
      </c>
      <c r="F73" s="4">
        <v>6</v>
      </c>
      <c r="G73" s="4">
        <v>24.999999999999957</v>
      </c>
      <c r="H73" s="4">
        <v>207.99999999999994</v>
      </c>
      <c r="I73" s="4">
        <v>137.99999999999997</v>
      </c>
      <c r="J73" s="4">
        <v>103</v>
      </c>
      <c r="K73" s="4">
        <v>102</v>
      </c>
      <c r="L73" s="4" t="s">
        <v>3057</v>
      </c>
      <c r="M73" s="4">
        <v>26</v>
      </c>
      <c r="N73" s="4">
        <v>18</v>
      </c>
      <c r="O73" s="4">
        <v>5</v>
      </c>
      <c r="P73" s="4">
        <v>2</v>
      </c>
      <c r="Q73" s="4">
        <v>152</v>
      </c>
      <c r="R73" s="4">
        <v>2</v>
      </c>
      <c r="S73" s="4">
        <v>6</v>
      </c>
      <c r="T73" s="4">
        <v>15</v>
      </c>
      <c r="U73" s="4">
        <f t="shared" si="9"/>
        <v>845.99999999999989</v>
      </c>
      <c r="V73" s="5">
        <f t="shared" si="10"/>
        <v>49.764705882352935</v>
      </c>
      <c r="W73" s="5">
        <f t="shared" si="11"/>
        <v>1.6588235294117646</v>
      </c>
      <c r="X73" s="7">
        <f t="shared" si="12"/>
        <v>1.2782091165453185E-3</v>
      </c>
      <c r="Y73" s="7">
        <f t="shared" si="17"/>
        <v>0.94980095939161169</v>
      </c>
      <c r="Z73" s="7">
        <f t="shared" si="13"/>
        <v>1.259826601036542</v>
      </c>
      <c r="AA73" t="str">
        <f t="shared" si="14"/>
        <v>C</v>
      </c>
      <c r="AB73" t="str">
        <f t="shared" si="15"/>
        <v>Z</v>
      </c>
      <c r="AC73" t="str">
        <f t="shared" si="16"/>
        <v>CZ</v>
      </c>
    </row>
    <row r="74" spans="1:29" x14ac:dyDescent="0.25">
      <c r="A74" t="s">
        <v>108</v>
      </c>
      <c r="B74" t="s">
        <v>2661</v>
      </c>
      <c r="C74" s="4">
        <v>19</v>
      </c>
      <c r="D74" s="4">
        <v>10</v>
      </c>
      <c r="E74" s="4">
        <v>9</v>
      </c>
      <c r="F74" s="4">
        <v>6</v>
      </c>
      <c r="G74" s="4">
        <v>24.999999999999957</v>
      </c>
      <c r="H74" s="4">
        <v>207.99999999999994</v>
      </c>
      <c r="I74" s="4">
        <v>137.99999999999997</v>
      </c>
      <c r="J74" s="4">
        <v>103</v>
      </c>
      <c r="K74" s="4">
        <v>102</v>
      </c>
      <c r="L74" s="4" t="s">
        <v>3057</v>
      </c>
      <c r="M74" s="4">
        <v>26</v>
      </c>
      <c r="N74" s="4">
        <v>18</v>
      </c>
      <c r="O74" s="4">
        <v>5</v>
      </c>
      <c r="P74" s="4">
        <v>2</v>
      </c>
      <c r="Q74" s="4">
        <v>152</v>
      </c>
      <c r="R74" s="4">
        <v>2</v>
      </c>
      <c r="S74" s="4">
        <v>6</v>
      </c>
      <c r="T74" s="4">
        <v>15</v>
      </c>
      <c r="U74" s="4">
        <f t="shared" si="9"/>
        <v>845.99999999999989</v>
      </c>
      <c r="V74" s="5">
        <f t="shared" si="10"/>
        <v>49.764705882352935</v>
      </c>
      <c r="W74" s="5">
        <f t="shared" si="11"/>
        <v>1.6588235294117646</v>
      </c>
      <c r="X74" s="7">
        <f t="shared" si="12"/>
        <v>1.2782091165453185E-3</v>
      </c>
      <c r="Y74" s="7">
        <f t="shared" si="17"/>
        <v>0.95107916850815699</v>
      </c>
      <c r="Z74" s="7">
        <f t="shared" si="13"/>
        <v>1.259826601036542</v>
      </c>
      <c r="AA74" t="str">
        <f t="shared" si="14"/>
        <v>C</v>
      </c>
      <c r="AB74" t="str">
        <f t="shared" si="15"/>
        <v>Z</v>
      </c>
      <c r="AC74" t="str">
        <f t="shared" si="16"/>
        <v>CZ</v>
      </c>
    </row>
    <row r="75" spans="1:29" x14ac:dyDescent="0.25">
      <c r="A75" t="s">
        <v>108</v>
      </c>
      <c r="B75" t="s">
        <v>2662</v>
      </c>
      <c r="C75" s="4">
        <v>19</v>
      </c>
      <c r="D75" s="4">
        <v>10</v>
      </c>
      <c r="E75" s="4">
        <v>9</v>
      </c>
      <c r="F75" s="4">
        <v>6</v>
      </c>
      <c r="G75" s="4">
        <v>24.999999999999957</v>
      </c>
      <c r="H75" s="4">
        <v>207.99999999999994</v>
      </c>
      <c r="I75" s="4">
        <v>137.99999999999997</v>
      </c>
      <c r="J75" s="4">
        <v>103</v>
      </c>
      <c r="K75" s="4">
        <v>102</v>
      </c>
      <c r="L75" s="4" t="s">
        <v>3057</v>
      </c>
      <c r="M75" s="4">
        <v>26</v>
      </c>
      <c r="N75" s="4">
        <v>18</v>
      </c>
      <c r="O75" s="4">
        <v>5</v>
      </c>
      <c r="P75" s="4">
        <v>2</v>
      </c>
      <c r="Q75" s="4">
        <v>152</v>
      </c>
      <c r="R75" s="4">
        <v>2</v>
      </c>
      <c r="S75" s="4">
        <v>6</v>
      </c>
      <c r="T75" s="4">
        <v>15</v>
      </c>
      <c r="U75" s="4">
        <f t="shared" si="9"/>
        <v>845.99999999999989</v>
      </c>
      <c r="V75" s="5">
        <f t="shared" si="10"/>
        <v>49.764705882352935</v>
      </c>
      <c r="W75" s="5">
        <f t="shared" si="11"/>
        <v>1.6588235294117646</v>
      </c>
      <c r="X75" s="7">
        <f t="shared" si="12"/>
        <v>1.2782091165453185E-3</v>
      </c>
      <c r="Y75" s="7">
        <f t="shared" si="17"/>
        <v>0.95235737762470229</v>
      </c>
      <c r="Z75" s="7">
        <f t="shared" si="13"/>
        <v>1.259826601036542</v>
      </c>
      <c r="AA75" t="str">
        <f t="shared" si="14"/>
        <v>C</v>
      </c>
      <c r="AB75" t="str">
        <f t="shared" si="15"/>
        <v>Z</v>
      </c>
      <c r="AC75" t="str">
        <f t="shared" si="16"/>
        <v>CZ</v>
      </c>
    </row>
    <row r="76" spans="1:29" x14ac:dyDescent="0.25">
      <c r="A76" t="s">
        <v>108</v>
      </c>
      <c r="B76" t="s">
        <v>2663</v>
      </c>
      <c r="C76" s="4">
        <v>19</v>
      </c>
      <c r="D76" s="4">
        <v>10</v>
      </c>
      <c r="E76" s="4">
        <v>9</v>
      </c>
      <c r="F76" s="4">
        <v>6</v>
      </c>
      <c r="G76" s="4">
        <v>24.999999999999957</v>
      </c>
      <c r="H76" s="4">
        <v>207.99999999999994</v>
      </c>
      <c r="I76" s="4">
        <v>137.99999999999997</v>
      </c>
      <c r="J76" s="4">
        <v>103</v>
      </c>
      <c r="K76" s="4">
        <v>102</v>
      </c>
      <c r="L76" s="4" t="s">
        <v>3057</v>
      </c>
      <c r="M76" s="4">
        <v>26</v>
      </c>
      <c r="N76" s="4">
        <v>18</v>
      </c>
      <c r="O76" s="4">
        <v>5</v>
      </c>
      <c r="P76" s="4">
        <v>2</v>
      </c>
      <c r="Q76" s="4">
        <v>152</v>
      </c>
      <c r="R76" s="4">
        <v>2</v>
      </c>
      <c r="S76" s="4">
        <v>6</v>
      </c>
      <c r="T76" s="4">
        <v>15</v>
      </c>
      <c r="U76" s="4">
        <f t="shared" si="9"/>
        <v>845.99999999999989</v>
      </c>
      <c r="V76" s="5">
        <f t="shared" si="10"/>
        <v>49.764705882352935</v>
      </c>
      <c r="W76" s="5">
        <f t="shared" si="11"/>
        <v>1.6588235294117646</v>
      </c>
      <c r="X76" s="7">
        <f t="shared" si="12"/>
        <v>1.2782091165453185E-3</v>
      </c>
      <c r="Y76" s="7">
        <f t="shared" si="17"/>
        <v>0.9536355867412476</v>
      </c>
      <c r="Z76" s="7">
        <f t="shared" si="13"/>
        <v>1.259826601036542</v>
      </c>
      <c r="AA76" t="str">
        <f t="shared" si="14"/>
        <v>C</v>
      </c>
      <c r="AB76" t="str">
        <f t="shared" si="15"/>
        <v>Z</v>
      </c>
      <c r="AC76" t="str">
        <f t="shared" si="16"/>
        <v>CZ</v>
      </c>
    </row>
    <row r="77" spans="1:29" x14ac:dyDescent="0.25">
      <c r="A77" t="s">
        <v>108</v>
      </c>
      <c r="B77" t="s">
        <v>2664</v>
      </c>
      <c r="C77" s="4">
        <v>19</v>
      </c>
      <c r="D77" s="4">
        <v>10</v>
      </c>
      <c r="E77" s="4">
        <v>9</v>
      </c>
      <c r="F77" s="4">
        <v>6</v>
      </c>
      <c r="G77" s="4">
        <v>24.999999999999957</v>
      </c>
      <c r="H77" s="4">
        <v>207.99999999999994</v>
      </c>
      <c r="I77" s="4">
        <v>137.99999999999997</v>
      </c>
      <c r="J77" s="4">
        <v>103</v>
      </c>
      <c r="K77" s="4">
        <v>102</v>
      </c>
      <c r="L77" s="4" t="s">
        <v>3057</v>
      </c>
      <c r="M77" s="4">
        <v>26</v>
      </c>
      <c r="N77" s="4">
        <v>18</v>
      </c>
      <c r="O77" s="4">
        <v>5</v>
      </c>
      <c r="P77" s="4">
        <v>2</v>
      </c>
      <c r="Q77" s="4">
        <v>152</v>
      </c>
      <c r="R77" s="4">
        <v>2</v>
      </c>
      <c r="S77" s="4">
        <v>6</v>
      </c>
      <c r="T77" s="4">
        <v>15</v>
      </c>
      <c r="U77" s="4">
        <f t="shared" si="9"/>
        <v>845.99999999999989</v>
      </c>
      <c r="V77" s="5">
        <f t="shared" si="10"/>
        <v>49.764705882352935</v>
      </c>
      <c r="W77" s="5">
        <f t="shared" si="11"/>
        <v>1.6588235294117646</v>
      </c>
      <c r="X77" s="7">
        <f t="shared" si="12"/>
        <v>1.2782091165453185E-3</v>
      </c>
      <c r="Y77" s="7">
        <f t="shared" si="17"/>
        <v>0.9549137958577929</v>
      </c>
      <c r="Z77" s="7">
        <f t="shared" si="13"/>
        <v>1.259826601036542</v>
      </c>
      <c r="AA77" t="str">
        <f t="shared" si="14"/>
        <v>C</v>
      </c>
      <c r="AB77" t="str">
        <f t="shared" si="15"/>
        <v>Z</v>
      </c>
      <c r="AC77" t="str">
        <f t="shared" si="16"/>
        <v>CZ</v>
      </c>
    </row>
    <row r="78" spans="1:29" x14ac:dyDescent="0.25">
      <c r="A78" t="s">
        <v>108</v>
      </c>
      <c r="B78" t="s">
        <v>2665</v>
      </c>
      <c r="C78" s="4">
        <v>19</v>
      </c>
      <c r="D78" s="4">
        <v>10</v>
      </c>
      <c r="E78" s="4">
        <v>9</v>
      </c>
      <c r="F78" s="4">
        <v>6</v>
      </c>
      <c r="G78" s="4">
        <v>24.999999999999957</v>
      </c>
      <c r="H78" s="4">
        <v>207.99999999999994</v>
      </c>
      <c r="I78" s="4">
        <v>137.99999999999997</v>
      </c>
      <c r="J78" s="4">
        <v>103</v>
      </c>
      <c r="K78" s="4">
        <v>102</v>
      </c>
      <c r="L78" s="4" t="s">
        <v>3057</v>
      </c>
      <c r="M78" s="4">
        <v>26</v>
      </c>
      <c r="N78" s="4">
        <v>18</v>
      </c>
      <c r="O78" s="4">
        <v>5</v>
      </c>
      <c r="P78" s="4">
        <v>2</v>
      </c>
      <c r="Q78" s="4">
        <v>152</v>
      </c>
      <c r="R78" s="4">
        <v>2</v>
      </c>
      <c r="S78" s="4">
        <v>6</v>
      </c>
      <c r="T78" s="4">
        <v>15</v>
      </c>
      <c r="U78" s="4">
        <f t="shared" si="9"/>
        <v>845.99999999999989</v>
      </c>
      <c r="V78" s="5">
        <f t="shared" si="10"/>
        <v>49.764705882352935</v>
      </c>
      <c r="W78" s="5">
        <f t="shared" si="11"/>
        <v>1.6588235294117646</v>
      </c>
      <c r="X78" s="7">
        <f t="shared" si="12"/>
        <v>1.2782091165453185E-3</v>
      </c>
      <c r="Y78" s="7">
        <f t="shared" si="17"/>
        <v>0.95619200497433821</v>
      </c>
      <c r="Z78" s="7">
        <f t="shared" si="13"/>
        <v>1.259826601036542</v>
      </c>
      <c r="AA78" t="str">
        <f t="shared" si="14"/>
        <v>C</v>
      </c>
      <c r="AB78" t="str">
        <f t="shared" si="15"/>
        <v>Z</v>
      </c>
      <c r="AC78" t="str">
        <f t="shared" si="16"/>
        <v>CZ</v>
      </c>
    </row>
    <row r="79" spans="1:29" x14ac:dyDescent="0.25">
      <c r="A79" t="s">
        <v>108</v>
      </c>
      <c r="B79" t="s">
        <v>2666</v>
      </c>
      <c r="C79" s="4">
        <v>19</v>
      </c>
      <c r="D79" s="4">
        <v>10</v>
      </c>
      <c r="E79" s="4">
        <v>9</v>
      </c>
      <c r="F79" s="4">
        <v>6</v>
      </c>
      <c r="G79" s="4">
        <v>24.999999999999957</v>
      </c>
      <c r="H79" s="4">
        <v>207.99999999999994</v>
      </c>
      <c r="I79" s="4">
        <v>137.99999999999997</v>
      </c>
      <c r="J79" s="4">
        <v>103</v>
      </c>
      <c r="K79" s="4">
        <v>102</v>
      </c>
      <c r="L79" s="4" t="s">
        <v>3057</v>
      </c>
      <c r="M79" s="4">
        <v>26</v>
      </c>
      <c r="N79" s="4">
        <v>18</v>
      </c>
      <c r="O79" s="4">
        <v>5</v>
      </c>
      <c r="P79" s="4">
        <v>2</v>
      </c>
      <c r="Q79" s="4">
        <v>152</v>
      </c>
      <c r="R79" s="4">
        <v>2</v>
      </c>
      <c r="S79" s="4">
        <v>6</v>
      </c>
      <c r="T79" s="4">
        <v>15</v>
      </c>
      <c r="U79" s="4">
        <f t="shared" si="9"/>
        <v>845.99999999999989</v>
      </c>
      <c r="V79" s="5">
        <f t="shared" si="10"/>
        <v>49.764705882352935</v>
      </c>
      <c r="W79" s="5">
        <f t="shared" si="11"/>
        <v>1.6588235294117646</v>
      </c>
      <c r="X79" s="7">
        <f t="shared" si="12"/>
        <v>1.2782091165453185E-3</v>
      </c>
      <c r="Y79" s="7">
        <f t="shared" si="17"/>
        <v>0.95747021409088351</v>
      </c>
      <c r="Z79" s="7">
        <f t="shared" si="13"/>
        <v>1.259826601036542</v>
      </c>
      <c r="AA79" t="str">
        <f t="shared" si="14"/>
        <v>C</v>
      </c>
      <c r="AB79" t="str">
        <f t="shared" si="15"/>
        <v>Z</v>
      </c>
      <c r="AC79" t="str">
        <f t="shared" si="16"/>
        <v>CZ</v>
      </c>
    </row>
    <row r="80" spans="1:29" x14ac:dyDescent="0.25">
      <c r="A80" t="s">
        <v>108</v>
      </c>
      <c r="B80" t="s">
        <v>2667</v>
      </c>
      <c r="C80" s="4">
        <v>19</v>
      </c>
      <c r="D80" s="4">
        <v>10</v>
      </c>
      <c r="E80" s="4">
        <v>9</v>
      </c>
      <c r="F80" s="4">
        <v>6</v>
      </c>
      <c r="G80" s="4">
        <v>24.999999999999957</v>
      </c>
      <c r="H80" s="4">
        <v>207.99999999999994</v>
      </c>
      <c r="I80" s="4">
        <v>137.99999999999997</v>
      </c>
      <c r="J80" s="4">
        <v>103</v>
      </c>
      <c r="K80" s="4">
        <v>102</v>
      </c>
      <c r="L80" s="4" t="s">
        <v>3057</v>
      </c>
      <c r="M80" s="4">
        <v>26</v>
      </c>
      <c r="N80" s="4">
        <v>18</v>
      </c>
      <c r="O80" s="4">
        <v>5</v>
      </c>
      <c r="P80" s="4">
        <v>2</v>
      </c>
      <c r="Q80" s="4">
        <v>152</v>
      </c>
      <c r="R80" s="4">
        <v>2</v>
      </c>
      <c r="S80" s="4">
        <v>6</v>
      </c>
      <c r="T80" s="4">
        <v>15</v>
      </c>
      <c r="U80" s="4">
        <f t="shared" si="9"/>
        <v>845.99999999999989</v>
      </c>
      <c r="V80" s="5">
        <f t="shared" si="10"/>
        <v>49.764705882352935</v>
      </c>
      <c r="W80" s="5">
        <f t="shared" si="11"/>
        <v>1.6588235294117646</v>
      </c>
      <c r="X80" s="7">
        <f t="shared" si="12"/>
        <v>1.2782091165453185E-3</v>
      </c>
      <c r="Y80" s="7">
        <f t="shared" si="17"/>
        <v>0.95874842320742881</v>
      </c>
      <c r="Z80" s="7">
        <f t="shared" si="13"/>
        <v>1.259826601036542</v>
      </c>
      <c r="AA80" t="str">
        <f t="shared" si="14"/>
        <v>C</v>
      </c>
      <c r="AB80" t="str">
        <f t="shared" si="15"/>
        <v>Z</v>
      </c>
      <c r="AC80" t="str">
        <f t="shared" si="16"/>
        <v>CZ</v>
      </c>
    </row>
    <row r="81" spans="1:29" x14ac:dyDescent="0.25">
      <c r="A81" t="s">
        <v>108</v>
      </c>
      <c r="B81" t="s">
        <v>2668</v>
      </c>
      <c r="C81" s="4">
        <v>19</v>
      </c>
      <c r="D81" s="4">
        <v>10</v>
      </c>
      <c r="E81" s="4">
        <v>9</v>
      </c>
      <c r="F81" s="4">
        <v>6</v>
      </c>
      <c r="G81" s="4">
        <v>24.999999999999957</v>
      </c>
      <c r="H81" s="4">
        <v>207.99999999999994</v>
      </c>
      <c r="I81" s="4">
        <v>137.99999999999997</v>
      </c>
      <c r="J81" s="4">
        <v>103</v>
      </c>
      <c r="K81" s="4">
        <v>102</v>
      </c>
      <c r="L81" s="4" t="s">
        <v>3057</v>
      </c>
      <c r="M81" s="4">
        <v>26</v>
      </c>
      <c r="N81" s="4">
        <v>18</v>
      </c>
      <c r="O81" s="4">
        <v>5</v>
      </c>
      <c r="P81" s="4">
        <v>2</v>
      </c>
      <c r="Q81" s="4">
        <v>152</v>
      </c>
      <c r="R81" s="4">
        <v>2</v>
      </c>
      <c r="S81" s="4">
        <v>6</v>
      </c>
      <c r="T81" s="4">
        <v>15</v>
      </c>
      <c r="U81" s="4">
        <f t="shared" si="9"/>
        <v>845.99999999999989</v>
      </c>
      <c r="V81" s="5">
        <f t="shared" si="10"/>
        <v>49.764705882352935</v>
      </c>
      <c r="W81" s="5">
        <f t="shared" si="11"/>
        <v>1.6588235294117646</v>
      </c>
      <c r="X81" s="7">
        <f t="shared" si="12"/>
        <v>1.2782091165453185E-3</v>
      </c>
      <c r="Y81" s="7">
        <f t="shared" si="17"/>
        <v>0.96002663232397412</v>
      </c>
      <c r="Z81" s="7">
        <f t="shared" si="13"/>
        <v>1.259826601036542</v>
      </c>
      <c r="AA81" t="str">
        <f t="shared" si="14"/>
        <v>C</v>
      </c>
      <c r="AB81" t="str">
        <f t="shared" si="15"/>
        <v>Z</v>
      </c>
      <c r="AC81" t="str">
        <f t="shared" si="16"/>
        <v>CZ</v>
      </c>
    </row>
    <row r="82" spans="1:29" x14ac:dyDescent="0.25">
      <c r="A82" t="s">
        <v>2257</v>
      </c>
      <c r="B82" t="s">
        <v>2557</v>
      </c>
      <c r="C82" s="4" t="s">
        <v>3057</v>
      </c>
      <c r="D82" s="4" t="s">
        <v>3057</v>
      </c>
      <c r="E82" s="4" t="s">
        <v>3057</v>
      </c>
      <c r="F82" s="4" t="s">
        <v>3057</v>
      </c>
      <c r="G82" s="4" t="s">
        <v>3057</v>
      </c>
      <c r="H82" s="4" t="s">
        <v>3057</v>
      </c>
      <c r="I82" s="4" t="s">
        <v>3057</v>
      </c>
      <c r="J82" s="4" t="s">
        <v>3057</v>
      </c>
      <c r="K82" s="4" t="s">
        <v>3057</v>
      </c>
      <c r="L82" s="4" t="s">
        <v>3057</v>
      </c>
      <c r="M82" s="4">
        <v>0</v>
      </c>
      <c r="N82" s="4" t="s">
        <v>3057</v>
      </c>
      <c r="O82" s="4" t="s">
        <v>3057</v>
      </c>
      <c r="P82" s="4" t="s">
        <v>3057</v>
      </c>
      <c r="Q82" s="4" t="s">
        <v>3057</v>
      </c>
      <c r="R82" s="4">
        <v>140</v>
      </c>
      <c r="S82" s="4">
        <v>560</v>
      </c>
      <c r="T82" s="4">
        <v>140</v>
      </c>
      <c r="U82" s="4">
        <f t="shared" si="9"/>
        <v>840</v>
      </c>
      <c r="V82" s="5">
        <f t="shared" si="10"/>
        <v>210</v>
      </c>
      <c r="W82" s="5">
        <f t="shared" si="11"/>
        <v>7</v>
      </c>
      <c r="X82" s="7">
        <f t="shared" si="12"/>
        <v>1.2691438036620186E-3</v>
      </c>
      <c r="Y82" s="7">
        <f t="shared" si="17"/>
        <v>0.96129577612763617</v>
      </c>
      <c r="Z82" s="7">
        <f t="shared" si="13"/>
        <v>1</v>
      </c>
      <c r="AA82" t="str">
        <f t="shared" si="14"/>
        <v>C</v>
      </c>
      <c r="AB82" t="str">
        <f t="shared" si="15"/>
        <v>Y</v>
      </c>
      <c r="AC82" t="str">
        <f t="shared" si="16"/>
        <v>CY</v>
      </c>
    </row>
    <row r="83" spans="1:29" x14ac:dyDescent="0.25">
      <c r="A83" t="s">
        <v>1360</v>
      </c>
      <c r="B83" t="s">
        <v>2907</v>
      </c>
      <c r="C83" s="4" t="s">
        <v>3057</v>
      </c>
      <c r="D83" s="4" t="s">
        <v>3057</v>
      </c>
      <c r="E83" s="4" t="s">
        <v>3057</v>
      </c>
      <c r="F83" s="4" t="s">
        <v>3057</v>
      </c>
      <c r="G83" s="4">
        <v>100</v>
      </c>
      <c r="H83" s="4">
        <v>250</v>
      </c>
      <c r="I83" s="4" t="s">
        <v>3057</v>
      </c>
      <c r="J83" s="4">
        <v>375</v>
      </c>
      <c r="K83" s="4" t="s">
        <v>3057</v>
      </c>
      <c r="L83" s="4" t="s">
        <v>3057</v>
      </c>
      <c r="M83" s="4">
        <v>0</v>
      </c>
      <c r="N83" s="4" t="s">
        <v>3057</v>
      </c>
      <c r="O83" s="4" t="s">
        <v>3057</v>
      </c>
      <c r="P83" s="4" t="s">
        <v>3057</v>
      </c>
      <c r="Q83" s="4" t="s">
        <v>3057</v>
      </c>
      <c r="R83" s="4" t="s">
        <v>3057</v>
      </c>
      <c r="S83" s="4" t="s">
        <v>3057</v>
      </c>
      <c r="T83" s="4" t="s">
        <v>3057</v>
      </c>
      <c r="U83" s="4">
        <f t="shared" si="9"/>
        <v>725</v>
      </c>
      <c r="V83" s="5">
        <f t="shared" si="10"/>
        <v>181.25</v>
      </c>
      <c r="W83" s="5">
        <f t="shared" si="11"/>
        <v>6.041666666666667</v>
      </c>
      <c r="X83" s="7">
        <f t="shared" si="12"/>
        <v>1.0953919733987659E-3</v>
      </c>
      <c r="Y83" s="7">
        <f t="shared" si="17"/>
        <v>0.96239116810103498</v>
      </c>
      <c r="Z83" s="7">
        <f t="shared" si="13"/>
        <v>0.78859287076063944</v>
      </c>
      <c r="AA83" t="str">
        <f t="shared" si="14"/>
        <v>C</v>
      </c>
      <c r="AB83" t="str">
        <f t="shared" si="15"/>
        <v>Y</v>
      </c>
      <c r="AC83" t="str">
        <f t="shared" si="16"/>
        <v>CY</v>
      </c>
    </row>
    <row r="84" spans="1:29" x14ac:dyDescent="0.25">
      <c r="A84" t="s">
        <v>1362</v>
      </c>
      <c r="B84" t="s">
        <v>2571</v>
      </c>
      <c r="C84" s="4" t="s">
        <v>3057</v>
      </c>
      <c r="D84" s="4" t="s">
        <v>3057</v>
      </c>
      <c r="E84" s="4" t="s">
        <v>3057</v>
      </c>
      <c r="F84" s="4" t="s">
        <v>3057</v>
      </c>
      <c r="G84" s="4">
        <v>20</v>
      </c>
      <c r="H84" s="4" t="s">
        <v>3057</v>
      </c>
      <c r="I84" s="4" t="s">
        <v>3057</v>
      </c>
      <c r="J84" s="4" t="s">
        <v>3057</v>
      </c>
      <c r="K84" s="4">
        <v>200</v>
      </c>
      <c r="L84" s="4" t="s">
        <v>3057</v>
      </c>
      <c r="M84" s="4">
        <v>0</v>
      </c>
      <c r="N84" s="4" t="s">
        <v>3057</v>
      </c>
      <c r="O84" s="4" t="s">
        <v>3057</v>
      </c>
      <c r="P84" s="4" t="s">
        <v>3057</v>
      </c>
      <c r="Q84" s="4" t="s">
        <v>3057</v>
      </c>
      <c r="R84" s="4" t="s">
        <v>3057</v>
      </c>
      <c r="S84" s="4">
        <v>500</v>
      </c>
      <c r="T84" s="4" t="s">
        <v>3057</v>
      </c>
      <c r="U84" s="4">
        <f t="shared" si="9"/>
        <v>720</v>
      </c>
      <c r="V84" s="5">
        <f t="shared" si="10"/>
        <v>180</v>
      </c>
      <c r="W84" s="5">
        <f t="shared" si="11"/>
        <v>6</v>
      </c>
      <c r="X84" s="7">
        <f t="shared" si="12"/>
        <v>1.0878375459960159E-3</v>
      </c>
      <c r="Y84" s="7">
        <f t="shared" si="17"/>
        <v>0.96347900564703104</v>
      </c>
      <c r="Z84" s="7">
        <f t="shared" si="13"/>
        <v>1.11388542532019</v>
      </c>
      <c r="AA84" t="str">
        <f t="shared" si="14"/>
        <v>C</v>
      </c>
      <c r="AB84" t="str">
        <f t="shared" si="15"/>
        <v>Z</v>
      </c>
      <c r="AC84" t="str">
        <f t="shared" si="16"/>
        <v>CZ</v>
      </c>
    </row>
    <row r="85" spans="1:29" x14ac:dyDescent="0.25">
      <c r="A85" t="s">
        <v>589</v>
      </c>
      <c r="B85" t="s">
        <v>2613</v>
      </c>
      <c r="C85" s="4" t="s">
        <v>3057</v>
      </c>
      <c r="D85" s="4" t="s">
        <v>3057</v>
      </c>
      <c r="E85" s="4" t="s">
        <v>3057</v>
      </c>
      <c r="F85" s="4" t="s">
        <v>3057</v>
      </c>
      <c r="G85" s="4">
        <v>121.5</v>
      </c>
      <c r="H85" s="4">
        <v>59</v>
      </c>
      <c r="I85" s="4">
        <v>15.000000000000002</v>
      </c>
      <c r="J85" s="4">
        <v>90</v>
      </c>
      <c r="K85" s="4">
        <v>60</v>
      </c>
      <c r="L85" s="4" t="s">
        <v>3057</v>
      </c>
      <c r="M85" s="4">
        <v>120</v>
      </c>
      <c r="N85" s="4">
        <v>5</v>
      </c>
      <c r="O85" s="4" t="s">
        <v>3057</v>
      </c>
      <c r="P85" s="4">
        <v>70.999999999999986</v>
      </c>
      <c r="Q85" s="4">
        <v>59</v>
      </c>
      <c r="R85" s="4" t="s">
        <v>3057</v>
      </c>
      <c r="S85" s="4">
        <v>60</v>
      </c>
      <c r="T85" s="4">
        <v>4</v>
      </c>
      <c r="U85" s="4">
        <f t="shared" si="9"/>
        <v>664.5</v>
      </c>
      <c r="V85" s="5">
        <f t="shared" si="10"/>
        <v>60.409090909090907</v>
      </c>
      <c r="W85" s="5">
        <f t="shared" si="11"/>
        <v>2.0136363636363637</v>
      </c>
      <c r="X85" s="7">
        <f t="shared" si="12"/>
        <v>1.0039834018254897E-3</v>
      </c>
      <c r="Y85" s="7">
        <f t="shared" si="17"/>
        <v>0.96448298904885654</v>
      </c>
      <c r="Z85" s="7">
        <f t="shared" si="13"/>
        <v>0.64286060954111379</v>
      </c>
      <c r="AA85" t="str">
        <f t="shared" si="14"/>
        <v>C</v>
      </c>
      <c r="AB85" t="str">
        <f t="shared" si="15"/>
        <v>Y</v>
      </c>
      <c r="AC85" t="str">
        <f t="shared" si="16"/>
        <v>CY</v>
      </c>
    </row>
    <row r="86" spans="1:29" x14ac:dyDescent="0.25">
      <c r="A86" t="s">
        <v>1704</v>
      </c>
      <c r="B86" t="s">
        <v>2884</v>
      </c>
      <c r="C86" s="4" t="s">
        <v>3057</v>
      </c>
      <c r="D86" s="4" t="s">
        <v>3057</v>
      </c>
      <c r="E86" s="4" t="s">
        <v>3057</v>
      </c>
      <c r="F86" s="4" t="s">
        <v>3057</v>
      </c>
      <c r="G86" s="4" t="s">
        <v>3057</v>
      </c>
      <c r="H86" s="4" t="s">
        <v>3057</v>
      </c>
      <c r="I86" s="4" t="s">
        <v>3057</v>
      </c>
      <c r="J86" s="4">
        <v>444</v>
      </c>
      <c r="K86" s="4" t="s">
        <v>3057</v>
      </c>
      <c r="L86" s="4" t="s">
        <v>3057</v>
      </c>
      <c r="M86" s="4">
        <v>0</v>
      </c>
      <c r="N86" s="4" t="s">
        <v>3057</v>
      </c>
      <c r="O86" s="4" t="s">
        <v>3057</v>
      </c>
      <c r="P86" s="4" t="s">
        <v>3057</v>
      </c>
      <c r="Q86" s="4">
        <v>200</v>
      </c>
      <c r="R86" s="4" t="s">
        <v>3057</v>
      </c>
      <c r="S86" s="4" t="s">
        <v>3057</v>
      </c>
      <c r="T86" s="4" t="s">
        <v>3057</v>
      </c>
      <c r="U86" s="4">
        <f t="shared" si="9"/>
        <v>644</v>
      </c>
      <c r="V86" s="5">
        <f t="shared" si="10"/>
        <v>214.66666666666666</v>
      </c>
      <c r="W86" s="5">
        <f t="shared" si="11"/>
        <v>7.155555555555555</v>
      </c>
      <c r="X86" s="7">
        <f t="shared" si="12"/>
        <v>9.7301024947421425E-4</v>
      </c>
      <c r="Y86" s="7">
        <f t="shared" si="17"/>
        <v>0.9654559992983307</v>
      </c>
      <c r="Z86" s="7">
        <f t="shared" si="13"/>
        <v>0.845770264768261</v>
      </c>
      <c r="AA86" t="str">
        <f t="shared" si="14"/>
        <v>C</v>
      </c>
      <c r="AB86" t="str">
        <f t="shared" si="15"/>
        <v>Y</v>
      </c>
      <c r="AC86" t="str">
        <f t="shared" si="16"/>
        <v>CY</v>
      </c>
    </row>
    <row r="87" spans="1:29" x14ac:dyDescent="0.25">
      <c r="A87" t="s">
        <v>1528</v>
      </c>
      <c r="B87" t="s">
        <v>2595</v>
      </c>
      <c r="C87" s="4" t="s">
        <v>3057</v>
      </c>
      <c r="D87" s="4" t="s">
        <v>3057</v>
      </c>
      <c r="E87" s="4" t="s">
        <v>3057</v>
      </c>
      <c r="F87" s="4" t="s">
        <v>3057</v>
      </c>
      <c r="G87" s="4" t="s">
        <v>3057</v>
      </c>
      <c r="H87" s="4">
        <v>93</v>
      </c>
      <c r="I87" s="4">
        <v>240</v>
      </c>
      <c r="J87" s="4" t="s">
        <v>3057</v>
      </c>
      <c r="K87" s="4">
        <v>167</v>
      </c>
      <c r="L87" s="4" t="s">
        <v>3057</v>
      </c>
      <c r="M87" s="4">
        <v>0</v>
      </c>
      <c r="N87" s="4" t="s">
        <v>3057</v>
      </c>
      <c r="O87" s="4" t="s">
        <v>3057</v>
      </c>
      <c r="P87" s="4" t="s">
        <v>3057</v>
      </c>
      <c r="Q87" s="4" t="s">
        <v>3057</v>
      </c>
      <c r="R87" s="4" t="s">
        <v>3057</v>
      </c>
      <c r="S87" s="4">
        <v>136</v>
      </c>
      <c r="T87" s="4" t="s">
        <v>3057</v>
      </c>
      <c r="U87" s="4">
        <f t="shared" si="9"/>
        <v>636</v>
      </c>
      <c r="V87" s="5">
        <f t="shared" si="10"/>
        <v>127.2</v>
      </c>
      <c r="W87" s="5">
        <f t="shared" si="11"/>
        <v>4.24</v>
      </c>
      <c r="X87" s="7">
        <f t="shared" si="12"/>
        <v>9.6092316562981404E-4</v>
      </c>
      <c r="Y87" s="7">
        <f t="shared" si="17"/>
        <v>0.96641692246396049</v>
      </c>
      <c r="Z87" s="7">
        <f t="shared" si="13"/>
        <v>0.62631926346361855</v>
      </c>
      <c r="AA87" t="str">
        <f t="shared" si="14"/>
        <v>C</v>
      </c>
      <c r="AB87" t="str">
        <f t="shared" si="15"/>
        <v>Y</v>
      </c>
      <c r="AC87" t="str">
        <f t="shared" si="16"/>
        <v>CY</v>
      </c>
    </row>
    <row r="88" spans="1:29" x14ac:dyDescent="0.25">
      <c r="A88" t="s">
        <v>1012</v>
      </c>
      <c r="B88" t="s">
        <v>2580</v>
      </c>
      <c r="C88" s="4" t="s">
        <v>3057</v>
      </c>
      <c r="D88" s="4" t="s">
        <v>3057</v>
      </c>
      <c r="E88" s="4" t="s">
        <v>3057</v>
      </c>
      <c r="F88" s="4">
        <v>100</v>
      </c>
      <c r="G88" s="4" t="s">
        <v>3057</v>
      </c>
      <c r="H88" s="4">
        <v>214</v>
      </c>
      <c r="I88" s="4" t="s">
        <v>3057</v>
      </c>
      <c r="J88" s="4" t="s">
        <v>3057</v>
      </c>
      <c r="K88" s="4" t="s">
        <v>3057</v>
      </c>
      <c r="L88" s="4" t="s">
        <v>3057</v>
      </c>
      <c r="M88" s="4">
        <v>0</v>
      </c>
      <c r="N88" s="4" t="s">
        <v>3057</v>
      </c>
      <c r="O88" s="4" t="s">
        <v>3057</v>
      </c>
      <c r="P88" s="4" t="s">
        <v>3057</v>
      </c>
      <c r="Q88" s="4" t="s">
        <v>3057</v>
      </c>
      <c r="R88" s="4">
        <v>200</v>
      </c>
      <c r="S88" s="4" t="s">
        <v>3057</v>
      </c>
      <c r="T88" s="4">
        <v>100</v>
      </c>
      <c r="U88" s="4">
        <f t="shared" si="9"/>
        <v>614</v>
      </c>
      <c r="V88" s="5">
        <f t="shared" si="10"/>
        <v>122.8</v>
      </c>
      <c r="W88" s="5">
        <f t="shared" si="11"/>
        <v>4.0933333333333328</v>
      </c>
      <c r="X88" s="7">
        <f t="shared" si="12"/>
        <v>9.2768368505771357E-4</v>
      </c>
      <c r="Y88" s="7">
        <f t="shared" si="17"/>
        <v>0.96734460614901818</v>
      </c>
      <c r="Z88" s="7">
        <f t="shared" si="13"/>
        <v>0.63493689525293129</v>
      </c>
      <c r="AA88" t="str">
        <f t="shared" si="14"/>
        <v>C</v>
      </c>
      <c r="AB88" t="str">
        <f t="shared" si="15"/>
        <v>Y</v>
      </c>
      <c r="AC88" t="str">
        <f t="shared" si="16"/>
        <v>CY</v>
      </c>
    </row>
    <row r="89" spans="1:29" x14ac:dyDescent="0.25">
      <c r="A89" t="s">
        <v>1630</v>
      </c>
      <c r="B89" t="s">
        <v>2905</v>
      </c>
      <c r="C89" s="4" t="s">
        <v>3057</v>
      </c>
      <c r="D89" s="4" t="s">
        <v>3057</v>
      </c>
      <c r="E89" s="4" t="s">
        <v>3057</v>
      </c>
      <c r="F89" s="4" t="s">
        <v>3057</v>
      </c>
      <c r="G89" s="4" t="s">
        <v>3057</v>
      </c>
      <c r="H89" s="4" t="s">
        <v>3057</v>
      </c>
      <c r="I89" s="4">
        <v>215</v>
      </c>
      <c r="J89" s="4">
        <v>396.25</v>
      </c>
      <c r="K89" s="4" t="s">
        <v>3057</v>
      </c>
      <c r="L89" s="4" t="s">
        <v>3057</v>
      </c>
      <c r="M89" s="4">
        <v>0</v>
      </c>
      <c r="N89" s="4" t="s">
        <v>3057</v>
      </c>
      <c r="O89" s="4" t="s">
        <v>3057</v>
      </c>
      <c r="P89" s="4" t="s">
        <v>3057</v>
      </c>
      <c r="Q89" s="4" t="s">
        <v>3057</v>
      </c>
      <c r="R89" s="4" t="s">
        <v>3057</v>
      </c>
      <c r="S89" s="4" t="s">
        <v>3057</v>
      </c>
      <c r="T89" s="4" t="s">
        <v>3057</v>
      </c>
      <c r="U89" s="4">
        <f t="shared" si="9"/>
        <v>611.25</v>
      </c>
      <c r="V89" s="5">
        <f t="shared" si="10"/>
        <v>203.75</v>
      </c>
      <c r="W89" s="5">
        <f t="shared" si="11"/>
        <v>6.791666666666667</v>
      </c>
      <c r="X89" s="7">
        <f t="shared" si="12"/>
        <v>9.2352874998620103E-4</v>
      </c>
      <c r="Y89" s="7">
        <f t="shared" si="17"/>
        <v>0.96826813489900443</v>
      </c>
      <c r="Z89" s="7">
        <f t="shared" si="13"/>
        <v>0.79491464607293361</v>
      </c>
      <c r="AA89" t="str">
        <f t="shared" si="14"/>
        <v>C</v>
      </c>
      <c r="AB89" t="str">
        <f t="shared" si="15"/>
        <v>Y</v>
      </c>
      <c r="AC89" t="str">
        <f t="shared" si="16"/>
        <v>CY</v>
      </c>
    </row>
    <row r="90" spans="1:29" x14ac:dyDescent="0.25">
      <c r="A90" t="s">
        <v>628</v>
      </c>
      <c r="B90" t="s">
        <v>2590</v>
      </c>
      <c r="C90" s="4" t="s">
        <v>3057</v>
      </c>
      <c r="D90" s="4" t="s">
        <v>3057</v>
      </c>
      <c r="E90" s="4" t="s">
        <v>3057</v>
      </c>
      <c r="F90" s="4" t="s">
        <v>3057</v>
      </c>
      <c r="G90" s="4" t="s">
        <v>3057</v>
      </c>
      <c r="H90" s="4" t="s">
        <v>3057</v>
      </c>
      <c r="I90" s="4">
        <v>100</v>
      </c>
      <c r="J90" s="4" t="s">
        <v>3057</v>
      </c>
      <c r="K90" s="4">
        <v>200</v>
      </c>
      <c r="L90" s="4" t="s">
        <v>3057</v>
      </c>
      <c r="M90" s="4">
        <v>100</v>
      </c>
      <c r="N90" s="4" t="s">
        <v>3057</v>
      </c>
      <c r="O90" s="4" t="s">
        <v>3057</v>
      </c>
      <c r="P90" s="4" t="s">
        <v>3057</v>
      </c>
      <c r="Q90" s="4">
        <v>38</v>
      </c>
      <c r="R90" s="4" t="s">
        <v>3057</v>
      </c>
      <c r="S90" s="4">
        <v>162</v>
      </c>
      <c r="T90" s="4">
        <v>10</v>
      </c>
      <c r="U90" s="4">
        <f t="shared" si="9"/>
        <v>610</v>
      </c>
      <c r="V90" s="5">
        <f t="shared" si="10"/>
        <v>101.66666666666667</v>
      </c>
      <c r="W90" s="5">
        <f t="shared" si="11"/>
        <v>3.3888888888888888</v>
      </c>
      <c r="X90" s="7">
        <f t="shared" si="12"/>
        <v>9.2164014313551347E-4</v>
      </c>
      <c r="Y90" s="7">
        <f t="shared" si="17"/>
        <v>0.96918977504213999</v>
      </c>
      <c r="Z90" s="7">
        <f t="shared" si="13"/>
        <v>0.64463552364458709</v>
      </c>
      <c r="AA90" t="str">
        <f t="shared" si="14"/>
        <v>C</v>
      </c>
      <c r="AB90" t="str">
        <f t="shared" si="15"/>
        <v>Y</v>
      </c>
      <c r="AC90" t="str">
        <f t="shared" si="16"/>
        <v>CY</v>
      </c>
    </row>
    <row r="91" spans="1:29" x14ac:dyDescent="0.25">
      <c r="A91" t="s">
        <v>946</v>
      </c>
      <c r="B91" t="s">
        <v>2874</v>
      </c>
      <c r="C91" s="4" t="s">
        <v>3057</v>
      </c>
      <c r="D91" s="4" t="s">
        <v>3057</v>
      </c>
      <c r="E91" s="4" t="s">
        <v>3057</v>
      </c>
      <c r="F91" s="4" t="s">
        <v>3057</v>
      </c>
      <c r="G91" s="4">
        <v>200</v>
      </c>
      <c r="H91" s="4" t="s">
        <v>3057</v>
      </c>
      <c r="I91" s="4" t="s">
        <v>3057</v>
      </c>
      <c r="J91" s="4" t="s">
        <v>3057</v>
      </c>
      <c r="K91" s="4" t="s">
        <v>3057</v>
      </c>
      <c r="L91" s="4">
        <v>300</v>
      </c>
      <c r="M91" s="4">
        <v>0</v>
      </c>
      <c r="N91" s="4" t="s">
        <v>3057</v>
      </c>
      <c r="O91" s="4" t="s">
        <v>3057</v>
      </c>
      <c r="P91" s="4">
        <v>100</v>
      </c>
      <c r="Q91" s="4" t="s">
        <v>3057</v>
      </c>
      <c r="R91" s="4" t="s">
        <v>3057</v>
      </c>
      <c r="S91" s="4" t="s">
        <v>3057</v>
      </c>
      <c r="T91" s="4" t="s">
        <v>3057</v>
      </c>
      <c r="U91" s="4">
        <f t="shared" si="9"/>
        <v>600</v>
      </c>
      <c r="V91" s="5">
        <f t="shared" si="10"/>
        <v>150</v>
      </c>
      <c r="W91" s="5">
        <f t="shared" si="11"/>
        <v>5</v>
      </c>
      <c r="X91" s="7">
        <f t="shared" si="12"/>
        <v>9.0653128833001321E-4</v>
      </c>
      <c r="Y91" s="7">
        <f t="shared" si="17"/>
        <v>0.97009630633046995</v>
      </c>
      <c r="Z91" s="7">
        <f t="shared" si="13"/>
        <v>0.7453559924999299</v>
      </c>
      <c r="AA91" t="str">
        <f t="shared" si="14"/>
        <v>C</v>
      </c>
      <c r="AB91" t="str">
        <f t="shared" si="15"/>
        <v>Y</v>
      </c>
      <c r="AC91" t="str">
        <f t="shared" si="16"/>
        <v>CY</v>
      </c>
    </row>
    <row r="92" spans="1:29" x14ac:dyDescent="0.25">
      <c r="A92" t="s">
        <v>557</v>
      </c>
      <c r="B92" t="s">
        <v>2598</v>
      </c>
      <c r="C92" s="4" t="s">
        <v>3057</v>
      </c>
      <c r="D92" s="4" t="s">
        <v>3057</v>
      </c>
      <c r="E92" s="4" t="s">
        <v>3057</v>
      </c>
      <c r="F92" s="4">
        <v>10</v>
      </c>
      <c r="G92" s="4">
        <v>60</v>
      </c>
      <c r="H92" s="4">
        <v>20</v>
      </c>
      <c r="I92" s="4">
        <v>90.999999999999972</v>
      </c>
      <c r="J92" s="4">
        <v>44</v>
      </c>
      <c r="K92" s="4">
        <v>7</v>
      </c>
      <c r="L92" s="4">
        <v>69.999999999999872</v>
      </c>
      <c r="M92" s="4">
        <v>0</v>
      </c>
      <c r="N92" s="4">
        <v>10</v>
      </c>
      <c r="O92" s="4">
        <v>10</v>
      </c>
      <c r="P92" s="4">
        <v>70</v>
      </c>
      <c r="Q92" s="4">
        <v>40</v>
      </c>
      <c r="R92" s="4">
        <v>48</v>
      </c>
      <c r="S92" s="4">
        <v>50</v>
      </c>
      <c r="T92" s="4">
        <v>49.999999999999993</v>
      </c>
      <c r="U92" s="4">
        <f t="shared" si="9"/>
        <v>579.99999999999977</v>
      </c>
      <c r="V92" s="5">
        <f t="shared" si="10"/>
        <v>38.66666666666665</v>
      </c>
      <c r="W92" s="5">
        <f t="shared" si="11"/>
        <v>1.2888888888888883</v>
      </c>
      <c r="X92" s="7">
        <f t="shared" si="12"/>
        <v>8.7631357871901247E-4</v>
      </c>
      <c r="Y92" s="7">
        <f t="shared" si="17"/>
        <v>0.97097261990918893</v>
      </c>
      <c r="Z92" s="7">
        <f t="shared" si="13"/>
        <v>0.69534292517502716</v>
      </c>
      <c r="AA92" t="str">
        <f t="shared" si="14"/>
        <v>C</v>
      </c>
      <c r="AB92" t="str">
        <f t="shared" si="15"/>
        <v>Y</v>
      </c>
      <c r="AC92" t="str">
        <f t="shared" si="16"/>
        <v>CY</v>
      </c>
    </row>
    <row r="93" spans="1:29" x14ac:dyDescent="0.25">
      <c r="A93" t="s">
        <v>651</v>
      </c>
      <c r="B93" t="s">
        <v>2692</v>
      </c>
      <c r="C93" s="4" t="s">
        <v>3057</v>
      </c>
      <c r="D93" s="4" t="s">
        <v>3057</v>
      </c>
      <c r="E93" s="4" t="s">
        <v>3057</v>
      </c>
      <c r="F93" s="4">
        <v>37.25</v>
      </c>
      <c r="G93" s="4">
        <v>76.999999999999972</v>
      </c>
      <c r="H93" s="4">
        <v>64.000000000000014</v>
      </c>
      <c r="I93" s="4">
        <v>47.000000000000007</v>
      </c>
      <c r="J93" s="4">
        <v>47.999999999999993</v>
      </c>
      <c r="K93" s="4">
        <v>35.999999999999986</v>
      </c>
      <c r="L93" s="4">
        <v>40.999999999999993</v>
      </c>
      <c r="M93" s="4">
        <v>18.999999999999996</v>
      </c>
      <c r="N93" s="4">
        <v>5</v>
      </c>
      <c r="O93" s="4">
        <v>22.000000000000004</v>
      </c>
      <c r="P93" s="4">
        <v>40.000000000000007</v>
      </c>
      <c r="Q93" s="4">
        <v>35.999999999999993</v>
      </c>
      <c r="R93" s="4">
        <v>30.999999999999996</v>
      </c>
      <c r="S93" s="4">
        <v>16</v>
      </c>
      <c r="T93" s="4">
        <v>32.999999999999993</v>
      </c>
      <c r="U93" s="4">
        <f t="shared" si="9"/>
        <v>552.25</v>
      </c>
      <c r="V93" s="5">
        <f t="shared" si="10"/>
        <v>36.81666666666667</v>
      </c>
      <c r="W93" s="5">
        <f t="shared" si="11"/>
        <v>1.2272222222222224</v>
      </c>
      <c r="X93" s="7">
        <f t="shared" si="12"/>
        <v>8.3438650663374971E-4</v>
      </c>
      <c r="Y93" s="7">
        <f t="shared" si="17"/>
        <v>0.97180700641582263</v>
      </c>
      <c r="Z93" s="7">
        <f t="shared" si="13"/>
        <v>0.47784669836863664</v>
      </c>
      <c r="AA93" t="str">
        <f t="shared" si="14"/>
        <v>C</v>
      </c>
      <c r="AB93" t="str">
        <f t="shared" si="15"/>
        <v>X</v>
      </c>
      <c r="AC93" t="str">
        <f t="shared" si="16"/>
        <v>CX</v>
      </c>
    </row>
    <row r="94" spans="1:29" x14ac:dyDescent="0.25">
      <c r="A94" t="s">
        <v>594</v>
      </c>
      <c r="B94" t="s">
        <v>2895</v>
      </c>
      <c r="C94" s="4" t="s">
        <v>3057</v>
      </c>
      <c r="D94" s="4" t="s">
        <v>3057</v>
      </c>
      <c r="E94" s="4" t="s">
        <v>3057</v>
      </c>
      <c r="F94" s="4" t="s">
        <v>3057</v>
      </c>
      <c r="G94" s="4">
        <v>150</v>
      </c>
      <c r="H94" s="4">
        <v>300</v>
      </c>
      <c r="I94" s="4">
        <v>100</v>
      </c>
      <c r="J94" s="4" t="s">
        <v>3057</v>
      </c>
      <c r="K94" s="4" t="s">
        <v>3057</v>
      </c>
      <c r="L94" s="4" t="s">
        <v>3057</v>
      </c>
      <c r="M94" s="4">
        <v>0</v>
      </c>
      <c r="N94" s="4" t="s">
        <v>3057</v>
      </c>
      <c r="O94" s="4" t="s">
        <v>3057</v>
      </c>
      <c r="P94" s="4" t="s">
        <v>3057</v>
      </c>
      <c r="Q94" s="4" t="s">
        <v>3057</v>
      </c>
      <c r="R94" s="4" t="s">
        <v>3057</v>
      </c>
      <c r="S94" s="4" t="s">
        <v>3057</v>
      </c>
      <c r="T94" s="4" t="s">
        <v>3057</v>
      </c>
      <c r="U94" s="4">
        <f t="shared" si="9"/>
        <v>550</v>
      </c>
      <c r="V94" s="5">
        <f t="shared" si="10"/>
        <v>137.5</v>
      </c>
      <c r="W94" s="5">
        <f t="shared" si="11"/>
        <v>4.583333333333333</v>
      </c>
      <c r="X94" s="7">
        <f t="shared" si="12"/>
        <v>8.3098701430251213E-4</v>
      </c>
      <c r="Y94" s="7">
        <f t="shared" si="17"/>
        <v>0.97263799343012514</v>
      </c>
      <c r="Z94" s="7">
        <f t="shared" si="13"/>
        <v>0.7872958216222169</v>
      </c>
      <c r="AA94" t="str">
        <f t="shared" si="14"/>
        <v>C</v>
      </c>
      <c r="AB94" t="str">
        <f t="shared" si="15"/>
        <v>Y</v>
      </c>
      <c r="AC94" t="str">
        <f t="shared" si="16"/>
        <v>CY</v>
      </c>
    </row>
    <row r="95" spans="1:29" x14ac:dyDescent="0.25">
      <c r="A95" t="s">
        <v>677</v>
      </c>
      <c r="B95" t="s">
        <v>2922</v>
      </c>
      <c r="C95" s="4" t="s">
        <v>3057</v>
      </c>
      <c r="D95" s="4" t="s">
        <v>3057</v>
      </c>
      <c r="E95" s="4" t="s">
        <v>3057</v>
      </c>
      <c r="F95" s="4" t="s">
        <v>3057</v>
      </c>
      <c r="G95" s="4" t="s">
        <v>3057</v>
      </c>
      <c r="H95" s="4" t="s">
        <v>3057</v>
      </c>
      <c r="I95" s="4">
        <v>240</v>
      </c>
      <c r="J95" s="4">
        <v>280</v>
      </c>
      <c r="K95" s="4" t="s">
        <v>3057</v>
      </c>
      <c r="L95" s="4" t="s">
        <v>3057</v>
      </c>
      <c r="M95" s="4">
        <v>0</v>
      </c>
      <c r="N95" s="4" t="s">
        <v>3057</v>
      </c>
      <c r="O95" s="4" t="s">
        <v>3057</v>
      </c>
      <c r="P95" s="4" t="s">
        <v>3057</v>
      </c>
      <c r="Q95" s="4" t="s">
        <v>3057</v>
      </c>
      <c r="R95" s="4" t="s">
        <v>3057</v>
      </c>
      <c r="S95" s="4" t="s">
        <v>3057</v>
      </c>
      <c r="T95" s="4" t="s">
        <v>3057</v>
      </c>
      <c r="U95" s="4">
        <f t="shared" si="9"/>
        <v>520</v>
      </c>
      <c r="V95" s="5">
        <f t="shared" si="10"/>
        <v>173.33333333333334</v>
      </c>
      <c r="W95" s="5">
        <f t="shared" si="11"/>
        <v>5.7777777777777777</v>
      </c>
      <c r="X95" s="7">
        <f t="shared" si="12"/>
        <v>7.8566044988601146E-4</v>
      </c>
      <c r="Y95" s="7">
        <f t="shared" si="17"/>
        <v>0.97342365388001117</v>
      </c>
      <c r="Z95" s="7">
        <f t="shared" si="13"/>
        <v>0.7133552688842848</v>
      </c>
      <c r="AA95" t="str">
        <f t="shared" si="14"/>
        <v>C</v>
      </c>
      <c r="AB95" t="str">
        <f t="shared" si="15"/>
        <v>Y</v>
      </c>
      <c r="AC95" t="str">
        <f t="shared" si="16"/>
        <v>CY</v>
      </c>
    </row>
    <row r="96" spans="1:29" x14ac:dyDescent="0.25">
      <c r="A96" t="s">
        <v>1873</v>
      </c>
      <c r="B96" t="s">
        <v>2584</v>
      </c>
      <c r="C96" s="4" t="s">
        <v>3057</v>
      </c>
      <c r="D96" s="4" t="s">
        <v>3057</v>
      </c>
      <c r="E96" s="4" t="s">
        <v>3057</v>
      </c>
      <c r="F96" s="4" t="s">
        <v>3057</v>
      </c>
      <c r="G96" s="4" t="s">
        <v>3057</v>
      </c>
      <c r="H96" s="4" t="s">
        <v>3057</v>
      </c>
      <c r="I96" s="4" t="s">
        <v>3057</v>
      </c>
      <c r="J96" s="4" t="s">
        <v>3057</v>
      </c>
      <c r="K96" s="4" t="s">
        <v>3057</v>
      </c>
      <c r="L96" s="4">
        <v>220</v>
      </c>
      <c r="M96" s="4">
        <v>15</v>
      </c>
      <c r="N96" s="4" t="s">
        <v>3057</v>
      </c>
      <c r="O96" s="4" t="s">
        <v>3057</v>
      </c>
      <c r="P96" s="4" t="s">
        <v>3057</v>
      </c>
      <c r="Q96" s="4">
        <v>37</v>
      </c>
      <c r="R96" s="4" t="s">
        <v>3057</v>
      </c>
      <c r="S96" s="4">
        <v>228</v>
      </c>
      <c r="T96" s="4" t="s">
        <v>3057</v>
      </c>
      <c r="U96" s="4">
        <f t="shared" si="9"/>
        <v>500</v>
      </c>
      <c r="V96" s="5">
        <f t="shared" si="10"/>
        <v>125</v>
      </c>
      <c r="W96" s="5">
        <f t="shared" si="11"/>
        <v>4.166666666666667</v>
      </c>
      <c r="X96" s="7">
        <f t="shared" si="12"/>
        <v>7.5544274027501104E-4</v>
      </c>
      <c r="Y96" s="7">
        <f t="shared" si="17"/>
        <v>0.97417909662028623</v>
      </c>
      <c r="Z96" s="7">
        <f t="shared" si="13"/>
        <v>0.79476285771291555</v>
      </c>
      <c r="AA96" t="str">
        <f t="shared" si="14"/>
        <v>C</v>
      </c>
      <c r="AB96" t="str">
        <f t="shared" si="15"/>
        <v>Y</v>
      </c>
      <c r="AC96" t="str">
        <f t="shared" si="16"/>
        <v>CY</v>
      </c>
    </row>
    <row r="97" spans="1:29" x14ac:dyDescent="0.25">
      <c r="A97" t="s">
        <v>485</v>
      </c>
      <c r="B97" t="s">
        <v>2606</v>
      </c>
      <c r="C97" s="4" t="s">
        <v>3057</v>
      </c>
      <c r="D97" s="4" t="s">
        <v>3057</v>
      </c>
      <c r="E97" s="4" t="s">
        <v>3057</v>
      </c>
      <c r="F97" s="4">
        <v>20</v>
      </c>
      <c r="G97" s="4">
        <v>72.600000000000009</v>
      </c>
      <c r="H97" s="4">
        <v>30</v>
      </c>
      <c r="I97" s="4">
        <v>44.887500000000003</v>
      </c>
      <c r="J97" s="4">
        <v>5.1124999999999998</v>
      </c>
      <c r="K97" s="4">
        <v>36</v>
      </c>
      <c r="L97" s="4">
        <v>10</v>
      </c>
      <c r="M97" s="4">
        <v>0</v>
      </c>
      <c r="N97" s="4" t="s">
        <v>3057</v>
      </c>
      <c r="O97" s="4" t="s">
        <v>3057</v>
      </c>
      <c r="P97" s="4">
        <v>49.999999999999986</v>
      </c>
      <c r="Q97" s="4">
        <v>41.999999999999993</v>
      </c>
      <c r="R97" s="4">
        <v>65.000000000000014</v>
      </c>
      <c r="S97" s="4">
        <v>26</v>
      </c>
      <c r="T97" s="4">
        <v>37</v>
      </c>
      <c r="U97" s="4">
        <f t="shared" si="9"/>
        <v>438.6</v>
      </c>
      <c r="V97" s="5">
        <f t="shared" si="10"/>
        <v>33.738461538461543</v>
      </c>
      <c r="W97" s="5">
        <f t="shared" si="11"/>
        <v>1.1246153846153848</v>
      </c>
      <c r="X97" s="7">
        <f t="shared" si="12"/>
        <v>6.6267437176923967E-4</v>
      </c>
      <c r="Y97" s="7">
        <f t="shared" si="17"/>
        <v>0.97484177099205549</v>
      </c>
      <c r="Z97" s="7">
        <f t="shared" si="13"/>
        <v>0.62303708324492468</v>
      </c>
      <c r="AA97" t="str">
        <f t="shared" si="14"/>
        <v>C</v>
      </c>
      <c r="AB97" t="str">
        <f t="shared" si="15"/>
        <v>Y</v>
      </c>
      <c r="AC97" t="str">
        <f t="shared" si="16"/>
        <v>CY</v>
      </c>
    </row>
    <row r="98" spans="1:29" x14ac:dyDescent="0.25">
      <c r="A98" t="s">
        <v>485</v>
      </c>
      <c r="B98" t="s">
        <v>2607</v>
      </c>
      <c r="C98" s="4" t="s">
        <v>3057</v>
      </c>
      <c r="D98" s="4" t="s">
        <v>3057</v>
      </c>
      <c r="E98" s="4" t="s">
        <v>3057</v>
      </c>
      <c r="F98" s="4">
        <v>20</v>
      </c>
      <c r="G98" s="4">
        <v>72.600000000000009</v>
      </c>
      <c r="H98" s="4">
        <v>30</v>
      </c>
      <c r="I98" s="4">
        <v>44.887500000000003</v>
      </c>
      <c r="J98" s="4">
        <v>5.1124999999999998</v>
      </c>
      <c r="K98" s="4">
        <v>36</v>
      </c>
      <c r="L98" s="4">
        <v>10</v>
      </c>
      <c r="M98" s="4">
        <v>0</v>
      </c>
      <c r="N98" s="4" t="s">
        <v>3057</v>
      </c>
      <c r="O98" s="4" t="s">
        <v>3057</v>
      </c>
      <c r="P98" s="4">
        <v>49.999999999999986</v>
      </c>
      <c r="Q98" s="4">
        <v>41.999999999999993</v>
      </c>
      <c r="R98" s="4">
        <v>65.000000000000014</v>
      </c>
      <c r="S98" s="4">
        <v>26</v>
      </c>
      <c r="T98" s="4">
        <v>37</v>
      </c>
      <c r="U98" s="4">
        <f t="shared" si="9"/>
        <v>438.6</v>
      </c>
      <c r="V98" s="5">
        <f t="shared" si="10"/>
        <v>33.738461538461543</v>
      </c>
      <c r="W98" s="5">
        <f t="shared" si="11"/>
        <v>1.1246153846153848</v>
      </c>
      <c r="X98" s="7">
        <f t="shared" si="12"/>
        <v>6.6267437176923967E-4</v>
      </c>
      <c r="Y98" s="7">
        <f t="shared" si="17"/>
        <v>0.97550444536382475</v>
      </c>
      <c r="Z98" s="7">
        <f t="shared" si="13"/>
        <v>0.62303708324492468</v>
      </c>
      <c r="AA98" t="str">
        <f t="shared" si="14"/>
        <v>C</v>
      </c>
      <c r="AB98" t="str">
        <f t="shared" si="15"/>
        <v>Y</v>
      </c>
      <c r="AC98" t="str">
        <f t="shared" si="16"/>
        <v>CY</v>
      </c>
    </row>
    <row r="99" spans="1:29" x14ac:dyDescent="0.25">
      <c r="A99" t="s">
        <v>1718</v>
      </c>
      <c r="B99" t="s">
        <v>2587</v>
      </c>
      <c r="C99" s="4" t="s">
        <v>3057</v>
      </c>
      <c r="D99" s="4" t="s">
        <v>3057</v>
      </c>
      <c r="E99" s="4" t="s">
        <v>3057</v>
      </c>
      <c r="F99" s="4" t="s">
        <v>3057</v>
      </c>
      <c r="G99" s="4" t="s">
        <v>3057</v>
      </c>
      <c r="H99" s="4" t="s">
        <v>3057</v>
      </c>
      <c r="I99" s="4" t="s">
        <v>3057</v>
      </c>
      <c r="J99" s="4">
        <v>10</v>
      </c>
      <c r="K99" s="4">
        <v>9</v>
      </c>
      <c r="L99" s="4" t="s">
        <v>3057</v>
      </c>
      <c r="M99" s="4">
        <v>0</v>
      </c>
      <c r="N99" s="4" t="s">
        <v>3057</v>
      </c>
      <c r="O99" s="4">
        <v>199.99999999999994</v>
      </c>
      <c r="P99" s="4" t="s">
        <v>3057</v>
      </c>
      <c r="Q99" s="4">
        <v>20</v>
      </c>
      <c r="R99" s="4">
        <v>194</v>
      </c>
      <c r="S99" s="4" t="s">
        <v>3057</v>
      </c>
      <c r="T99" s="4" t="s">
        <v>3057</v>
      </c>
      <c r="U99" s="4">
        <f t="shared" si="9"/>
        <v>432.99999999999994</v>
      </c>
      <c r="V99" s="5">
        <f t="shared" si="10"/>
        <v>72.166666666666657</v>
      </c>
      <c r="W99" s="5">
        <f t="shared" si="11"/>
        <v>2.4055555555555554</v>
      </c>
      <c r="X99" s="7">
        <f t="shared" si="12"/>
        <v>6.5421341307815952E-4</v>
      </c>
      <c r="Y99" s="7">
        <f t="shared" si="17"/>
        <v>0.97615865877690289</v>
      </c>
      <c r="Z99" s="7">
        <f t="shared" si="13"/>
        <v>1.2260060554485104</v>
      </c>
      <c r="AA99" t="str">
        <f t="shared" si="14"/>
        <v>C</v>
      </c>
      <c r="AB99" t="str">
        <f t="shared" si="15"/>
        <v>Z</v>
      </c>
      <c r="AC99" t="str">
        <f t="shared" si="16"/>
        <v>CZ</v>
      </c>
    </row>
    <row r="100" spans="1:29" x14ac:dyDescent="0.25">
      <c r="A100" t="s">
        <v>2518</v>
      </c>
      <c r="B100" t="s">
        <v>2913</v>
      </c>
      <c r="C100" s="4" t="s">
        <v>3057</v>
      </c>
      <c r="D100" s="4" t="s">
        <v>3057</v>
      </c>
      <c r="E100" s="4" t="s">
        <v>3057</v>
      </c>
      <c r="F100" s="4" t="s">
        <v>3057</v>
      </c>
      <c r="G100" s="4" t="s">
        <v>3057</v>
      </c>
      <c r="H100" s="4" t="s">
        <v>3057</v>
      </c>
      <c r="I100" s="4" t="s">
        <v>3057</v>
      </c>
      <c r="J100" s="4" t="s">
        <v>3057</v>
      </c>
      <c r="K100" s="4" t="s">
        <v>3057</v>
      </c>
      <c r="L100" s="4" t="s">
        <v>3057</v>
      </c>
      <c r="M100" s="4">
        <v>0</v>
      </c>
      <c r="N100" s="4" t="s">
        <v>3057</v>
      </c>
      <c r="O100" s="4" t="s">
        <v>3057</v>
      </c>
      <c r="P100" s="4" t="s">
        <v>3057</v>
      </c>
      <c r="Q100" s="4" t="s">
        <v>3057</v>
      </c>
      <c r="R100" s="4" t="s">
        <v>3057</v>
      </c>
      <c r="S100" s="4" t="s">
        <v>3057</v>
      </c>
      <c r="T100" s="4">
        <v>429.85750000000007</v>
      </c>
      <c r="U100" s="4">
        <f t="shared" si="9"/>
        <v>429.85750000000007</v>
      </c>
      <c r="V100" s="5">
        <f t="shared" si="10"/>
        <v>214.92875000000004</v>
      </c>
      <c r="W100" s="5">
        <f t="shared" si="11"/>
        <v>7.1642916666666681</v>
      </c>
      <c r="X100" s="7">
        <f t="shared" si="12"/>
        <v>6.4946545545553126E-4</v>
      </c>
      <c r="Y100" s="7">
        <f t="shared" si="17"/>
        <v>0.97680812423235841</v>
      </c>
      <c r="Z100" s="7">
        <f t="shared" si="13"/>
        <v>1</v>
      </c>
      <c r="AA100" t="str">
        <f t="shared" si="14"/>
        <v>C</v>
      </c>
      <c r="AB100" t="str">
        <f t="shared" si="15"/>
        <v>Y</v>
      </c>
      <c r="AC100" t="str">
        <f t="shared" si="16"/>
        <v>CY</v>
      </c>
    </row>
    <row r="101" spans="1:29" x14ac:dyDescent="0.25">
      <c r="A101" t="s">
        <v>944</v>
      </c>
      <c r="B101" t="s">
        <v>2618</v>
      </c>
      <c r="C101" s="4" t="s">
        <v>3057</v>
      </c>
      <c r="D101" s="4" t="s">
        <v>3057</v>
      </c>
      <c r="E101" s="4">
        <v>60</v>
      </c>
      <c r="F101" s="4" t="s">
        <v>3057</v>
      </c>
      <c r="G101" s="4">
        <v>12</v>
      </c>
      <c r="H101" s="4">
        <v>70</v>
      </c>
      <c r="I101" s="4">
        <v>74</v>
      </c>
      <c r="J101" s="4">
        <v>6</v>
      </c>
      <c r="K101" s="4">
        <v>61</v>
      </c>
      <c r="L101" s="4" t="s">
        <v>3057</v>
      </c>
      <c r="M101" s="4">
        <v>12</v>
      </c>
      <c r="N101" s="4" t="s">
        <v>3057</v>
      </c>
      <c r="O101" s="4">
        <v>12</v>
      </c>
      <c r="P101" s="4">
        <v>36</v>
      </c>
      <c r="Q101" s="4">
        <v>24</v>
      </c>
      <c r="R101" s="4">
        <v>12</v>
      </c>
      <c r="S101" s="4" t="s">
        <v>3057</v>
      </c>
      <c r="T101" s="4">
        <v>44</v>
      </c>
      <c r="U101" s="4">
        <f t="shared" si="9"/>
        <v>423</v>
      </c>
      <c r="V101" s="5">
        <f t="shared" si="10"/>
        <v>35.25</v>
      </c>
      <c r="W101" s="5">
        <f t="shared" si="11"/>
        <v>1.175</v>
      </c>
      <c r="X101" s="7">
        <f t="shared" si="12"/>
        <v>6.3910455827265937E-4</v>
      </c>
      <c r="Y101" s="7">
        <f t="shared" si="17"/>
        <v>0.97744722879063106</v>
      </c>
      <c r="Z101" s="7">
        <f t="shared" si="13"/>
        <v>0.69519224361856324</v>
      </c>
      <c r="AA101" t="str">
        <f t="shared" si="14"/>
        <v>C</v>
      </c>
      <c r="AB101" t="str">
        <f t="shared" si="15"/>
        <v>Y</v>
      </c>
      <c r="AC101" t="str">
        <f t="shared" si="16"/>
        <v>CY</v>
      </c>
    </row>
    <row r="102" spans="1:29" x14ac:dyDescent="0.25">
      <c r="A102" t="s">
        <v>1631</v>
      </c>
      <c r="B102" t="s">
        <v>2601</v>
      </c>
      <c r="C102" s="4" t="s">
        <v>3057</v>
      </c>
      <c r="D102" s="4" t="s">
        <v>3057</v>
      </c>
      <c r="E102" s="4" t="s">
        <v>3057</v>
      </c>
      <c r="F102" s="4" t="s">
        <v>3057</v>
      </c>
      <c r="G102" s="4" t="s">
        <v>3057</v>
      </c>
      <c r="H102" s="4" t="s">
        <v>3057</v>
      </c>
      <c r="I102" s="4">
        <v>300</v>
      </c>
      <c r="J102" s="4" t="s">
        <v>3057</v>
      </c>
      <c r="K102" s="4" t="s">
        <v>3057</v>
      </c>
      <c r="L102" s="4" t="s">
        <v>3057</v>
      </c>
      <c r="M102" s="4">
        <v>0</v>
      </c>
      <c r="N102" s="4" t="s">
        <v>3057</v>
      </c>
      <c r="O102" s="4" t="s">
        <v>3057</v>
      </c>
      <c r="P102" s="4" t="s">
        <v>3057</v>
      </c>
      <c r="Q102" s="4" t="s">
        <v>3057</v>
      </c>
      <c r="R102" s="4" t="s">
        <v>3057</v>
      </c>
      <c r="S102" s="4" t="s">
        <v>3057</v>
      </c>
      <c r="T102" s="4">
        <v>100</v>
      </c>
      <c r="U102" s="4">
        <f t="shared" si="9"/>
        <v>400</v>
      </c>
      <c r="V102" s="5">
        <f t="shared" si="10"/>
        <v>133.33333333333334</v>
      </c>
      <c r="W102" s="5">
        <f t="shared" si="11"/>
        <v>4.4444444444444446</v>
      </c>
      <c r="X102" s="7">
        <f t="shared" si="12"/>
        <v>6.0435419222000888E-4</v>
      </c>
      <c r="Y102" s="7">
        <f t="shared" si="17"/>
        <v>0.97805158298285111</v>
      </c>
      <c r="Z102" s="7">
        <f t="shared" si="13"/>
        <v>0.93541434669348533</v>
      </c>
      <c r="AA102" t="str">
        <f t="shared" si="14"/>
        <v>C</v>
      </c>
      <c r="AB102" t="str">
        <f t="shared" si="15"/>
        <v>Y</v>
      </c>
      <c r="AC102" t="str">
        <f t="shared" si="16"/>
        <v>CY</v>
      </c>
    </row>
    <row r="103" spans="1:29" x14ac:dyDescent="0.25">
      <c r="A103" t="s">
        <v>1715</v>
      </c>
      <c r="B103" t="s">
        <v>2890</v>
      </c>
      <c r="C103" s="4" t="s">
        <v>3057</v>
      </c>
      <c r="D103" s="4" t="s">
        <v>3057</v>
      </c>
      <c r="E103" s="4" t="s">
        <v>3057</v>
      </c>
      <c r="F103" s="4" t="s">
        <v>3057</v>
      </c>
      <c r="G103" s="4" t="s">
        <v>3057</v>
      </c>
      <c r="H103" s="4" t="s">
        <v>3057</v>
      </c>
      <c r="I103" s="4" t="s">
        <v>3057</v>
      </c>
      <c r="J103" s="4">
        <v>150</v>
      </c>
      <c r="K103" s="4">
        <v>250</v>
      </c>
      <c r="L103" s="4" t="s">
        <v>3057</v>
      </c>
      <c r="M103" s="4">
        <v>0</v>
      </c>
      <c r="N103" s="4" t="s">
        <v>3057</v>
      </c>
      <c r="O103" s="4" t="s">
        <v>3057</v>
      </c>
      <c r="P103" s="4" t="s">
        <v>3057</v>
      </c>
      <c r="Q103" s="4" t="s">
        <v>3057</v>
      </c>
      <c r="R103" s="4" t="s">
        <v>3057</v>
      </c>
      <c r="S103" s="4" t="s">
        <v>3057</v>
      </c>
      <c r="T103" s="4" t="s">
        <v>3057</v>
      </c>
      <c r="U103" s="4">
        <f t="shared" si="9"/>
        <v>400</v>
      </c>
      <c r="V103" s="5">
        <f t="shared" si="10"/>
        <v>133.33333333333334</v>
      </c>
      <c r="W103" s="5">
        <f t="shared" si="11"/>
        <v>4.4444444444444446</v>
      </c>
      <c r="X103" s="7">
        <f t="shared" si="12"/>
        <v>6.0435419222000888E-4</v>
      </c>
      <c r="Y103" s="7">
        <f t="shared" si="17"/>
        <v>0.97865593717507116</v>
      </c>
      <c r="Z103" s="7">
        <f t="shared" si="13"/>
        <v>0.770551750371122</v>
      </c>
      <c r="AA103" t="str">
        <f t="shared" si="14"/>
        <v>C</v>
      </c>
      <c r="AB103" t="str">
        <f t="shared" si="15"/>
        <v>Y</v>
      </c>
      <c r="AC103" t="str">
        <f t="shared" si="16"/>
        <v>CY</v>
      </c>
    </row>
    <row r="104" spans="1:29" x14ac:dyDescent="0.25">
      <c r="A104" t="s">
        <v>612</v>
      </c>
      <c r="B104" t="s">
        <v>2617</v>
      </c>
      <c r="C104" s="4" t="s">
        <v>3057</v>
      </c>
      <c r="D104" s="4" t="s">
        <v>3057</v>
      </c>
      <c r="E104" s="4" t="s">
        <v>3057</v>
      </c>
      <c r="F104" s="4">
        <v>10</v>
      </c>
      <c r="G104" s="4">
        <v>20</v>
      </c>
      <c r="H104" s="4">
        <v>40.000199999999992</v>
      </c>
      <c r="I104" s="4">
        <v>70.999799999999993</v>
      </c>
      <c r="J104" s="4">
        <v>10</v>
      </c>
      <c r="K104" s="4" t="s">
        <v>3057</v>
      </c>
      <c r="L104" s="4">
        <v>19.999999999999986</v>
      </c>
      <c r="M104" s="4">
        <v>0</v>
      </c>
      <c r="N104" s="4" t="s">
        <v>3057</v>
      </c>
      <c r="O104" s="4">
        <v>49.999999999999993</v>
      </c>
      <c r="P104" s="4">
        <v>50</v>
      </c>
      <c r="Q104" s="4">
        <v>60</v>
      </c>
      <c r="R104" s="4">
        <v>36</v>
      </c>
      <c r="S104" s="4">
        <v>20</v>
      </c>
      <c r="T104" s="4">
        <v>10</v>
      </c>
      <c r="U104" s="4">
        <f t="shared" si="9"/>
        <v>397</v>
      </c>
      <c r="V104" s="5">
        <f t="shared" si="10"/>
        <v>30.53846153846154</v>
      </c>
      <c r="W104" s="5">
        <f t="shared" si="11"/>
        <v>1.0179487179487181</v>
      </c>
      <c r="X104" s="7">
        <f t="shared" si="12"/>
        <v>5.998215357783588E-4</v>
      </c>
      <c r="Y104" s="7">
        <f t="shared" si="17"/>
        <v>0.97925575871084947</v>
      </c>
      <c r="Z104" s="7">
        <f t="shared" si="13"/>
        <v>0.69838214581210623</v>
      </c>
      <c r="AA104" t="str">
        <f t="shared" si="14"/>
        <v>C</v>
      </c>
      <c r="AB104" t="str">
        <f t="shared" si="15"/>
        <v>Y</v>
      </c>
      <c r="AC104" t="str">
        <f t="shared" si="16"/>
        <v>CY</v>
      </c>
    </row>
    <row r="105" spans="1:29" x14ac:dyDescent="0.25">
      <c r="A105" t="s">
        <v>1525</v>
      </c>
      <c r="B105" t="s">
        <v>2894</v>
      </c>
      <c r="C105" s="4" t="s">
        <v>3057</v>
      </c>
      <c r="D105" s="4" t="s">
        <v>3057</v>
      </c>
      <c r="E105" s="4" t="s">
        <v>3057</v>
      </c>
      <c r="F105" s="4" t="s">
        <v>3057</v>
      </c>
      <c r="G105" s="4" t="s">
        <v>3057</v>
      </c>
      <c r="H105" s="4">
        <v>250</v>
      </c>
      <c r="I105" s="4" t="s">
        <v>3057</v>
      </c>
      <c r="J105" s="4" t="s">
        <v>3057</v>
      </c>
      <c r="K105" s="4" t="s">
        <v>3057</v>
      </c>
      <c r="L105" s="4" t="s">
        <v>3057</v>
      </c>
      <c r="M105" s="4">
        <v>120</v>
      </c>
      <c r="N105" s="4" t="s">
        <v>3057</v>
      </c>
      <c r="O105" s="4" t="s">
        <v>3057</v>
      </c>
      <c r="P105" s="4" t="s">
        <v>3057</v>
      </c>
      <c r="Q105" s="4" t="s">
        <v>3057</v>
      </c>
      <c r="R105" s="4" t="s">
        <v>3057</v>
      </c>
      <c r="S105" s="4" t="s">
        <v>3057</v>
      </c>
      <c r="T105" s="4" t="s">
        <v>3057</v>
      </c>
      <c r="U105" s="4">
        <f t="shared" si="9"/>
        <v>370</v>
      </c>
      <c r="V105" s="5">
        <f t="shared" si="10"/>
        <v>185</v>
      </c>
      <c r="W105" s="5">
        <f t="shared" si="11"/>
        <v>6.166666666666667</v>
      </c>
      <c r="X105" s="7">
        <f t="shared" si="12"/>
        <v>5.5902762780350821E-4</v>
      </c>
      <c r="Y105" s="7">
        <f t="shared" si="17"/>
        <v>0.97981478633865293</v>
      </c>
      <c r="Z105" s="7">
        <f t="shared" si="13"/>
        <v>0.35135135135135137</v>
      </c>
      <c r="AA105" t="str">
        <f t="shared" si="14"/>
        <v>C</v>
      </c>
      <c r="AB105" t="str">
        <f t="shared" si="15"/>
        <v>X</v>
      </c>
      <c r="AC105" t="str">
        <f t="shared" si="16"/>
        <v>CX</v>
      </c>
    </row>
    <row r="106" spans="1:29" x14ac:dyDescent="0.25">
      <c r="A106" t="s">
        <v>1784</v>
      </c>
      <c r="B106" t="s">
        <v>2927</v>
      </c>
      <c r="C106" s="4" t="s">
        <v>3057</v>
      </c>
      <c r="D106" s="4" t="s">
        <v>3057</v>
      </c>
      <c r="E106" s="4" t="s">
        <v>3057</v>
      </c>
      <c r="F106" s="4" t="s">
        <v>3057</v>
      </c>
      <c r="G106" s="4" t="s">
        <v>3057</v>
      </c>
      <c r="H106" s="4" t="s">
        <v>3057</v>
      </c>
      <c r="I106" s="4" t="s">
        <v>3057</v>
      </c>
      <c r="J106" s="4" t="s">
        <v>3057</v>
      </c>
      <c r="K106" s="4">
        <v>200</v>
      </c>
      <c r="L106" s="4" t="s">
        <v>3057</v>
      </c>
      <c r="M106" s="4">
        <v>170</v>
      </c>
      <c r="N106" s="4" t="s">
        <v>3057</v>
      </c>
      <c r="O106" s="4" t="s">
        <v>3057</v>
      </c>
      <c r="P106" s="4" t="s">
        <v>3057</v>
      </c>
      <c r="Q106" s="4" t="s">
        <v>3057</v>
      </c>
      <c r="R106" s="4" t="s">
        <v>3057</v>
      </c>
      <c r="S106" s="4" t="s">
        <v>3057</v>
      </c>
      <c r="T106" s="4" t="s">
        <v>3057</v>
      </c>
      <c r="U106" s="4">
        <f t="shared" si="9"/>
        <v>370</v>
      </c>
      <c r="V106" s="5">
        <f t="shared" si="10"/>
        <v>185</v>
      </c>
      <c r="W106" s="5">
        <f t="shared" si="11"/>
        <v>6.166666666666667</v>
      </c>
      <c r="X106" s="7">
        <f t="shared" si="12"/>
        <v>5.5902762780350821E-4</v>
      </c>
      <c r="Y106" s="7">
        <f t="shared" si="17"/>
        <v>0.9803738139664564</v>
      </c>
      <c r="Z106" s="7">
        <f t="shared" si="13"/>
        <v>8.1081081081081086E-2</v>
      </c>
      <c r="AA106" t="str">
        <f t="shared" si="14"/>
        <v>C</v>
      </c>
      <c r="AB106" t="str">
        <f t="shared" si="15"/>
        <v>X</v>
      </c>
      <c r="AC106" t="str">
        <f t="shared" si="16"/>
        <v>CX</v>
      </c>
    </row>
    <row r="107" spans="1:29" x14ac:dyDescent="0.25">
      <c r="A107" t="s">
        <v>630</v>
      </c>
      <c r="B107" t="s">
        <v>2760</v>
      </c>
      <c r="C107" s="4" t="s">
        <v>3057</v>
      </c>
      <c r="D107" s="4" t="s">
        <v>3057</v>
      </c>
      <c r="E107" s="4" t="s">
        <v>3057</v>
      </c>
      <c r="F107" s="4">
        <v>22.999999999999996</v>
      </c>
      <c r="G107" s="4">
        <v>11</v>
      </c>
      <c r="H107" s="4">
        <v>28.000000000000004</v>
      </c>
      <c r="I107" s="4">
        <v>38</v>
      </c>
      <c r="J107" s="4">
        <v>42.000000000000021</v>
      </c>
      <c r="K107" s="4">
        <v>12.887099999999998</v>
      </c>
      <c r="L107" s="4">
        <v>4</v>
      </c>
      <c r="M107" s="4">
        <v>29.999999999999996</v>
      </c>
      <c r="N107" s="4">
        <v>2</v>
      </c>
      <c r="O107" s="4" t="s">
        <v>3057</v>
      </c>
      <c r="P107" s="4">
        <v>21.550000000000004</v>
      </c>
      <c r="Q107" s="4">
        <v>26.000000000000004</v>
      </c>
      <c r="R107" s="4">
        <v>36</v>
      </c>
      <c r="S107" s="4">
        <v>53</v>
      </c>
      <c r="T107" s="4">
        <v>28.999999999999996</v>
      </c>
      <c r="U107" s="4">
        <f t="shared" si="9"/>
        <v>356.43710000000004</v>
      </c>
      <c r="V107" s="5">
        <f t="shared" si="10"/>
        <v>25.459792857142862</v>
      </c>
      <c r="W107" s="5">
        <f t="shared" si="11"/>
        <v>0.84865976190476211</v>
      </c>
      <c r="X107" s="7">
        <f t="shared" si="12"/>
        <v>5.3853563911935632E-4</v>
      </c>
      <c r="Y107" s="7">
        <f t="shared" si="17"/>
        <v>0.98091234960557572</v>
      </c>
      <c r="Z107" s="7">
        <f t="shared" si="13"/>
        <v>0.54945212337263061</v>
      </c>
      <c r="AA107" t="str">
        <f t="shared" si="14"/>
        <v>C</v>
      </c>
      <c r="AB107" t="str">
        <f t="shared" si="15"/>
        <v>Y</v>
      </c>
      <c r="AC107" t="str">
        <f t="shared" si="16"/>
        <v>CY</v>
      </c>
    </row>
    <row r="108" spans="1:29" x14ac:dyDescent="0.25">
      <c r="A108" t="s">
        <v>924</v>
      </c>
      <c r="B108" t="s">
        <v>2616</v>
      </c>
      <c r="C108" s="4" t="s">
        <v>3057</v>
      </c>
      <c r="D108" s="4" t="s">
        <v>3057</v>
      </c>
      <c r="E108" s="4" t="s">
        <v>3057</v>
      </c>
      <c r="F108" s="4" t="s">
        <v>3057</v>
      </c>
      <c r="G108" s="4">
        <v>51.999999999999972</v>
      </c>
      <c r="H108" s="4" t="s">
        <v>3057</v>
      </c>
      <c r="I108" s="4">
        <v>25.199999999999992</v>
      </c>
      <c r="J108" s="4" t="s">
        <v>3057</v>
      </c>
      <c r="K108" s="4">
        <v>92.8</v>
      </c>
      <c r="L108" s="4" t="s">
        <v>3057</v>
      </c>
      <c r="M108" s="4">
        <v>0</v>
      </c>
      <c r="N108" s="4" t="s">
        <v>3057</v>
      </c>
      <c r="O108" s="4">
        <v>20</v>
      </c>
      <c r="P108" s="4">
        <v>6</v>
      </c>
      <c r="Q108" s="4">
        <v>60</v>
      </c>
      <c r="R108" s="4">
        <v>40</v>
      </c>
      <c r="S108" s="4">
        <v>20</v>
      </c>
      <c r="T108" s="4">
        <v>40</v>
      </c>
      <c r="U108" s="4">
        <f t="shared" si="9"/>
        <v>355.99999999999994</v>
      </c>
      <c r="V108" s="5">
        <f t="shared" si="10"/>
        <v>35.599999999999994</v>
      </c>
      <c r="W108" s="5">
        <f t="shared" si="11"/>
        <v>1.1866666666666665</v>
      </c>
      <c r="X108" s="7">
        <f t="shared" si="12"/>
        <v>5.3787523107580774E-4</v>
      </c>
      <c r="Y108" s="7">
        <f t="shared" si="17"/>
        <v>0.98145022483665156</v>
      </c>
      <c r="Z108" s="7">
        <f t="shared" si="13"/>
        <v>0.73857070140550851</v>
      </c>
      <c r="AA108" t="str">
        <f t="shared" si="14"/>
        <v>C</v>
      </c>
      <c r="AB108" t="str">
        <f t="shared" si="15"/>
        <v>Y</v>
      </c>
      <c r="AC108" t="str">
        <f t="shared" si="16"/>
        <v>CY</v>
      </c>
    </row>
    <row r="109" spans="1:29" x14ac:dyDescent="0.25">
      <c r="A109" t="s">
        <v>641</v>
      </c>
      <c r="B109" t="s">
        <v>2615</v>
      </c>
      <c r="C109" s="4" t="s">
        <v>3057</v>
      </c>
      <c r="D109" s="4" t="s">
        <v>3057</v>
      </c>
      <c r="E109" s="4" t="s">
        <v>3057</v>
      </c>
      <c r="F109" s="4">
        <v>44</v>
      </c>
      <c r="G109" s="4">
        <v>42.75</v>
      </c>
      <c r="H109" s="4">
        <v>11</v>
      </c>
      <c r="I109" s="4" t="s">
        <v>3057</v>
      </c>
      <c r="J109" s="4">
        <v>14.999999999999995</v>
      </c>
      <c r="K109" s="4">
        <v>44.111200000000025</v>
      </c>
      <c r="L109" s="4">
        <v>21</v>
      </c>
      <c r="M109" s="4">
        <v>6</v>
      </c>
      <c r="N109" s="4" t="s">
        <v>3057</v>
      </c>
      <c r="O109" s="4">
        <v>44</v>
      </c>
      <c r="P109" s="4">
        <v>27.499999999999993</v>
      </c>
      <c r="Q109" s="4">
        <v>32.29999999999999</v>
      </c>
      <c r="R109" s="4">
        <v>29.199999999999996</v>
      </c>
      <c r="S109" s="4">
        <v>32</v>
      </c>
      <c r="T109" s="4">
        <v>6.0000000000000009</v>
      </c>
      <c r="U109" s="4">
        <f t="shared" si="9"/>
        <v>354.8612</v>
      </c>
      <c r="V109" s="5">
        <f t="shared" si="10"/>
        <v>27.297015384615385</v>
      </c>
      <c r="W109" s="5">
        <f t="shared" si="11"/>
        <v>0.90990051282051287</v>
      </c>
      <c r="X109" s="7">
        <f t="shared" si="12"/>
        <v>5.3615463469055744E-4</v>
      </c>
      <c r="Y109" s="7">
        <f t="shared" si="17"/>
        <v>0.98198637947134215</v>
      </c>
      <c r="Z109" s="7">
        <f t="shared" si="13"/>
        <v>0.50740145040659579</v>
      </c>
      <c r="AA109" t="str">
        <f t="shared" si="14"/>
        <v>C</v>
      </c>
      <c r="AB109" t="str">
        <f t="shared" si="15"/>
        <v>Y</v>
      </c>
      <c r="AC109" t="str">
        <f t="shared" si="16"/>
        <v>CY</v>
      </c>
    </row>
    <row r="110" spans="1:29" x14ac:dyDescent="0.25">
      <c r="A110" t="s">
        <v>163</v>
      </c>
      <c r="B110" t="s">
        <v>2610</v>
      </c>
      <c r="C110" s="4" t="s">
        <v>3057</v>
      </c>
      <c r="D110" s="4" t="s">
        <v>3057</v>
      </c>
      <c r="E110" s="4" t="s">
        <v>3057</v>
      </c>
      <c r="F110" s="4">
        <v>60</v>
      </c>
      <c r="G110" s="4">
        <v>10</v>
      </c>
      <c r="H110" s="4">
        <v>35</v>
      </c>
      <c r="I110" s="4">
        <v>15</v>
      </c>
      <c r="J110" s="4">
        <v>30</v>
      </c>
      <c r="K110" s="4">
        <v>20</v>
      </c>
      <c r="L110" s="4">
        <v>30</v>
      </c>
      <c r="M110" s="4">
        <v>30</v>
      </c>
      <c r="N110" s="4" t="s">
        <v>3057</v>
      </c>
      <c r="O110" s="4">
        <v>5</v>
      </c>
      <c r="P110" s="4">
        <v>24</v>
      </c>
      <c r="Q110" s="4">
        <v>10</v>
      </c>
      <c r="R110" s="4">
        <v>20</v>
      </c>
      <c r="S110" s="4">
        <v>25</v>
      </c>
      <c r="T110" s="4">
        <v>35</v>
      </c>
      <c r="U110" s="4">
        <f t="shared" si="9"/>
        <v>349</v>
      </c>
      <c r="V110" s="5">
        <f t="shared" si="10"/>
        <v>24.928571428571427</v>
      </c>
      <c r="W110" s="5">
        <f t="shared" si="11"/>
        <v>0.83095238095238089</v>
      </c>
      <c r="X110" s="7">
        <f t="shared" si="12"/>
        <v>5.2729903271195766E-4</v>
      </c>
      <c r="Y110" s="7">
        <f t="shared" si="17"/>
        <v>0.98251367850405413</v>
      </c>
      <c r="Z110" s="7">
        <f t="shared" si="13"/>
        <v>0.5361536105287098</v>
      </c>
      <c r="AA110" t="str">
        <f t="shared" si="14"/>
        <v>C</v>
      </c>
      <c r="AB110" t="str">
        <f t="shared" si="15"/>
        <v>Y</v>
      </c>
      <c r="AC110" t="str">
        <f t="shared" si="16"/>
        <v>CY</v>
      </c>
    </row>
    <row r="111" spans="1:29" x14ac:dyDescent="0.25">
      <c r="A111" t="s">
        <v>2259</v>
      </c>
      <c r="B111" t="s">
        <v>2582</v>
      </c>
      <c r="C111" s="4" t="s">
        <v>3057</v>
      </c>
      <c r="D111" s="4" t="s">
        <v>3057</v>
      </c>
      <c r="E111" s="4" t="s">
        <v>3057</v>
      </c>
      <c r="F111" s="4" t="s">
        <v>3057</v>
      </c>
      <c r="G111" s="4" t="s">
        <v>3057</v>
      </c>
      <c r="H111" s="4" t="s">
        <v>3057</v>
      </c>
      <c r="I111" s="4" t="s">
        <v>3057</v>
      </c>
      <c r="J111" s="4" t="s">
        <v>3057</v>
      </c>
      <c r="K111" s="4" t="s">
        <v>3057</v>
      </c>
      <c r="L111" s="4" t="s">
        <v>3057</v>
      </c>
      <c r="M111" s="4">
        <v>0</v>
      </c>
      <c r="N111" s="4" t="s">
        <v>3057</v>
      </c>
      <c r="O111" s="4" t="s">
        <v>3057</v>
      </c>
      <c r="P111" s="4" t="s">
        <v>3057</v>
      </c>
      <c r="Q111" s="4" t="s">
        <v>3057</v>
      </c>
      <c r="R111" s="4">
        <v>300</v>
      </c>
      <c r="S111" s="4" t="s">
        <v>3057</v>
      </c>
      <c r="T111" s="4" t="s">
        <v>3057</v>
      </c>
      <c r="U111" s="4">
        <f t="shared" si="9"/>
        <v>300</v>
      </c>
      <c r="V111" s="5">
        <f t="shared" si="10"/>
        <v>150</v>
      </c>
      <c r="W111" s="5">
        <f t="shared" si="11"/>
        <v>5</v>
      </c>
      <c r="X111" s="7">
        <f t="shared" si="12"/>
        <v>4.5326564416500661E-4</v>
      </c>
      <c r="Y111" s="7">
        <f t="shared" si="17"/>
        <v>0.98296694414821917</v>
      </c>
      <c r="Z111" s="7">
        <f t="shared" si="13"/>
        <v>1</v>
      </c>
      <c r="AA111" t="str">
        <f t="shared" si="14"/>
        <v>C</v>
      </c>
      <c r="AB111" t="str">
        <f t="shared" si="15"/>
        <v>Y</v>
      </c>
      <c r="AC111" t="str">
        <f t="shared" si="16"/>
        <v>CY</v>
      </c>
    </row>
    <row r="112" spans="1:29" x14ac:dyDescent="0.25">
      <c r="A112" t="s">
        <v>1712</v>
      </c>
      <c r="B112" t="s">
        <v>2906</v>
      </c>
      <c r="C112" s="4" t="s">
        <v>3057</v>
      </c>
      <c r="D112" s="4" t="s">
        <v>3057</v>
      </c>
      <c r="E112" s="4" t="s">
        <v>3057</v>
      </c>
      <c r="F112" s="4" t="s">
        <v>3057</v>
      </c>
      <c r="G112" s="4" t="s">
        <v>3057</v>
      </c>
      <c r="H112" s="4" t="s">
        <v>3057</v>
      </c>
      <c r="I112" s="4" t="s">
        <v>3057</v>
      </c>
      <c r="J112" s="4">
        <v>100</v>
      </c>
      <c r="K112" s="4">
        <v>200</v>
      </c>
      <c r="L112" s="4" t="s">
        <v>3057</v>
      </c>
      <c r="M112" s="4">
        <v>0</v>
      </c>
      <c r="N112" s="4" t="s">
        <v>3057</v>
      </c>
      <c r="O112" s="4" t="s">
        <v>3057</v>
      </c>
      <c r="P112" s="4" t="s">
        <v>3057</v>
      </c>
      <c r="Q112" s="4" t="s">
        <v>3057</v>
      </c>
      <c r="R112" s="4" t="s">
        <v>3057</v>
      </c>
      <c r="S112" s="4" t="s">
        <v>3057</v>
      </c>
      <c r="T112" s="4" t="s">
        <v>3057</v>
      </c>
      <c r="U112" s="4">
        <f t="shared" si="9"/>
        <v>300</v>
      </c>
      <c r="V112" s="5">
        <f t="shared" si="10"/>
        <v>100</v>
      </c>
      <c r="W112" s="5">
        <f t="shared" si="11"/>
        <v>3.3333333333333335</v>
      </c>
      <c r="X112" s="7">
        <f t="shared" si="12"/>
        <v>4.5326564416500661E-4</v>
      </c>
      <c r="Y112" s="7">
        <f t="shared" si="17"/>
        <v>0.9834202097923842</v>
      </c>
      <c r="Z112" s="7">
        <f t="shared" si="13"/>
        <v>0.81649658092772615</v>
      </c>
      <c r="AA112" t="str">
        <f t="shared" si="14"/>
        <v>C</v>
      </c>
      <c r="AB112" t="str">
        <f t="shared" si="15"/>
        <v>Y</v>
      </c>
      <c r="AC112" t="str">
        <f t="shared" si="16"/>
        <v>CY</v>
      </c>
    </row>
    <row r="113" spans="1:29" x14ac:dyDescent="0.25">
      <c r="A113" t="s">
        <v>1932</v>
      </c>
      <c r="B113" t="s">
        <v>2930</v>
      </c>
      <c r="C113" s="4" t="s">
        <v>3057</v>
      </c>
      <c r="D113" s="4" t="s">
        <v>3057</v>
      </c>
      <c r="E113" s="4" t="s">
        <v>3057</v>
      </c>
      <c r="F113" s="4" t="s">
        <v>3057</v>
      </c>
      <c r="G113" s="4" t="s">
        <v>3057</v>
      </c>
      <c r="H113" s="4" t="s">
        <v>3057</v>
      </c>
      <c r="I113" s="4" t="s">
        <v>3057</v>
      </c>
      <c r="J113" s="4" t="s">
        <v>3057</v>
      </c>
      <c r="K113" s="4" t="s">
        <v>3057</v>
      </c>
      <c r="L113" s="4" t="s">
        <v>3057</v>
      </c>
      <c r="M113" s="4">
        <v>300</v>
      </c>
      <c r="N113" s="4" t="s">
        <v>3057</v>
      </c>
      <c r="O113" s="4" t="s">
        <v>3057</v>
      </c>
      <c r="P113" s="4" t="s">
        <v>3057</v>
      </c>
      <c r="Q113" s="4" t="s">
        <v>3057</v>
      </c>
      <c r="R113" s="4" t="s">
        <v>3057</v>
      </c>
      <c r="S113" s="4" t="s">
        <v>3057</v>
      </c>
      <c r="T113" s="4" t="s">
        <v>3057</v>
      </c>
      <c r="U113" s="4">
        <f t="shared" si="9"/>
        <v>300</v>
      </c>
      <c r="V113" s="5">
        <f t="shared" si="10"/>
        <v>300</v>
      </c>
      <c r="W113" s="5">
        <f t="shared" si="11"/>
        <v>10</v>
      </c>
      <c r="X113" s="7">
        <f t="shared" si="12"/>
        <v>4.5326564416500661E-4</v>
      </c>
      <c r="Y113" s="7">
        <f t="shared" si="17"/>
        <v>0.98387347543654924</v>
      </c>
      <c r="Z113" s="7">
        <f t="shared" si="13"/>
        <v>0</v>
      </c>
      <c r="AA113" t="str">
        <f t="shared" si="14"/>
        <v>C</v>
      </c>
      <c r="AB113" t="str">
        <f t="shared" si="15"/>
        <v>X</v>
      </c>
      <c r="AC113" t="str">
        <f t="shared" si="16"/>
        <v>CX</v>
      </c>
    </row>
    <row r="114" spans="1:29" x14ac:dyDescent="0.25">
      <c r="A114" t="s">
        <v>650</v>
      </c>
      <c r="B114" t="s">
        <v>2697</v>
      </c>
      <c r="C114" s="4" t="s">
        <v>3057</v>
      </c>
      <c r="D114" s="4" t="s">
        <v>3057</v>
      </c>
      <c r="E114" s="4" t="s">
        <v>3057</v>
      </c>
      <c r="F114" s="4">
        <v>4</v>
      </c>
      <c r="G114" s="4">
        <v>20</v>
      </c>
      <c r="H114" s="4">
        <v>50.000000000000007</v>
      </c>
      <c r="I114" s="4">
        <v>33.000000000000014</v>
      </c>
      <c r="J114" s="4">
        <v>41</v>
      </c>
      <c r="K114" s="4">
        <v>32.428399999999989</v>
      </c>
      <c r="L114" s="4">
        <v>22.000000000000007</v>
      </c>
      <c r="M114" s="4">
        <v>6</v>
      </c>
      <c r="N114" s="4" t="s">
        <v>3057</v>
      </c>
      <c r="O114" s="4">
        <v>5.0000000000000009</v>
      </c>
      <c r="P114" s="4">
        <v>21</v>
      </c>
      <c r="Q114" s="4">
        <v>5.0000000000000009</v>
      </c>
      <c r="R114" s="4">
        <v>26</v>
      </c>
      <c r="S114" s="4" t="s">
        <v>3057</v>
      </c>
      <c r="T114" s="4">
        <v>21.999999999999989</v>
      </c>
      <c r="U114" s="4">
        <f t="shared" si="9"/>
        <v>287.42840000000001</v>
      </c>
      <c r="V114" s="5">
        <f t="shared" si="10"/>
        <v>22.109876923076925</v>
      </c>
      <c r="W114" s="5">
        <f t="shared" si="11"/>
        <v>0.73699589743589755</v>
      </c>
      <c r="X114" s="7">
        <f t="shared" si="12"/>
        <v>4.3427139625772397E-4</v>
      </c>
      <c r="Y114" s="7">
        <f t="shared" si="17"/>
        <v>0.98430774683280697</v>
      </c>
      <c r="Z114" s="7">
        <f t="shared" si="13"/>
        <v>0.63389594352165646</v>
      </c>
      <c r="AA114" t="str">
        <f t="shared" si="14"/>
        <v>C</v>
      </c>
      <c r="AB114" t="str">
        <f t="shared" si="15"/>
        <v>Y</v>
      </c>
      <c r="AC114" t="str">
        <f t="shared" si="16"/>
        <v>CY</v>
      </c>
    </row>
    <row r="115" spans="1:29" x14ac:dyDescent="0.25">
      <c r="A115" t="s">
        <v>640</v>
      </c>
      <c r="B115" t="s">
        <v>2637</v>
      </c>
      <c r="C115" s="4" t="s">
        <v>3057</v>
      </c>
      <c r="D115" s="4" t="s">
        <v>3057</v>
      </c>
      <c r="E115" s="4" t="s">
        <v>3057</v>
      </c>
      <c r="F115" s="4">
        <v>10</v>
      </c>
      <c r="G115" s="4" t="s">
        <v>3057</v>
      </c>
      <c r="H115" s="4">
        <v>84</v>
      </c>
      <c r="I115" s="4">
        <v>54.000000000000014</v>
      </c>
      <c r="J115" s="4">
        <v>24.999999999999996</v>
      </c>
      <c r="K115" s="4">
        <v>22</v>
      </c>
      <c r="L115" s="4">
        <v>13.999999999999998</v>
      </c>
      <c r="M115" s="4">
        <v>0</v>
      </c>
      <c r="N115" s="4" t="s">
        <v>3057</v>
      </c>
      <c r="O115" s="4" t="s">
        <v>3057</v>
      </c>
      <c r="P115" s="4">
        <v>10</v>
      </c>
      <c r="Q115" s="4">
        <v>17</v>
      </c>
      <c r="R115" s="4">
        <v>21.998999999999999</v>
      </c>
      <c r="S115" s="4">
        <v>10</v>
      </c>
      <c r="T115" s="4">
        <v>12</v>
      </c>
      <c r="U115" s="4">
        <f t="shared" si="9"/>
        <v>279.99900000000002</v>
      </c>
      <c r="V115" s="5">
        <f t="shared" si="10"/>
        <v>23.333250000000003</v>
      </c>
      <c r="W115" s="5">
        <f t="shared" si="11"/>
        <v>0.77777500000000011</v>
      </c>
      <c r="X115" s="7">
        <f t="shared" si="12"/>
        <v>4.2304642366852566E-4</v>
      </c>
      <c r="Y115" s="7">
        <f t="shared" si="17"/>
        <v>0.9847307932564755</v>
      </c>
      <c r="Z115" s="7">
        <f t="shared" si="13"/>
        <v>0.95517216452363085</v>
      </c>
      <c r="AA115" t="str">
        <f t="shared" si="14"/>
        <v>C</v>
      </c>
      <c r="AB115" t="str">
        <f t="shared" si="15"/>
        <v>Y</v>
      </c>
      <c r="AC115" t="str">
        <f t="shared" si="16"/>
        <v>CY</v>
      </c>
    </row>
    <row r="116" spans="1:29" x14ac:dyDescent="0.25">
      <c r="A116" t="s">
        <v>1122</v>
      </c>
      <c r="B116" t="s">
        <v>2947</v>
      </c>
      <c r="C116" s="4" t="s">
        <v>3057</v>
      </c>
      <c r="D116" s="4" t="s">
        <v>3057</v>
      </c>
      <c r="E116" s="4" t="s">
        <v>3057</v>
      </c>
      <c r="F116" s="4" t="s">
        <v>3057</v>
      </c>
      <c r="G116" s="4">
        <v>279</v>
      </c>
      <c r="H116" s="4" t="s">
        <v>3057</v>
      </c>
      <c r="I116" s="4" t="s">
        <v>3057</v>
      </c>
      <c r="J116" s="4" t="s">
        <v>3057</v>
      </c>
      <c r="K116" s="4" t="s">
        <v>3057</v>
      </c>
      <c r="L116" s="4" t="s">
        <v>3057</v>
      </c>
      <c r="M116" s="4">
        <v>0</v>
      </c>
      <c r="N116" s="4" t="s">
        <v>3057</v>
      </c>
      <c r="O116" s="4" t="s">
        <v>3057</v>
      </c>
      <c r="P116" s="4" t="s">
        <v>3057</v>
      </c>
      <c r="Q116" s="4" t="s">
        <v>3057</v>
      </c>
      <c r="R116" s="4" t="s">
        <v>3057</v>
      </c>
      <c r="S116" s="4" t="s">
        <v>3057</v>
      </c>
      <c r="T116" s="4" t="s">
        <v>3057</v>
      </c>
      <c r="U116" s="4">
        <f t="shared" si="9"/>
        <v>279</v>
      </c>
      <c r="V116" s="5">
        <f t="shared" si="10"/>
        <v>139.5</v>
      </c>
      <c r="W116" s="5">
        <f t="shared" si="11"/>
        <v>4.6500000000000004</v>
      </c>
      <c r="X116" s="7">
        <f t="shared" si="12"/>
        <v>4.2153704907345617E-4</v>
      </c>
      <c r="Y116" s="7">
        <f t="shared" si="17"/>
        <v>0.98515233030554894</v>
      </c>
      <c r="Z116" s="7">
        <f t="shared" si="13"/>
        <v>1</v>
      </c>
      <c r="AA116" t="str">
        <f t="shared" si="14"/>
        <v>C</v>
      </c>
      <c r="AB116" t="str">
        <f t="shared" si="15"/>
        <v>Y</v>
      </c>
      <c r="AC116" t="str">
        <f t="shared" si="16"/>
        <v>CY</v>
      </c>
    </row>
    <row r="117" spans="1:29" x14ac:dyDescent="0.25">
      <c r="A117" t="s">
        <v>1874</v>
      </c>
      <c r="B117" t="s">
        <v>2948</v>
      </c>
      <c r="C117" s="4" t="s">
        <v>3057</v>
      </c>
      <c r="D117" s="4" t="s">
        <v>3057</v>
      </c>
      <c r="E117" s="4" t="s">
        <v>3057</v>
      </c>
      <c r="F117" s="4" t="s">
        <v>3057</v>
      </c>
      <c r="G117" s="4" t="s">
        <v>3057</v>
      </c>
      <c r="H117" s="4" t="s">
        <v>3057</v>
      </c>
      <c r="I117" s="4" t="s">
        <v>3057</v>
      </c>
      <c r="J117" s="4" t="s">
        <v>3057</v>
      </c>
      <c r="K117" s="4" t="s">
        <v>3057</v>
      </c>
      <c r="L117" s="4">
        <v>150</v>
      </c>
      <c r="M117" s="4">
        <v>0</v>
      </c>
      <c r="N117" s="4" t="s">
        <v>3057</v>
      </c>
      <c r="O117" s="4" t="s">
        <v>3057</v>
      </c>
      <c r="P117" s="4">
        <v>120</v>
      </c>
      <c r="Q117" s="4" t="s">
        <v>3057</v>
      </c>
      <c r="R117" s="4" t="s">
        <v>3057</v>
      </c>
      <c r="S117" s="4" t="s">
        <v>3057</v>
      </c>
      <c r="T117" s="4" t="s">
        <v>3057</v>
      </c>
      <c r="U117" s="4">
        <f t="shared" si="9"/>
        <v>270</v>
      </c>
      <c r="V117" s="5">
        <f t="shared" si="10"/>
        <v>90</v>
      </c>
      <c r="W117" s="5">
        <f t="shared" si="11"/>
        <v>3</v>
      </c>
      <c r="X117" s="7">
        <f t="shared" si="12"/>
        <v>4.0793907974850593E-4</v>
      </c>
      <c r="Y117" s="7">
        <f t="shared" si="17"/>
        <v>0.98556026938529739</v>
      </c>
      <c r="Z117" s="7">
        <f t="shared" si="13"/>
        <v>0.72008229982309557</v>
      </c>
      <c r="AA117" t="str">
        <f t="shared" si="14"/>
        <v>C</v>
      </c>
      <c r="AB117" t="str">
        <f t="shared" si="15"/>
        <v>Y</v>
      </c>
      <c r="AC117" t="str">
        <f t="shared" si="16"/>
        <v>CY</v>
      </c>
    </row>
    <row r="118" spans="1:29" x14ac:dyDescent="0.25">
      <c r="A118" t="s">
        <v>611</v>
      </c>
      <c r="B118" t="s">
        <v>2716</v>
      </c>
      <c r="C118" s="4" t="s">
        <v>3057</v>
      </c>
      <c r="D118" s="4" t="s">
        <v>3057</v>
      </c>
      <c r="E118" s="4" t="s">
        <v>3057</v>
      </c>
      <c r="F118" s="4">
        <v>7</v>
      </c>
      <c r="G118" s="4">
        <v>20.000000000000004</v>
      </c>
      <c r="H118" s="4" t="s">
        <v>3057</v>
      </c>
      <c r="I118" s="4">
        <v>79.999999999999986</v>
      </c>
      <c r="J118" s="4" t="s">
        <v>3057</v>
      </c>
      <c r="K118" s="4">
        <v>10</v>
      </c>
      <c r="L118" s="4">
        <v>10</v>
      </c>
      <c r="M118" s="4">
        <v>10.139999999999999</v>
      </c>
      <c r="N118" s="4" t="s">
        <v>3057</v>
      </c>
      <c r="O118" s="4" t="s">
        <v>3057</v>
      </c>
      <c r="P118" s="4">
        <v>50</v>
      </c>
      <c r="Q118" s="4">
        <v>60</v>
      </c>
      <c r="R118" s="4" t="s">
        <v>3057</v>
      </c>
      <c r="S118" s="4" t="s">
        <v>3057</v>
      </c>
      <c r="T118" s="4">
        <v>19.999999999999996</v>
      </c>
      <c r="U118" s="4">
        <f t="shared" si="9"/>
        <v>267.14</v>
      </c>
      <c r="V118" s="5">
        <f t="shared" si="10"/>
        <v>29.682222222222222</v>
      </c>
      <c r="W118" s="5">
        <f t="shared" si="11"/>
        <v>0.9894074074074074</v>
      </c>
      <c r="X118" s="7">
        <f t="shared" si="12"/>
        <v>4.0361794727413288E-4</v>
      </c>
      <c r="Y118" s="7">
        <f t="shared" si="17"/>
        <v>0.98596388733257156</v>
      </c>
      <c r="Z118" s="7">
        <f t="shared" si="13"/>
        <v>0.84952397888777609</v>
      </c>
      <c r="AA118" t="str">
        <f t="shared" si="14"/>
        <v>C</v>
      </c>
      <c r="AB118" t="str">
        <f t="shared" si="15"/>
        <v>Y</v>
      </c>
      <c r="AC118" t="str">
        <f t="shared" si="16"/>
        <v>CY</v>
      </c>
    </row>
    <row r="119" spans="1:29" x14ac:dyDescent="0.25">
      <c r="A119" t="s">
        <v>72</v>
      </c>
      <c r="B119" t="s">
        <v>2644</v>
      </c>
      <c r="C119" s="4" t="s">
        <v>3057</v>
      </c>
      <c r="D119" s="4" t="s">
        <v>3057</v>
      </c>
      <c r="E119" s="4" t="s">
        <v>3057</v>
      </c>
      <c r="F119" s="4">
        <v>11</v>
      </c>
      <c r="G119" s="4">
        <v>27.1</v>
      </c>
      <c r="H119" s="4">
        <v>29.999999999999993</v>
      </c>
      <c r="I119" s="4">
        <v>21.999800000000018</v>
      </c>
      <c r="J119" s="4">
        <v>18.599999999999991</v>
      </c>
      <c r="K119" s="4">
        <v>24.999999999999996</v>
      </c>
      <c r="L119" s="4">
        <v>23.500000000000004</v>
      </c>
      <c r="M119" s="4">
        <v>7</v>
      </c>
      <c r="N119" s="4" t="s">
        <v>3057</v>
      </c>
      <c r="O119" s="4">
        <v>8</v>
      </c>
      <c r="P119" s="4">
        <v>26.75</v>
      </c>
      <c r="Q119" s="4">
        <v>21.249999999999989</v>
      </c>
      <c r="R119" s="4">
        <v>22.000000000000014</v>
      </c>
      <c r="S119" s="4">
        <v>10</v>
      </c>
      <c r="T119" s="4" t="s">
        <v>3057</v>
      </c>
      <c r="U119" s="4">
        <f t="shared" si="9"/>
        <v>252.19980000000004</v>
      </c>
      <c r="V119" s="5">
        <f t="shared" si="10"/>
        <v>19.399984615384618</v>
      </c>
      <c r="W119" s="5">
        <f t="shared" si="11"/>
        <v>0.64666615384615389</v>
      </c>
      <c r="X119" s="7">
        <f t="shared" si="12"/>
        <v>3.8104501601761952E-4</v>
      </c>
      <c r="Y119" s="7">
        <f t="shared" si="17"/>
        <v>0.98634493234858922</v>
      </c>
      <c r="Z119" s="7">
        <f t="shared" si="13"/>
        <v>0.38734137460266166</v>
      </c>
      <c r="AA119" t="str">
        <f t="shared" si="14"/>
        <v>C</v>
      </c>
      <c r="AB119" t="str">
        <f t="shared" si="15"/>
        <v>X</v>
      </c>
      <c r="AC119" t="str">
        <f t="shared" si="16"/>
        <v>CX</v>
      </c>
    </row>
    <row r="120" spans="1:29" x14ac:dyDescent="0.25">
      <c r="A120" t="s">
        <v>1544</v>
      </c>
      <c r="B120" t="s">
        <v>2608</v>
      </c>
      <c r="C120" s="4" t="s">
        <v>3057</v>
      </c>
      <c r="D120" s="4" t="s">
        <v>3057</v>
      </c>
      <c r="E120" s="4" t="s">
        <v>3057</v>
      </c>
      <c r="F120" s="4" t="s">
        <v>3057</v>
      </c>
      <c r="G120" s="4" t="s">
        <v>3057</v>
      </c>
      <c r="H120" s="4">
        <v>6</v>
      </c>
      <c r="I120" s="4">
        <v>33.999999999999993</v>
      </c>
      <c r="J120" s="4">
        <v>21</v>
      </c>
      <c r="K120" s="4">
        <v>46</v>
      </c>
      <c r="L120" s="4" t="s">
        <v>3057</v>
      </c>
      <c r="M120" s="4">
        <v>0</v>
      </c>
      <c r="N120" s="4">
        <v>3</v>
      </c>
      <c r="O120" s="4">
        <v>10</v>
      </c>
      <c r="P120" s="4">
        <v>29.999999999999996</v>
      </c>
      <c r="Q120" s="4">
        <v>10</v>
      </c>
      <c r="R120" s="4">
        <v>32</v>
      </c>
      <c r="S120" s="4">
        <v>41</v>
      </c>
      <c r="T120" s="4">
        <v>11.000000000000002</v>
      </c>
      <c r="U120" s="4">
        <f t="shared" si="9"/>
        <v>244</v>
      </c>
      <c r="V120" s="5">
        <f t="shared" si="10"/>
        <v>20.333333333333332</v>
      </c>
      <c r="W120" s="5">
        <f t="shared" si="11"/>
        <v>0.6777777777777777</v>
      </c>
      <c r="X120" s="7">
        <f t="shared" si="12"/>
        <v>3.6865605725420537E-4</v>
      </c>
      <c r="Y120" s="7">
        <f t="shared" si="17"/>
        <v>0.98671358840584344</v>
      </c>
      <c r="Z120" s="7">
        <f t="shared" si="13"/>
        <v>0.74079498542262301</v>
      </c>
      <c r="AA120" t="str">
        <f t="shared" si="14"/>
        <v>C</v>
      </c>
      <c r="AB120" t="str">
        <f t="shared" si="15"/>
        <v>Y</v>
      </c>
      <c r="AC120" t="str">
        <f t="shared" si="16"/>
        <v>CY</v>
      </c>
    </row>
    <row r="121" spans="1:29" x14ac:dyDescent="0.25">
      <c r="A121" t="s">
        <v>101</v>
      </c>
      <c r="B121" t="s">
        <v>2733</v>
      </c>
      <c r="C121" s="4" t="s">
        <v>3057</v>
      </c>
      <c r="D121" s="4" t="s">
        <v>3057</v>
      </c>
      <c r="E121" s="4" t="s">
        <v>3057</v>
      </c>
      <c r="F121" s="4">
        <v>23</v>
      </c>
      <c r="G121" s="4">
        <v>12</v>
      </c>
      <c r="H121" s="4">
        <v>30.677799999999998</v>
      </c>
      <c r="I121" s="4">
        <v>21.999999999999993</v>
      </c>
      <c r="J121" s="4">
        <v>29.990000000000023</v>
      </c>
      <c r="K121" s="4">
        <v>34</v>
      </c>
      <c r="L121" s="4">
        <v>34</v>
      </c>
      <c r="M121" s="4">
        <v>1</v>
      </c>
      <c r="N121" s="4">
        <v>1</v>
      </c>
      <c r="O121" s="4" t="s">
        <v>3057</v>
      </c>
      <c r="P121" s="4">
        <v>17.000000000000004</v>
      </c>
      <c r="Q121" s="4">
        <v>11.5</v>
      </c>
      <c r="R121" s="4">
        <v>16.5</v>
      </c>
      <c r="S121" s="4">
        <v>10</v>
      </c>
      <c r="T121" s="4" t="s">
        <v>3057</v>
      </c>
      <c r="U121" s="4">
        <f t="shared" si="9"/>
        <v>242.6678</v>
      </c>
      <c r="V121" s="5">
        <f t="shared" si="10"/>
        <v>18.666753846153846</v>
      </c>
      <c r="W121" s="5">
        <f t="shared" si="11"/>
        <v>0.62222512820512821</v>
      </c>
      <c r="X121" s="7">
        <f t="shared" si="12"/>
        <v>3.6664325561701664E-4</v>
      </c>
      <c r="Y121" s="7">
        <f t="shared" si="17"/>
        <v>0.98708023166146042</v>
      </c>
      <c r="Z121" s="7">
        <f t="shared" si="13"/>
        <v>0.58969629374436738</v>
      </c>
      <c r="AA121" t="str">
        <f t="shared" si="14"/>
        <v>C</v>
      </c>
      <c r="AB121" t="str">
        <f t="shared" si="15"/>
        <v>Y</v>
      </c>
      <c r="AC121" t="str">
        <f t="shared" si="16"/>
        <v>CY</v>
      </c>
    </row>
    <row r="122" spans="1:29" x14ac:dyDescent="0.25">
      <c r="A122" t="s">
        <v>415</v>
      </c>
      <c r="B122" t="s">
        <v>2619</v>
      </c>
      <c r="C122" s="4" t="s">
        <v>3057</v>
      </c>
      <c r="D122" s="4" t="s">
        <v>3057</v>
      </c>
      <c r="E122" s="4" t="s">
        <v>3057</v>
      </c>
      <c r="F122" s="4">
        <v>21</v>
      </c>
      <c r="G122" s="4">
        <v>19</v>
      </c>
      <c r="H122" s="4">
        <v>35.666699999999992</v>
      </c>
      <c r="I122" s="4">
        <v>8</v>
      </c>
      <c r="J122" s="4">
        <v>6</v>
      </c>
      <c r="K122" s="4">
        <v>22.000000000000011</v>
      </c>
      <c r="L122" s="4">
        <v>18.000000000000007</v>
      </c>
      <c r="M122" s="4">
        <v>2</v>
      </c>
      <c r="N122" s="4">
        <v>9</v>
      </c>
      <c r="O122" s="4">
        <v>13.000000000000002</v>
      </c>
      <c r="P122" s="4">
        <v>8</v>
      </c>
      <c r="Q122" s="4">
        <v>18</v>
      </c>
      <c r="R122" s="4">
        <v>21</v>
      </c>
      <c r="S122" s="4">
        <v>7</v>
      </c>
      <c r="T122" s="4">
        <v>29.000000000000004</v>
      </c>
      <c r="U122" s="4">
        <f t="shared" si="9"/>
        <v>236.66670000000002</v>
      </c>
      <c r="V122" s="5">
        <f t="shared" si="10"/>
        <v>15.777780000000002</v>
      </c>
      <c r="W122" s="5">
        <f t="shared" si="11"/>
        <v>0.525926</v>
      </c>
      <c r="X122" s="7">
        <f t="shared" si="12"/>
        <v>3.5757628075968793E-4</v>
      </c>
      <c r="Y122" s="7">
        <f t="shared" si="17"/>
        <v>0.98743780794222014</v>
      </c>
      <c r="Z122" s="7">
        <f t="shared" si="13"/>
        <v>0.5718381539936086</v>
      </c>
      <c r="AA122" t="str">
        <f t="shared" si="14"/>
        <v>C</v>
      </c>
      <c r="AB122" t="str">
        <f t="shared" si="15"/>
        <v>Y</v>
      </c>
      <c r="AC122" t="str">
        <f t="shared" si="16"/>
        <v>CY</v>
      </c>
    </row>
    <row r="123" spans="1:29" x14ac:dyDescent="0.25">
      <c r="A123" t="s">
        <v>559</v>
      </c>
      <c r="B123" t="s">
        <v>2612</v>
      </c>
      <c r="C123" s="4" t="s">
        <v>3057</v>
      </c>
      <c r="D123" s="4" t="s">
        <v>3057</v>
      </c>
      <c r="E123" s="4" t="s">
        <v>3057</v>
      </c>
      <c r="F123" s="4" t="s">
        <v>3057</v>
      </c>
      <c r="G123" s="4">
        <v>11.75</v>
      </c>
      <c r="H123" s="4">
        <v>30</v>
      </c>
      <c r="I123" s="4">
        <v>40.25</v>
      </c>
      <c r="J123" s="4" t="s">
        <v>3057</v>
      </c>
      <c r="K123" s="4">
        <v>1.9999999999999996</v>
      </c>
      <c r="L123" s="4">
        <v>10</v>
      </c>
      <c r="M123" s="4">
        <v>0</v>
      </c>
      <c r="N123" s="4">
        <v>10</v>
      </c>
      <c r="O123" s="4">
        <v>26.999999999999996</v>
      </c>
      <c r="P123" s="4" t="s">
        <v>3057</v>
      </c>
      <c r="Q123" s="4">
        <v>30</v>
      </c>
      <c r="R123" s="4">
        <v>30</v>
      </c>
      <c r="S123" s="4" t="s">
        <v>3057</v>
      </c>
      <c r="T123" s="4">
        <v>43.000000000000007</v>
      </c>
      <c r="U123" s="4">
        <f t="shared" si="9"/>
        <v>234</v>
      </c>
      <c r="V123" s="5">
        <f t="shared" si="10"/>
        <v>21.272727272727273</v>
      </c>
      <c r="W123" s="5">
        <f t="shared" si="11"/>
        <v>0.70909090909090911</v>
      </c>
      <c r="X123" s="7">
        <f t="shared" si="12"/>
        <v>3.5354720244870516E-4</v>
      </c>
      <c r="Y123" s="7">
        <f t="shared" si="17"/>
        <v>0.98779135514466887</v>
      </c>
      <c r="Z123" s="7">
        <f t="shared" si="13"/>
        <v>0.67414953200074434</v>
      </c>
      <c r="AA123" t="str">
        <f t="shared" si="14"/>
        <v>C</v>
      </c>
      <c r="AB123" t="str">
        <f t="shared" si="15"/>
        <v>Y</v>
      </c>
      <c r="AC123" t="str">
        <f t="shared" si="16"/>
        <v>CY</v>
      </c>
    </row>
    <row r="124" spans="1:29" x14ac:dyDescent="0.25">
      <c r="A124" t="s">
        <v>558</v>
      </c>
      <c r="B124" t="s">
        <v>2614</v>
      </c>
      <c r="C124" s="4" t="s">
        <v>3057</v>
      </c>
      <c r="D124" s="4" t="s">
        <v>3057</v>
      </c>
      <c r="E124" s="4" t="s">
        <v>3057</v>
      </c>
      <c r="F124" s="4">
        <v>10</v>
      </c>
      <c r="G124" s="4">
        <v>40</v>
      </c>
      <c r="H124" s="4">
        <v>20</v>
      </c>
      <c r="I124" s="4">
        <v>53</v>
      </c>
      <c r="J124" s="4">
        <v>2.0000000000000004</v>
      </c>
      <c r="K124" s="4" t="s">
        <v>3057</v>
      </c>
      <c r="L124" s="4" t="s">
        <v>3057</v>
      </c>
      <c r="M124" s="4">
        <v>0</v>
      </c>
      <c r="N124" s="4" t="s">
        <v>3057</v>
      </c>
      <c r="O124" s="4" t="s">
        <v>3057</v>
      </c>
      <c r="P124" s="4">
        <v>10</v>
      </c>
      <c r="Q124" s="4">
        <v>36</v>
      </c>
      <c r="R124" s="4">
        <v>20</v>
      </c>
      <c r="S124" s="4">
        <v>10</v>
      </c>
      <c r="T124" s="4">
        <v>33.000000000000007</v>
      </c>
      <c r="U124" s="4">
        <f t="shared" si="9"/>
        <v>234</v>
      </c>
      <c r="V124" s="5">
        <f t="shared" si="10"/>
        <v>21.272727272727273</v>
      </c>
      <c r="W124" s="5">
        <f t="shared" si="11"/>
        <v>0.70909090909090911</v>
      </c>
      <c r="X124" s="7">
        <f t="shared" si="12"/>
        <v>3.5354720244870516E-4</v>
      </c>
      <c r="Y124" s="7">
        <f t="shared" si="17"/>
        <v>0.9881449023471176</v>
      </c>
      <c r="Z124" s="7">
        <f t="shared" si="13"/>
        <v>0.76592356482336255</v>
      </c>
      <c r="AA124" t="str">
        <f t="shared" si="14"/>
        <v>C</v>
      </c>
      <c r="AB124" t="str">
        <f t="shared" si="15"/>
        <v>Y</v>
      </c>
      <c r="AC124" t="str">
        <f t="shared" si="16"/>
        <v>CY</v>
      </c>
    </row>
    <row r="125" spans="1:29" x14ac:dyDescent="0.25">
      <c r="A125" t="s">
        <v>629</v>
      </c>
      <c r="B125" t="s">
        <v>2631</v>
      </c>
      <c r="C125" s="4" t="s">
        <v>3057</v>
      </c>
      <c r="D125" s="4" t="s">
        <v>3057</v>
      </c>
      <c r="E125" s="4" t="s">
        <v>3057</v>
      </c>
      <c r="F125" s="4">
        <v>12.000000000000002</v>
      </c>
      <c r="G125" s="4">
        <v>6</v>
      </c>
      <c r="H125" s="4">
        <v>22.999999999999996</v>
      </c>
      <c r="I125" s="4">
        <v>12.000000000000002</v>
      </c>
      <c r="J125" s="4">
        <v>20</v>
      </c>
      <c r="K125" s="4">
        <v>14</v>
      </c>
      <c r="L125" s="4">
        <v>14</v>
      </c>
      <c r="M125" s="4">
        <v>22</v>
      </c>
      <c r="N125" s="4" t="s">
        <v>3057</v>
      </c>
      <c r="O125" s="4">
        <v>2</v>
      </c>
      <c r="P125" s="4">
        <v>12</v>
      </c>
      <c r="Q125" s="4">
        <v>23</v>
      </c>
      <c r="R125" s="4">
        <v>21</v>
      </c>
      <c r="S125" s="4">
        <v>20</v>
      </c>
      <c r="T125" s="4">
        <v>23</v>
      </c>
      <c r="U125" s="4">
        <f t="shared" si="9"/>
        <v>224</v>
      </c>
      <c r="V125" s="5">
        <f t="shared" si="10"/>
        <v>16</v>
      </c>
      <c r="W125" s="5">
        <f t="shared" si="11"/>
        <v>0.53333333333333333</v>
      </c>
      <c r="X125" s="7">
        <f t="shared" si="12"/>
        <v>3.3843834764320496E-4</v>
      </c>
      <c r="Y125" s="7">
        <f t="shared" si="17"/>
        <v>0.98848334069476085</v>
      </c>
      <c r="Z125" s="7">
        <f t="shared" si="13"/>
        <v>0.40642166702646576</v>
      </c>
      <c r="AA125" t="str">
        <f t="shared" si="14"/>
        <v>C</v>
      </c>
      <c r="AB125" t="str">
        <f t="shared" si="15"/>
        <v>X</v>
      </c>
      <c r="AC125" t="str">
        <f t="shared" si="16"/>
        <v>CX</v>
      </c>
    </row>
    <row r="126" spans="1:29" x14ac:dyDescent="0.25">
      <c r="A126" t="s">
        <v>936</v>
      </c>
      <c r="B126" t="s">
        <v>2634</v>
      </c>
      <c r="C126" s="4" t="s">
        <v>3057</v>
      </c>
      <c r="D126" s="4" t="s">
        <v>3057</v>
      </c>
      <c r="E126" s="4" t="s">
        <v>3057</v>
      </c>
      <c r="F126" s="4">
        <v>21</v>
      </c>
      <c r="G126" s="4" t="s">
        <v>3057</v>
      </c>
      <c r="H126" s="4" t="s">
        <v>3057</v>
      </c>
      <c r="I126" s="4">
        <v>56.000000000000021</v>
      </c>
      <c r="J126" s="4">
        <v>11.999999999999995</v>
      </c>
      <c r="K126" s="4">
        <v>72</v>
      </c>
      <c r="L126" s="4">
        <v>25.999999999999993</v>
      </c>
      <c r="M126" s="4">
        <v>0</v>
      </c>
      <c r="N126" s="4" t="s">
        <v>3057</v>
      </c>
      <c r="O126" s="4">
        <v>20</v>
      </c>
      <c r="P126" s="4" t="s">
        <v>3057</v>
      </c>
      <c r="Q126" s="4" t="s">
        <v>3057</v>
      </c>
      <c r="R126" s="4" t="s">
        <v>3057</v>
      </c>
      <c r="S126" s="4" t="s">
        <v>3057</v>
      </c>
      <c r="T126" s="4" t="s">
        <v>3057</v>
      </c>
      <c r="U126" s="4">
        <f t="shared" si="9"/>
        <v>207.00000000000003</v>
      </c>
      <c r="V126" s="5">
        <f t="shared" si="10"/>
        <v>29.571428571428577</v>
      </c>
      <c r="W126" s="5">
        <f t="shared" si="11"/>
        <v>0.98571428571428588</v>
      </c>
      <c r="X126" s="7">
        <f t="shared" si="12"/>
        <v>3.1275329447385462E-4</v>
      </c>
      <c r="Y126" s="7">
        <f t="shared" si="17"/>
        <v>0.98879609398923474</v>
      </c>
      <c r="Z126" s="7">
        <f t="shared" si="13"/>
        <v>0.79406536416247664</v>
      </c>
      <c r="AA126" t="str">
        <f t="shared" si="14"/>
        <v>C</v>
      </c>
      <c r="AB126" t="str">
        <f t="shared" si="15"/>
        <v>Y</v>
      </c>
      <c r="AC126" t="str">
        <f t="shared" si="16"/>
        <v>CY</v>
      </c>
    </row>
    <row r="127" spans="1:29" x14ac:dyDescent="0.25">
      <c r="A127" t="s">
        <v>123</v>
      </c>
      <c r="B127" t="s">
        <v>2640</v>
      </c>
      <c r="C127" s="4" t="s">
        <v>3057</v>
      </c>
      <c r="D127" s="4" t="s">
        <v>3057</v>
      </c>
      <c r="E127" s="4" t="s">
        <v>3057</v>
      </c>
      <c r="F127" s="4">
        <v>25</v>
      </c>
      <c r="G127" s="4">
        <v>17.999999999999996</v>
      </c>
      <c r="H127" s="4">
        <v>29.000000000000004</v>
      </c>
      <c r="I127" s="4">
        <v>21.000000000000007</v>
      </c>
      <c r="J127" s="4">
        <v>14</v>
      </c>
      <c r="K127" s="4" t="s">
        <v>3057</v>
      </c>
      <c r="L127" s="4">
        <v>19.999999999999996</v>
      </c>
      <c r="M127" s="4">
        <v>3</v>
      </c>
      <c r="N127" s="4" t="s">
        <v>3057</v>
      </c>
      <c r="O127" s="4" t="s">
        <v>3057</v>
      </c>
      <c r="P127" s="4">
        <v>13.999999999999998</v>
      </c>
      <c r="Q127" s="4">
        <v>25.999999999999996</v>
      </c>
      <c r="R127" s="4">
        <v>12</v>
      </c>
      <c r="S127" s="4" t="s">
        <v>3057</v>
      </c>
      <c r="T127" s="4">
        <v>22</v>
      </c>
      <c r="U127" s="4">
        <f t="shared" si="9"/>
        <v>204</v>
      </c>
      <c r="V127" s="5">
        <f t="shared" si="10"/>
        <v>18.545454545454547</v>
      </c>
      <c r="W127" s="5">
        <f t="shared" si="11"/>
        <v>0.61818181818181828</v>
      </c>
      <c r="X127" s="7">
        <f t="shared" si="12"/>
        <v>3.0822063803220449E-4</v>
      </c>
      <c r="Y127" s="7">
        <f t="shared" si="17"/>
        <v>0.98910431462726689</v>
      </c>
      <c r="Z127" s="7">
        <f t="shared" si="13"/>
        <v>0.38222722920819463</v>
      </c>
      <c r="AA127" t="str">
        <f t="shared" si="14"/>
        <v>C</v>
      </c>
      <c r="AB127" t="str">
        <f t="shared" si="15"/>
        <v>X</v>
      </c>
      <c r="AC127" t="str">
        <f t="shared" si="16"/>
        <v>CX</v>
      </c>
    </row>
    <row r="128" spans="1:29" x14ac:dyDescent="0.25">
      <c r="A128" t="s">
        <v>1529</v>
      </c>
      <c r="B128" t="s">
        <v>2891</v>
      </c>
      <c r="C128" s="4" t="s">
        <v>3057</v>
      </c>
      <c r="D128" s="4" t="s">
        <v>3057</v>
      </c>
      <c r="E128" s="4" t="s">
        <v>3057</v>
      </c>
      <c r="F128" s="4" t="s">
        <v>3057</v>
      </c>
      <c r="G128" s="4" t="s">
        <v>3057</v>
      </c>
      <c r="H128" s="4">
        <v>66.667000000000002</v>
      </c>
      <c r="I128" s="4" t="s">
        <v>3057</v>
      </c>
      <c r="J128" s="4">
        <v>68.75</v>
      </c>
      <c r="K128" s="4">
        <v>64.582999999999998</v>
      </c>
      <c r="L128" s="4" t="s">
        <v>3057</v>
      </c>
      <c r="M128" s="4">
        <v>0</v>
      </c>
      <c r="N128" s="4" t="s">
        <v>3057</v>
      </c>
      <c r="O128" s="4" t="s">
        <v>3057</v>
      </c>
      <c r="P128" s="4" t="s">
        <v>3057</v>
      </c>
      <c r="Q128" s="4" t="s">
        <v>3057</v>
      </c>
      <c r="R128" s="4" t="s">
        <v>3057</v>
      </c>
      <c r="S128" s="4" t="s">
        <v>3057</v>
      </c>
      <c r="T128" s="4" t="s">
        <v>3057</v>
      </c>
      <c r="U128" s="4">
        <f t="shared" si="9"/>
        <v>200</v>
      </c>
      <c r="V128" s="5">
        <f t="shared" si="10"/>
        <v>50</v>
      </c>
      <c r="W128" s="5">
        <f t="shared" si="11"/>
        <v>1.6666666666666667</v>
      </c>
      <c r="X128" s="7">
        <f t="shared" si="12"/>
        <v>3.0217709611000444E-4</v>
      </c>
      <c r="Y128" s="7">
        <f t="shared" si="17"/>
        <v>0.98940649172337691</v>
      </c>
      <c r="Z128" s="7">
        <f t="shared" si="13"/>
        <v>0.57810165870718611</v>
      </c>
      <c r="AA128" t="str">
        <f t="shared" si="14"/>
        <v>C</v>
      </c>
      <c r="AB128" t="str">
        <f t="shared" si="15"/>
        <v>Y</v>
      </c>
      <c r="AC128" t="str">
        <f t="shared" si="16"/>
        <v>CY</v>
      </c>
    </row>
    <row r="129" spans="1:29" x14ac:dyDescent="0.25">
      <c r="A129" t="s">
        <v>1543</v>
      </c>
      <c r="B129" t="s">
        <v>2611</v>
      </c>
      <c r="C129" s="4" t="s">
        <v>3057</v>
      </c>
      <c r="D129" s="4" t="s">
        <v>3057</v>
      </c>
      <c r="E129" s="4" t="s">
        <v>3057</v>
      </c>
      <c r="F129" s="4" t="s">
        <v>3057</v>
      </c>
      <c r="G129" s="4" t="s">
        <v>3057</v>
      </c>
      <c r="H129" s="4">
        <v>5</v>
      </c>
      <c r="I129" s="4">
        <v>33.999199999999995</v>
      </c>
      <c r="J129" s="4">
        <v>21</v>
      </c>
      <c r="K129" s="4">
        <v>20</v>
      </c>
      <c r="L129" s="4" t="s">
        <v>3057</v>
      </c>
      <c r="M129" s="4">
        <v>0</v>
      </c>
      <c r="N129" s="4" t="s">
        <v>3057</v>
      </c>
      <c r="O129" s="4">
        <v>10</v>
      </c>
      <c r="P129" s="4">
        <v>29.999999999999996</v>
      </c>
      <c r="Q129" s="4" t="s">
        <v>3057</v>
      </c>
      <c r="R129" s="4">
        <v>22</v>
      </c>
      <c r="S129" s="4">
        <v>41</v>
      </c>
      <c r="T129" s="4">
        <v>11.000000000000002</v>
      </c>
      <c r="U129" s="4">
        <f t="shared" si="9"/>
        <v>193.9992</v>
      </c>
      <c r="V129" s="5">
        <f t="shared" si="10"/>
        <v>19.399920000000002</v>
      </c>
      <c r="W129" s="5">
        <f t="shared" si="11"/>
        <v>0.64666400000000002</v>
      </c>
      <c r="X129" s="7">
        <f t="shared" si="12"/>
        <v>2.9311057451831987E-4</v>
      </c>
      <c r="Y129" s="7">
        <f t="shared" si="17"/>
        <v>0.98969960229789522</v>
      </c>
      <c r="Z129" s="7">
        <f t="shared" si="13"/>
        <v>0.64058486438781936</v>
      </c>
      <c r="AA129" t="str">
        <f t="shared" si="14"/>
        <v>C</v>
      </c>
      <c r="AB129" t="str">
        <f t="shared" si="15"/>
        <v>Y</v>
      </c>
      <c r="AC129" t="str">
        <f t="shared" si="16"/>
        <v>CY</v>
      </c>
    </row>
    <row r="130" spans="1:29" x14ac:dyDescent="0.25">
      <c r="A130" t="s">
        <v>2281</v>
      </c>
      <c r="B130" t="s">
        <v>2589</v>
      </c>
      <c r="C130" s="4" t="s">
        <v>3057</v>
      </c>
      <c r="D130" s="4" t="s">
        <v>3057</v>
      </c>
      <c r="E130" s="4" t="s">
        <v>3057</v>
      </c>
      <c r="F130" s="4" t="s">
        <v>3057</v>
      </c>
      <c r="G130" s="4" t="s">
        <v>3057</v>
      </c>
      <c r="H130" s="4" t="s">
        <v>3057</v>
      </c>
      <c r="I130" s="4" t="s">
        <v>3057</v>
      </c>
      <c r="J130" s="4" t="s">
        <v>3057</v>
      </c>
      <c r="K130" s="4" t="s">
        <v>3057</v>
      </c>
      <c r="L130" s="4" t="s">
        <v>3057</v>
      </c>
      <c r="M130" s="4">
        <v>0</v>
      </c>
      <c r="N130" s="4" t="s">
        <v>3057</v>
      </c>
      <c r="O130" s="4" t="s">
        <v>3057</v>
      </c>
      <c r="P130" s="4" t="s">
        <v>3057</v>
      </c>
      <c r="Q130" s="4" t="s">
        <v>3057</v>
      </c>
      <c r="R130" s="4" t="s">
        <v>3057</v>
      </c>
      <c r="S130" s="4">
        <v>150</v>
      </c>
      <c r="T130" s="4">
        <v>24</v>
      </c>
      <c r="U130" s="4">
        <f t="shared" ref="U130:U193" si="18">SUM(C130:T130)</f>
        <v>174</v>
      </c>
      <c r="V130" s="5">
        <f t="shared" ref="V130:V193" si="19">AVERAGE(C130:T130)</f>
        <v>58</v>
      </c>
      <c r="W130" s="5">
        <f t="shared" ref="W130:W193" si="20">V130/30</f>
        <v>1.9333333333333333</v>
      </c>
      <c r="X130" s="7">
        <f t="shared" si="12"/>
        <v>2.6289407361570382E-4</v>
      </c>
      <c r="Y130" s="7">
        <f t="shared" si="17"/>
        <v>0.9899624963715109</v>
      </c>
      <c r="Z130" s="7">
        <f t="shared" si="13"/>
        <v>1.13426787609645</v>
      </c>
      <c r="AA130" t="str">
        <f t="shared" si="14"/>
        <v>C</v>
      </c>
      <c r="AB130" t="str">
        <f t="shared" si="15"/>
        <v>Z</v>
      </c>
      <c r="AC130" t="str">
        <f t="shared" si="16"/>
        <v>CZ</v>
      </c>
    </row>
    <row r="131" spans="1:29" x14ac:dyDescent="0.25">
      <c r="A131" t="s">
        <v>937</v>
      </c>
      <c r="B131" t="s">
        <v>2774</v>
      </c>
      <c r="C131" s="4" t="s">
        <v>3057</v>
      </c>
      <c r="D131" s="4" t="s">
        <v>3057</v>
      </c>
      <c r="E131" s="4" t="s">
        <v>3057</v>
      </c>
      <c r="F131" s="4" t="s">
        <v>3057</v>
      </c>
      <c r="G131" s="4">
        <v>27.000000000000004</v>
      </c>
      <c r="H131" s="4">
        <v>20</v>
      </c>
      <c r="I131" s="4">
        <v>14</v>
      </c>
      <c r="J131" s="4">
        <v>15.999999999999991</v>
      </c>
      <c r="K131" s="4" t="s">
        <v>3057</v>
      </c>
      <c r="L131" s="4">
        <v>5.9999999999999982</v>
      </c>
      <c r="M131" s="4">
        <v>5</v>
      </c>
      <c r="N131" s="4">
        <v>3</v>
      </c>
      <c r="O131" s="4">
        <v>20</v>
      </c>
      <c r="P131" s="4">
        <v>5</v>
      </c>
      <c r="Q131" s="4">
        <v>10</v>
      </c>
      <c r="R131" s="4">
        <v>15</v>
      </c>
      <c r="S131" s="4" t="s">
        <v>3057</v>
      </c>
      <c r="T131" s="4">
        <v>11.000000000000002</v>
      </c>
      <c r="U131" s="4">
        <f t="shared" si="18"/>
        <v>152</v>
      </c>
      <c r="V131" s="5">
        <f t="shared" si="19"/>
        <v>12.666666666666666</v>
      </c>
      <c r="W131" s="5">
        <f t="shared" si="20"/>
        <v>0.42222222222222222</v>
      </c>
      <c r="X131" s="7">
        <f t="shared" ref="X131:X194" si="21">U131/SUM($U$2:$U$410)</f>
        <v>2.2965459304360335E-4</v>
      </c>
      <c r="Y131" s="7">
        <f t="shared" si="17"/>
        <v>0.99019215096455448</v>
      </c>
      <c r="Z131" s="7">
        <f t="shared" ref="Z131:Z194" si="22">_xlfn.STDEV.P(C131:T131)/AVERAGE(C131:T131)</f>
        <v>0.55668936319226792</v>
      </c>
      <c r="AA131" t="str">
        <f t="shared" ref="AA131:AA194" si="23">IF(Y131&lt;=0.7,"A",IF(Y131&lt;=0.9,"B","C"))</f>
        <v>C</v>
      </c>
      <c r="AB131" t="str">
        <f t="shared" ref="AB131:AB194" si="24">IF(Z131&lt;=0.5,"X",IF(Z131&lt;=1,"Y","Z"))</f>
        <v>Y</v>
      </c>
      <c r="AC131" t="str">
        <f t="shared" ref="AC131:AC194" si="25">AA131&amp;AB131</f>
        <v>CY</v>
      </c>
    </row>
    <row r="132" spans="1:29" x14ac:dyDescent="0.25">
      <c r="A132" t="s">
        <v>2320</v>
      </c>
      <c r="B132" t="s">
        <v>2592</v>
      </c>
      <c r="C132" s="4" t="s">
        <v>3057</v>
      </c>
      <c r="D132" s="4" t="s">
        <v>3057</v>
      </c>
      <c r="E132" s="4" t="s">
        <v>3057</v>
      </c>
      <c r="F132" s="4" t="s">
        <v>3057</v>
      </c>
      <c r="G132" s="4" t="s">
        <v>3057</v>
      </c>
      <c r="H132" s="4" t="s">
        <v>3057</v>
      </c>
      <c r="I132" s="4" t="s">
        <v>3057</v>
      </c>
      <c r="J132" s="4" t="s">
        <v>3057</v>
      </c>
      <c r="K132" s="4" t="s">
        <v>3057</v>
      </c>
      <c r="L132" s="4" t="s">
        <v>3057</v>
      </c>
      <c r="M132" s="4">
        <v>0</v>
      </c>
      <c r="N132" s="4" t="s">
        <v>3057</v>
      </c>
      <c r="O132" s="4" t="s">
        <v>3057</v>
      </c>
      <c r="P132" s="4" t="s">
        <v>3057</v>
      </c>
      <c r="Q132" s="4" t="s">
        <v>3057</v>
      </c>
      <c r="R132" s="4" t="s">
        <v>3057</v>
      </c>
      <c r="S132" s="4">
        <v>150</v>
      </c>
      <c r="T132" s="4" t="s">
        <v>3057</v>
      </c>
      <c r="U132" s="4">
        <f t="shared" si="18"/>
        <v>150</v>
      </c>
      <c r="V132" s="5">
        <f t="shared" si="19"/>
        <v>75</v>
      </c>
      <c r="W132" s="5">
        <f t="shared" si="20"/>
        <v>2.5</v>
      </c>
      <c r="X132" s="7">
        <f t="shared" si="21"/>
        <v>2.266328220825033E-4</v>
      </c>
      <c r="Y132" s="7">
        <f t="shared" si="17"/>
        <v>0.99041878378663695</v>
      </c>
      <c r="Z132" s="7">
        <f t="shared" si="22"/>
        <v>1</v>
      </c>
      <c r="AA132" t="str">
        <f t="shared" si="23"/>
        <v>C</v>
      </c>
      <c r="AB132" t="str">
        <f t="shared" si="24"/>
        <v>Y</v>
      </c>
      <c r="AC132" t="str">
        <f t="shared" si="25"/>
        <v>CY</v>
      </c>
    </row>
    <row r="133" spans="1:29" x14ac:dyDescent="0.25">
      <c r="A133" t="s">
        <v>2321</v>
      </c>
      <c r="B133" t="s">
        <v>2593</v>
      </c>
      <c r="C133" s="4" t="s">
        <v>3057</v>
      </c>
      <c r="D133" s="4" t="s">
        <v>3057</v>
      </c>
      <c r="E133" s="4" t="s">
        <v>3057</v>
      </c>
      <c r="F133" s="4" t="s">
        <v>3057</v>
      </c>
      <c r="G133" s="4" t="s">
        <v>3057</v>
      </c>
      <c r="H133" s="4" t="s">
        <v>3057</v>
      </c>
      <c r="I133" s="4" t="s">
        <v>3057</v>
      </c>
      <c r="J133" s="4" t="s">
        <v>3057</v>
      </c>
      <c r="K133" s="4" t="s">
        <v>3057</v>
      </c>
      <c r="L133" s="4" t="s">
        <v>3057</v>
      </c>
      <c r="M133" s="4">
        <v>0</v>
      </c>
      <c r="N133" s="4" t="s">
        <v>3057</v>
      </c>
      <c r="O133" s="4" t="s">
        <v>3057</v>
      </c>
      <c r="P133" s="4" t="s">
        <v>3057</v>
      </c>
      <c r="Q133" s="4" t="s">
        <v>3057</v>
      </c>
      <c r="R133" s="4" t="s">
        <v>3057</v>
      </c>
      <c r="S133" s="4">
        <v>150</v>
      </c>
      <c r="T133" s="4" t="s">
        <v>3057</v>
      </c>
      <c r="U133" s="4">
        <f t="shared" si="18"/>
        <v>150</v>
      </c>
      <c r="V133" s="5">
        <f t="shared" si="19"/>
        <v>75</v>
      </c>
      <c r="W133" s="5">
        <f t="shared" si="20"/>
        <v>2.5</v>
      </c>
      <c r="X133" s="7">
        <f t="shared" si="21"/>
        <v>2.266328220825033E-4</v>
      </c>
      <c r="Y133" s="7">
        <f t="shared" si="17"/>
        <v>0.99064541660871941</v>
      </c>
      <c r="Z133" s="7">
        <f t="shared" si="22"/>
        <v>1</v>
      </c>
      <c r="AA133" t="str">
        <f t="shared" si="23"/>
        <v>C</v>
      </c>
      <c r="AB133" t="str">
        <f t="shared" si="24"/>
        <v>Y</v>
      </c>
      <c r="AC133" t="str">
        <f t="shared" si="25"/>
        <v>CY</v>
      </c>
    </row>
    <row r="134" spans="1:29" x14ac:dyDescent="0.25">
      <c r="A134" t="s">
        <v>2319</v>
      </c>
      <c r="B134" t="s">
        <v>2594</v>
      </c>
      <c r="C134" s="4" t="s">
        <v>3057</v>
      </c>
      <c r="D134" s="4" t="s">
        <v>3057</v>
      </c>
      <c r="E134" s="4" t="s">
        <v>3057</v>
      </c>
      <c r="F134" s="4" t="s">
        <v>3057</v>
      </c>
      <c r="G134" s="4" t="s">
        <v>3057</v>
      </c>
      <c r="H134" s="4" t="s">
        <v>3057</v>
      </c>
      <c r="I134" s="4" t="s">
        <v>3057</v>
      </c>
      <c r="J134" s="4" t="s">
        <v>3057</v>
      </c>
      <c r="K134" s="4" t="s">
        <v>3057</v>
      </c>
      <c r="L134" s="4" t="s">
        <v>3057</v>
      </c>
      <c r="M134" s="4">
        <v>0</v>
      </c>
      <c r="N134" s="4" t="s">
        <v>3057</v>
      </c>
      <c r="O134" s="4" t="s">
        <v>3057</v>
      </c>
      <c r="P134" s="4" t="s">
        <v>3057</v>
      </c>
      <c r="Q134" s="4" t="s">
        <v>3057</v>
      </c>
      <c r="R134" s="4" t="s">
        <v>3057</v>
      </c>
      <c r="S134" s="4">
        <v>150</v>
      </c>
      <c r="T134" s="4" t="s">
        <v>3057</v>
      </c>
      <c r="U134" s="4">
        <f t="shared" si="18"/>
        <v>150</v>
      </c>
      <c r="V134" s="5">
        <f t="shared" si="19"/>
        <v>75</v>
      </c>
      <c r="W134" s="5">
        <f t="shared" si="20"/>
        <v>2.5</v>
      </c>
      <c r="X134" s="7">
        <f t="shared" si="21"/>
        <v>2.266328220825033E-4</v>
      </c>
      <c r="Y134" s="7">
        <f t="shared" si="17"/>
        <v>0.99087204943080187</v>
      </c>
      <c r="Z134" s="7">
        <f t="shared" si="22"/>
        <v>1</v>
      </c>
      <c r="AA134" t="str">
        <f t="shared" si="23"/>
        <v>C</v>
      </c>
      <c r="AB134" t="str">
        <f t="shared" si="24"/>
        <v>Y</v>
      </c>
      <c r="AC134" t="str">
        <f t="shared" si="25"/>
        <v>CY</v>
      </c>
    </row>
    <row r="135" spans="1:29" x14ac:dyDescent="0.25">
      <c r="A135" t="s">
        <v>2186</v>
      </c>
      <c r="B135" t="s">
        <v>2597</v>
      </c>
      <c r="C135" s="4" t="s">
        <v>3057</v>
      </c>
      <c r="D135" s="4" t="s">
        <v>3057</v>
      </c>
      <c r="E135" s="4" t="s">
        <v>3057</v>
      </c>
      <c r="F135" s="4" t="s">
        <v>3057</v>
      </c>
      <c r="G135" s="4" t="s">
        <v>3057</v>
      </c>
      <c r="H135" s="4" t="s">
        <v>3057</v>
      </c>
      <c r="I135" s="4" t="s">
        <v>3057</v>
      </c>
      <c r="J135" s="4" t="s">
        <v>3057</v>
      </c>
      <c r="K135" s="4" t="s">
        <v>3057</v>
      </c>
      <c r="L135" s="4" t="s">
        <v>3057</v>
      </c>
      <c r="M135" s="4">
        <v>0</v>
      </c>
      <c r="N135" s="4" t="s">
        <v>3057</v>
      </c>
      <c r="O135" s="4" t="s">
        <v>3057</v>
      </c>
      <c r="P135" s="4" t="s">
        <v>3057</v>
      </c>
      <c r="Q135" s="4">
        <v>30</v>
      </c>
      <c r="R135" s="4" t="s">
        <v>3057</v>
      </c>
      <c r="S135" s="4">
        <v>120</v>
      </c>
      <c r="T135" s="4" t="s">
        <v>3057</v>
      </c>
      <c r="U135" s="4">
        <f t="shared" si="18"/>
        <v>150</v>
      </c>
      <c r="V135" s="5">
        <f t="shared" si="19"/>
        <v>50</v>
      </c>
      <c r="W135" s="5">
        <f t="shared" si="20"/>
        <v>1.6666666666666667</v>
      </c>
      <c r="X135" s="7">
        <f t="shared" si="21"/>
        <v>2.266328220825033E-4</v>
      </c>
      <c r="Y135" s="7">
        <f t="shared" ref="Y135:Y198" si="26">X135+Y134</f>
        <v>0.99109868225288433</v>
      </c>
      <c r="Z135" s="7">
        <f t="shared" si="22"/>
        <v>1.019803902718557</v>
      </c>
      <c r="AA135" t="str">
        <f t="shared" si="23"/>
        <v>C</v>
      </c>
      <c r="AB135" t="str">
        <f t="shared" si="24"/>
        <v>Z</v>
      </c>
      <c r="AC135" t="str">
        <f t="shared" si="25"/>
        <v>CZ</v>
      </c>
    </row>
    <row r="136" spans="1:29" x14ac:dyDescent="0.25">
      <c r="A136" t="s">
        <v>947</v>
      </c>
      <c r="B136" t="s">
        <v>2620</v>
      </c>
      <c r="C136" s="4" t="s">
        <v>3057</v>
      </c>
      <c r="D136" s="4" t="s">
        <v>3057</v>
      </c>
      <c r="E136" s="4">
        <v>3</v>
      </c>
      <c r="F136" s="4">
        <v>3</v>
      </c>
      <c r="G136" s="4" t="s">
        <v>3057</v>
      </c>
      <c r="H136" s="4">
        <v>4</v>
      </c>
      <c r="I136" s="4">
        <v>15</v>
      </c>
      <c r="J136" s="4" t="s">
        <v>3057</v>
      </c>
      <c r="K136" s="4" t="s">
        <v>3057</v>
      </c>
      <c r="L136" s="4">
        <v>5</v>
      </c>
      <c r="M136" s="4">
        <v>9</v>
      </c>
      <c r="N136" s="4" t="s">
        <v>3057</v>
      </c>
      <c r="O136" s="4">
        <v>8</v>
      </c>
      <c r="P136" s="4">
        <v>20</v>
      </c>
      <c r="Q136" s="4">
        <v>11</v>
      </c>
      <c r="R136" s="4">
        <v>29</v>
      </c>
      <c r="S136" s="4">
        <v>19</v>
      </c>
      <c r="T136" s="4">
        <v>7</v>
      </c>
      <c r="U136" s="4">
        <f t="shared" si="18"/>
        <v>133</v>
      </c>
      <c r="V136" s="5">
        <f t="shared" si="19"/>
        <v>11.083333333333334</v>
      </c>
      <c r="W136" s="5">
        <f t="shared" si="20"/>
        <v>0.36944444444444446</v>
      </c>
      <c r="X136" s="7">
        <f t="shared" si="21"/>
        <v>2.0094776891315294E-4</v>
      </c>
      <c r="Y136" s="7">
        <f t="shared" si="26"/>
        <v>0.99129963002179744</v>
      </c>
      <c r="Z136" s="7">
        <f t="shared" si="22"/>
        <v>0.70223309844522519</v>
      </c>
      <c r="AA136" t="str">
        <f t="shared" si="23"/>
        <v>C</v>
      </c>
      <c r="AB136" t="str">
        <f t="shared" si="24"/>
        <v>Y</v>
      </c>
      <c r="AC136" t="str">
        <f t="shared" si="25"/>
        <v>CY</v>
      </c>
    </row>
    <row r="137" spans="1:29" x14ac:dyDescent="0.25">
      <c r="A137" t="s">
        <v>927</v>
      </c>
      <c r="B137" t="s">
        <v>2689</v>
      </c>
      <c r="C137" s="4" t="s">
        <v>3057</v>
      </c>
      <c r="D137" s="4" t="s">
        <v>3057</v>
      </c>
      <c r="E137" s="4" t="s">
        <v>3057</v>
      </c>
      <c r="F137" s="4">
        <v>7</v>
      </c>
      <c r="G137" s="4">
        <v>10</v>
      </c>
      <c r="H137" s="4">
        <v>27</v>
      </c>
      <c r="I137" s="4">
        <v>6.1666999999999987</v>
      </c>
      <c r="J137" s="4">
        <v>22.833299999999994</v>
      </c>
      <c r="K137" s="4">
        <v>15.000000000000007</v>
      </c>
      <c r="L137" s="4">
        <v>5</v>
      </c>
      <c r="M137" s="4">
        <v>11</v>
      </c>
      <c r="N137" s="4">
        <v>2</v>
      </c>
      <c r="O137" s="4">
        <v>3</v>
      </c>
      <c r="P137" s="4">
        <v>6</v>
      </c>
      <c r="Q137" s="4">
        <v>3</v>
      </c>
      <c r="R137" s="4">
        <v>2</v>
      </c>
      <c r="S137" s="4">
        <v>9</v>
      </c>
      <c r="T137" s="4">
        <v>4</v>
      </c>
      <c r="U137" s="4">
        <f t="shared" si="18"/>
        <v>133</v>
      </c>
      <c r="V137" s="5">
        <f t="shared" si="19"/>
        <v>8.8666666666666671</v>
      </c>
      <c r="W137" s="5">
        <f t="shared" si="20"/>
        <v>0.29555555555555557</v>
      </c>
      <c r="X137" s="7">
        <f t="shared" si="21"/>
        <v>2.0094776891315294E-4</v>
      </c>
      <c r="Y137" s="7">
        <f t="shared" si="26"/>
        <v>0.99150057779071055</v>
      </c>
      <c r="Z137" s="7">
        <f t="shared" si="22"/>
        <v>0.81750509689725692</v>
      </c>
      <c r="AA137" t="str">
        <f t="shared" si="23"/>
        <v>C</v>
      </c>
      <c r="AB137" t="str">
        <f t="shared" si="24"/>
        <v>Y</v>
      </c>
      <c r="AC137" t="str">
        <f t="shared" si="25"/>
        <v>CY</v>
      </c>
    </row>
    <row r="138" spans="1:29" x14ac:dyDescent="0.25">
      <c r="A138" t="s">
        <v>1714</v>
      </c>
      <c r="B138" t="s">
        <v>2908</v>
      </c>
      <c r="C138" s="4" t="s">
        <v>3057</v>
      </c>
      <c r="D138" s="4" t="s">
        <v>3057</v>
      </c>
      <c r="E138" s="4" t="s">
        <v>3057</v>
      </c>
      <c r="F138" s="4" t="s">
        <v>3057</v>
      </c>
      <c r="G138" s="4" t="s">
        <v>3057</v>
      </c>
      <c r="H138" s="4" t="s">
        <v>3057</v>
      </c>
      <c r="I138" s="4" t="s">
        <v>3057</v>
      </c>
      <c r="J138" s="4">
        <v>132</v>
      </c>
      <c r="K138" s="4" t="s">
        <v>3057</v>
      </c>
      <c r="L138" s="4" t="s">
        <v>3057</v>
      </c>
      <c r="M138" s="4">
        <v>0</v>
      </c>
      <c r="N138" s="4" t="s">
        <v>3057</v>
      </c>
      <c r="O138" s="4" t="s">
        <v>3057</v>
      </c>
      <c r="P138" s="4" t="s">
        <v>3057</v>
      </c>
      <c r="Q138" s="4" t="s">
        <v>3057</v>
      </c>
      <c r="R138" s="4" t="s">
        <v>3057</v>
      </c>
      <c r="S138" s="4" t="s">
        <v>3057</v>
      </c>
      <c r="T138" s="4" t="s">
        <v>3057</v>
      </c>
      <c r="U138" s="4">
        <f t="shared" si="18"/>
        <v>132</v>
      </c>
      <c r="V138" s="5">
        <f t="shared" si="19"/>
        <v>66</v>
      </c>
      <c r="W138" s="5">
        <f t="shared" si="20"/>
        <v>2.2000000000000002</v>
      </c>
      <c r="X138" s="7">
        <f t="shared" si="21"/>
        <v>1.9943688343260292E-4</v>
      </c>
      <c r="Y138" s="7">
        <f t="shared" si="26"/>
        <v>0.99170001467414315</v>
      </c>
      <c r="Z138" s="7">
        <f t="shared" si="22"/>
        <v>1</v>
      </c>
      <c r="AA138" t="str">
        <f t="shared" si="23"/>
        <v>C</v>
      </c>
      <c r="AB138" t="str">
        <f t="shared" si="24"/>
        <v>Y</v>
      </c>
      <c r="AC138" t="str">
        <f t="shared" si="25"/>
        <v>CY</v>
      </c>
    </row>
    <row r="139" spans="1:29" x14ac:dyDescent="0.25">
      <c r="A139" t="s">
        <v>949</v>
      </c>
      <c r="B139" t="s">
        <v>2641</v>
      </c>
      <c r="C139" s="4" t="s">
        <v>3057</v>
      </c>
      <c r="D139" s="4" t="s">
        <v>3057</v>
      </c>
      <c r="E139" s="4" t="s">
        <v>3057</v>
      </c>
      <c r="F139" s="4">
        <v>16</v>
      </c>
      <c r="G139" s="4">
        <v>12.000000000000002</v>
      </c>
      <c r="H139" s="4">
        <v>7.9999999999999991</v>
      </c>
      <c r="I139" s="4">
        <v>7.0000000000000036</v>
      </c>
      <c r="J139" s="4">
        <v>4.9999999999999982</v>
      </c>
      <c r="K139" s="4">
        <v>8.0000000000000018</v>
      </c>
      <c r="L139" s="4">
        <v>10.000000000000005</v>
      </c>
      <c r="M139" s="4">
        <v>4</v>
      </c>
      <c r="N139" s="4" t="s">
        <v>3057</v>
      </c>
      <c r="O139" s="4">
        <v>1</v>
      </c>
      <c r="P139" s="4">
        <v>19.999999999999993</v>
      </c>
      <c r="Q139" s="4">
        <v>5.0000000000000009</v>
      </c>
      <c r="R139" s="4">
        <v>6</v>
      </c>
      <c r="S139" s="4">
        <v>11</v>
      </c>
      <c r="T139" s="4">
        <v>15.999999999999998</v>
      </c>
      <c r="U139" s="4">
        <f t="shared" si="18"/>
        <v>129</v>
      </c>
      <c r="V139" s="5">
        <f t="shared" si="19"/>
        <v>9.2142857142857135</v>
      </c>
      <c r="W139" s="5">
        <f t="shared" si="20"/>
        <v>0.30714285714285711</v>
      </c>
      <c r="X139" s="7">
        <f t="shared" si="21"/>
        <v>1.9490422699095284E-4</v>
      </c>
      <c r="Y139" s="7">
        <f t="shared" si="26"/>
        <v>0.99189491890113413</v>
      </c>
      <c r="Z139" s="7">
        <f t="shared" si="22"/>
        <v>0.55668414900399188</v>
      </c>
      <c r="AA139" t="str">
        <f t="shared" si="23"/>
        <v>C</v>
      </c>
      <c r="AB139" t="str">
        <f t="shared" si="24"/>
        <v>Y</v>
      </c>
      <c r="AC139" t="str">
        <f t="shared" si="25"/>
        <v>CY</v>
      </c>
    </row>
    <row r="140" spans="1:29" x14ac:dyDescent="0.25">
      <c r="A140" t="s">
        <v>595</v>
      </c>
      <c r="B140" t="s">
        <v>2855</v>
      </c>
      <c r="C140" s="4" t="s">
        <v>3057</v>
      </c>
      <c r="D140" s="4" t="s">
        <v>3057</v>
      </c>
      <c r="E140" s="4" t="s">
        <v>3057</v>
      </c>
      <c r="F140" s="4" t="s">
        <v>3057</v>
      </c>
      <c r="G140" s="4">
        <v>25</v>
      </c>
      <c r="H140" s="4">
        <v>48.75</v>
      </c>
      <c r="I140" s="4" t="s">
        <v>3057</v>
      </c>
      <c r="J140" s="4">
        <v>30</v>
      </c>
      <c r="K140" s="4">
        <v>3.25</v>
      </c>
      <c r="L140" s="4" t="s">
        <v>3057</v>
      </c>
      <c r="M140" s="4">
        <v>0</v>
      </c>
      <c r="N140" s="4" t="s">
        <v>3057</v>
      </c>
      <c r="O140" s="4" t="s">
        <v>3057</v>
      </c>
      <c r="P140" s="4" t="s">
        <v>3057</v>
      </c>
      <c r="Q140" s="4">
        <v>20</v>
      </c>
      <c r="R140" s="4" t="s">
        <v>3057</v>
      </c>
      <c r="S140" s="4" t="s">
        <v>3057</v>
      </c>
      <c r="T140" s="4" t="s">
        <v>3057</v>
      </c>
      <c r="U140" s="4">
        <f t="shared" si="18"/>
        <v>127</v>
      </c>
      <c r="V140" s="5">
        <f t="shared" si="19"/>
        <v>21.166666666666668</v>
      </c>
      <c r="W140" s="5">
        <f t="shared" si="20"/>
        <v>0.7055555555555556</v>
      </c>
      <c r="X140" s="7">
        <f t="shared" si="21"/>
        <v>1.9188245602985281E-4</v>
      </c>
      <c r="Y140" s="7">
        <f t="shared" si="26"/>
        <v>0.99208680135716398</v>
      </c>
      <c r="Z140" s="7">
        <f t="shared" si="22"/>
        <v>0.77724752056691471</v>
      </c>
      <c r="AA140" t="str">
        <f t="shared" si="23"/>
        <v>C</v>
      </c>
      <c r="AB140" t="str">
        <f t="shared" si="24"/>
        <v>Y</v>
      </c>
      <c r="AC140" t="str">
        <f t="shared" si="25"/>
        <v>CY</v>
      </c>
    </row>
    <row r="141" spans="1:29" x14ac:dyDescent="0.25">
      <c r="A141" t="s">
        <v>738</v>
      </c>
      <c r="B141" t="s">
        <v>2856</v>
      </c>
      <c r="C141" s="4" t="s">
        <v>3057</v>
      </c>
      <c r="D141" s="4" t="s">
        <v>3057</v>
      </c>
      <c r="E141" s="4" t="s">
        <v>3057</v>
      </c>
      <c r="F141" s="4">
        <v>10</v>
      </c>
      <c r="G141" s="4">
        <v>7</v>
      </c>
      <c r="H141" s="4">
        <v>3.0004</v>
      </c>
      <c r="I141" s="4">
        <v>24.999600000000004</v>
      </c>
      <c r="J141" s="4">
        <v>15</v>
      </c>
      <c r="K141" s="4">
        <v>7.9999999999999991</v>
      </c>
      <c r="L141" s="4" t="s">
        <v>3057</v>
      </c>
      <c r="M141" s="4">
        <v>5</v>
      </c>
      <c r="N141" s="4" t="s">
        <v>3057</v>
      </c>
      <c r="O141" s="4" t="s">
        <v>3057</v>
      </c>
      <c r="P141" s="4">
        <v>24</v>
      </c>
      <c r="Q141" s="4">
        <v>15</v>
      </c>
      <c r="R141" s="4" t="s">
        <v>3057</v>
      </c>
      <c r="S141" s="4" t="s">
        <v>3057</v>
      </c>
      <c r="T141" s="4">
        <v>9.8610000000000007</v>
      </c>
      <c r="U141" s="4">
        <f t="shared" si="18"/>
        <v>121.861</v>
      </c>
      <c r="V141" s="5">
        <f t="shared" si="19"/>
        <v>12.1861</v>
      </c>
      <c r="W141" s="5">
        <f t="shared" si="20"/>
        <v>0.40620333333333331</v>
      </c>
      <c r="X141" s="7">
        <f t="shared" si="21"/>
        <v>1.8411801554530624E-4</v>
      </c>
      <c r="Y141" s="7">
        <f t="shared" si="26"/>
        <v>0.99227091937270928</v>
      </c>
      <c r="Z141" s="7">
        <f t="shared" si="22"/>
        <v>0.58615211558951663</v>
      </c>
      <c r="AA141" t="str">
        <f t="shared" si="23"/>
        <v>C</v>
      </c>
      <c r="AB141" t="str">
        <f t="shared" si="24"/>
        <v>Y</v>
      </c>
      <c r="AC141" t="str">
        <f t="shared" si="25"/>
        <v>CY</v>
      </c>
    </row>
    <row r="142" spans="1:29" x14ac:dyDescent="0.25">
      <c r="A142" t="s">
        <v>642</v>
      </c>
      <c r="B142" t="s">
        <v>2732</v>
      </c>
      <c r="C142" s="4" t="s">
        <v>3057</v>
      </c>
      <c r="D142" s="4" t="s">
        <v>3057</v>
      </c>
      <c r="E142" s="4" t="s">
        <v>3057</v>
      </c>
      <c r="F142" s="4">
        <v>10</v>
      </c>
      <c r="G142" s="4">
        <v>25.999999999999993</v>
      </c>
      <c r="H142" s="4">
        <v>21.999999999999989</v>
      </c>
      <c r="I142" s="4">
        <v>13</v>
      </c>
      <c r="J142" s="4">
        <v>23.999999999999996</v>
      </c>
      <c r="K142" s="4">
        <v>7.0000000000000044</v>
      </c>
      <c r="L142" s="4">
        <v>7.0000000000000018</v>
      </c>
      <c r="M142" s="4">
        <v>0</v>
      </c>
      <c r="N142" s="4" t="s">
        <v>3057</v>
      </c>
      <c r="O142" s="4" t="s">
        <v>3057</v>
      </c>
      <c r="P142" s="4" t="s">
        <v>3057</v>
      </c>
      <c r="Q142" s="4" t="s">
        <v>3057</v>
      </c>
      <c r="R142" s="4">
        <v>5</v>
      </c>
      <c r="S142" s="4">
        <v>3</v>
      </c>
      <c r="T142" s="4">
        <v>4</v>
      </c>
      <c r="U142" s="4">
        <f t="shared" si="18"/>
        <v>120.99999999999999</v>
      </c>
      <c r="V142" s="5">
        <f t="shared" si="19"/>
        <v>10.999999999999998</v>
      </c>
      <c r="W142" s="5">
        <f t="shared" si="20"/>
        <v>0.36666666666666659</v>
      </c>
      <c r="X142" s="7">
        <f t="shared" si="21"/>
        <v>1.8281714314655266E-4</v>
      </c>
      <c r="Y142" s="7">
        <f t="shared" si="26"/>
        <v>0.99245373651585589</v>
      </c>
      <c r="Z142" s="7">
        <f t="shared" si="22"/>
        <v>0.78586307098698605</v>
      </c>
      <c r="AA142" t="str">
        <f t="shared" si="23"/>
        <v>C</v>
      </c>
      <c r="AB142" t="str">
        <f t="shared" si="24"/>
        <v>Y</v>
      </c>
      <c r="AC142" t="str">
        <f t="shared" si="25"/>
        <v>CY</v>
      </c>
    </row>
    <row r="143" spans="1:29" x14ac:dyDescent="0.25">
      <c r="A143" t="s">
        <v>584</v>
      </c>
      <c r="B143" t="s">
        <v>2693</v>
      </c>
      <c r="C143" s="4" t="s">
        <v>3057</v>
      </c>
      <c r="D143" s="4" t="s">
        <v>3057</v>
      </c>
      <c r="E143" s="4" t="s">
        <v>3057</v>
      </c>
      <c r="F143" s="4" t="s">
        <v>3057</v>
      </c>
      <c r="G143" s="4">
        <v>28</v>
      </c>
      <c r="H143" s="4">
        <v>17</v>
      </c>
      <c r="I143" s="4">
        <v>11.999999999999998</v>
      </c>
      <c r="J143" s="4">
        <v>7</v>
      </c>
      <c r="K143" s="4">
        <v>2</v>
      </c>
      <c r="L143" s="4">
        <v>12</v>
      </c>
      <c r="M143" s="4">
        <v>1</v>
      </c>
      <c r="N143" s="4" t="s">
        <v>3057</v>
      </c>
      <c r="O143" s="4" t="s">
        <v>3057</v>
      </c>
      <c r="P143" s="4">
        <v>12</v>
      </c>
      <c r="Q143" s="4">
        <v>14</v>
      </c>
      <c r="R143" s="4">
        <v>14</v>
      </c>
      <c r="S143" s="4" t="s">
        <v>3057</v>
      </c>
      <c r="T143" s="4" t="s">
        <v>3057</v>
      </c>
      <c r="U143" s="4">
        <f t="shared" si="18"/>
        <v>119</v>
      </c>
      <c r="V143" s="5">
        <f t="shared" si="19"/>
        <v>11.9</v>
      </c>
      <c r="W143" s="5">
        <f t="shared" si="20"/>
        <v>0.39666666666666667</v>
      </c>
      <c r="X143" s="7">
        <f t="shared" si="21"/>
        <v>1.7979537218545263E-4</v>
      </c>
      <c r="Y143" s="7">
        <f t="shared" si="26"/>
        <v>0.99263353188804138</v>
      </c>
      <c r="Z143" s="7">
        <f t="shared" si="22"/>
        <v>0.61459544548660661</v>
      </c>
      <c r="AA143" t="str">
        <f t="shared" si="23"/>
        <v>C</v>
      </c>
      <c r="AB143" t="str">
        <f t="shared" si="24"/>
        <v>Y</v>
      </c>
      <c r="AC143" t="str">
        <f t="shared" si="25"/>
        <v>CY</v>
      </c>
    </row>
    <row r="144" spans="1:29" x14ac:dyDescent="0.25">
      <c r="A144" t="s">
        <v>588</v>
      </c>
      <c r="B144" t="s">
        <v>2621</v>
      </c>
      <c r="C144" s="4" t="s">
        <v>3057</v>
      </c>
      <c r="D144" s="4" t="s">
        <v>3057</v>
      </c>
      <c r="E144" s="4" t="s">
        <v>3057</v>
      </c>
      <c r="F144" s="4" t="s">
        <v>3057</v>
      </c>
      <c r="G144" s="4">
        <v>6</v>
      </c>
      <c r="H144" s="4">
        <v>19</v>
      </c>
      <c r="I144" s="4">
        <v>21</v>
      </c>
      <c r="J144" s="4" t="s">
        <v>3057</v>
      </c>
      <c r="K144" s="4" t="s">
        <v>3057</v>
      </c>
      <c r="L144" s="4">
        <v>5</v>
      </c>
      <c r="M144" s="4">
        <v>0</v>
      </c>
      <c r="N144" s="4" t="s">
        <v>3057</v>
      </c>
      <c r="O144" s="4" t="s">
        <v>3057</v>
      </c>
      <c r="P144" s="4">
        <v>10</v>
      </c>
      <c r="Q144" s="4">
        <v>1</v>
      </c>
      <c r="R144" s="4">
        <v>10</v>
      </c>
      <c r="S144" s="4">
        <v>2</v>
      </c>
      <c r="T144" s="4">
        <v>40</v>
      </c>
      <c r="U144" s="4">
        <f t="shared" si="18"/>
        <v>114</v>
      </c>
      <c r="V144" s="5">
        <f t="shared" si="19"/>
        <v>11.4</v>
      </c>
      <c r="W144" s="5">
        <f t="shared" si="20"/>
        <v>0.38</v>
      </c>
      <c r="X144" s="7">
        <f t="shared" si="21"/>
        <v>1.7224094478270253E-4</v>
      </c>
      <c r="Y144" s="7">
        <f t="shared" si="26"/>
        <v>0.99280577283282412</v>
      </c>
      <c r="Z144" s="7">
        <f t="shared" si="22"/>
        <v>1.0261283379571762</v>
      </c>
      <c r="AA144" t="str">
        <f t="shared" si="23"/>
        <v>C</v>
      </c>
      <c r="AB144" t="str">
        <f t="shared" si="24"/>
        <v>Z</v>
      </c>
      <c r="AC144" t="str">
        <f t="shared" si="25"/>
        <v>CZ</v>
      </c>
    </row>
    <row r="145" spans="1:29" x14ac:dyDescent="0.25">
      <c r="A145" t="s">
        <v>486</v>
      </c>
      <c r="B145" t="s">
        <v>2715</v>
      </c>
      <c r="C145" s="4" t="s">
        <v>3057</v>
      </c>
      <c r="D145" s="4" t="s">
        <v>3057</v>
      </c>
      <c r="E145" s="4" t="s">
        <v>3057</v>
      </c>
      <c r="F145" s="4">
        <v>15</v>
      </c>
      <c r="G145" s="4">
        <v>14.000000000000002</v>
      </c>
      <c r="H145" s="4">
        <v>9</v>
      </c>
      <c r="I145" s="4">
        <v>6.75</v>
      </c>
      <c r="J145" s="4">
        <v>10.249999999999996</v>
      </c>
      <c r="K145" s="4">
        <v>7</v>
      </c>
      <c r="L145" s="4">
        <v>13.999999999999991</v>
      </c>
      <c r="M145" s="4">
        <v>0</v>
      </c>
      <c r="N145" s="4" t="s">
        <v>3057</v>
      </c>
      <c r="O145" s="4" t="s">
        <v>3057</v>
      </c>
      <c r="P145" s="4">
        <v>13</v>
      </c>
      <c r="Q145" s="4">
        <v>6</v>
      </c>
      <c r="R145" s="4" t="s">
        <v>3057</v>
      </c>
      <c r="S145" s="4">
        <v>5</v>
      </c>
      <c r="T145" s="4">
        <v>10.999999999999998</v>
      </c>
      <c r="U145" s="4">
        <f t="shared" si="18"/>
        <v>110.99999999999999</v>
      </c>
      <c r="V145" s="5">
        <f t="shared" si="19"/>
        <v>9.2499999999999982</v>
      </c>
      <c r="W145" s="5">
        <f t="shared" si="20"/>
        <v>0.30833333333333329</v>
      </c>
      <c r="X145" s="7">
        <f t="shared" si="21"/>
        <v>1.6770828834105242E-4</v>
      </c>
      <c r="Y145" s="7">
        <f t="shared" si="26"/>
        <v>0.99297348112116512</v>
      </c>
      <c r="Z145" s="7">
        <f t="shared" si="22"/>
        <v>0.46485962703942091</v>
      </c>
      <c r="AA145" t="str">
        <f t="shared" si="23"/>
        <v>C</v>
      </c>
      <c r="AB145" t="str">
        <f t="shared" si="24"/>
        <v>X</v>
      </c>
      <c r="AC145" t="str">
        <f t="shared" si="25"/>
        <v>CX</v>
      </c>
    </row>
    <row r="146" spans="1:29" x14ac:dyDescent="0.25">
      <c r="A146" t="s">
        <v>1526</v>
      </c>
      <c r="B146" t="s">
        <v>2899</v>
      </c>
      <c r="C146" s="4" t="s">
        <v>3057</v>
      </c>
      <c r="D146" s="4" t="s">
        <v>3057</v>
      </c>
      <c r="E146" s="4" t="s">
        <v>3057</v>
      </c>
      <c r="F146" s="4" t="s">
        <v>3057</v>
      </c>
      <c r="G146" s="4" t="s">
        <v>3057</v>
      </c>
      <c r="H146" s="4">
        <v>110</v>
      </c>
      <c r="I146" s="4" t="s">
        <v>3057</v>
      </c>
      <c r="J146" s="4" t="s">
        <v>3057</v>
      </c>
      <c r="K146" s="4" t="s">
        <v>3057</v>
      </c>
      <c r="L146" s="4" t="s">
        <v>3057</v>
      </c>
      <c r="M146" s="4">
        <v>0</v>
      </c>
      <c r="N146" s="4" t="s">
        <v>3057</v>
      </c>
      <c r="O146" s="4" t="s">
        <v>3057</v>
      </c>
      <c r="P146" s="4" t="s">
        <v>3057</v>
      </c>
      <c r="Q146" s="4" t="s">
        <v>3057</v>
      </c>
      <c r="R146" s="4" t="s">
        <v>3057</v>
      </c>
      <c r="S146" s="4" t="s">
        <v>3057</v>
      </c>
      <c r="T146" s="4" t="s">
        <v>3057</v>
      </c>
      <c r="U146" s="4">
        <f t="shared" si="18"/>
        <v>110</v>
      </c>
      <c r="V146" s="5">
        <f t="shared" si="19"/>
        <v>55</v>
      </c>
      <c r="W146" s="5">
        <f t="shared" si="20"/>
        <v>1.8333333333333333</v>
      </c>
      <c r="X146" s="7">
        <f t="shared" si="21"/>
        <v>1.6619740286050243E-4</v>
      </c>
      <c r="Y146" s="7">
        <f t="shared" si="26"/>
        <v>0.99313967852402563</v>
      </c>
      <c r="Z146" s="7">
        <f t="shared" si="22"/>
        <v>1</v>
      </c>
      <c r="AA146" t="str">
        <f t="shared" si="23"/>
        <v>C</v>
      </c>
      <c r="AB146" t="str">
        <f t="shared" si="24"/>
        <v>Y</v>
      </c>
      <c r="AC146" t="str">
        <f t="shared" si="25"/>
        <v>CY</v>
      </c>
    </row>
    <row r="147" spans="1:29" x14ac:dyDescent="0.25">
      <c r="A147" t="s">
        <v>1096</v>
      </c>
      <c r="B147" t="s">
        <v>2860</v>
      </c>
      <c r="C147" s="4" t="s">
        <v>3057</v>
      </c>
      <c r="D147" s="4" t="s">
        <v>3057</v>
      </c>
      <c r="E147" s="4" t="s">
        <v>3057</v>
      </c>
      <c r="F147" s="4">
        <v>26</v>
      </c>
      <c r="G147" s="4">
        <v>34</v>
      </c>
      <c r="H147" s="4" t="s">
        <v>3057</v>
      </c>
      <c r="I147" s="4" t="s">
        <v>3057</v>
      </c>
      <c r="J147" s="4" t="s">
        <v>3057</v>
      </c>
      <c r="K147" s="4" t="s">
        <v>3057</v>
      </c>
      <c r="L147" s="4">
        <v>49.999999999999986</v>
      </c>
      <c r="M147" s="4">
        <v>0</v>
      </c>
      <c r="N147" s="4" t="s">
        <v>3057</v>
      </c>
      <c r="O147" s="4" t="s">
        <v>3057</v>
      </c>
      <c r="P147" s="4" t="s">
        <v>3057</v>
      </c>
      <c r="Q147" s="4" t="s">
        <v>3057</v>
      </c>
      <c r="R147" s="4" t="s">
        <v>3057</v>
      </c>
      <c r="S147" s="4" t="s">
        <v>3057</v>
      </c>
      <c r="T147" s="4" t="s">
        <v>3057</v>
      </c>
      <c r="U147" s="4">
        <f t="shared" si="18"/>
        <v>109.99999999999999</v>
      </c>
      <c r="V147" s="5">
        <f t="shared" si="19"/>
        <v>27.499999999999996</v>
      </c>
      <c r="W147" s="5">
        <f t="shared" si="20"/>
        <v>0.91666666666666652</v>
      </c>
      <c r="X147" s="7">
        <f t="shared" si="21"/>
        <v>1.661974028605024E-4</v>
      </c>
      <c r="Y147" s="7">
        <f t="shared" si="26"/>
        <v>0.99330587592688613</v>
      </c>
      <c r="Z147" s="7">
        <f t="shared" si="22"/>
        <v>0.65731736300091692</v>
      </c>
      <c r="AA147" t="str">
        <f t="shared" si="23"/>
        <v>C</v>
      </c>
      <c r="AB147" t="str">
        <f t="shared" si="24"/>
        <v>Y</v>
      </c>
      <c r="AC147" t="str">
        <f t="shared" si="25"/>
        <v>CY</v>
      </c>
    </row>
    <row r="148" spans="1:29" x14ac:dyDescent="0.25">
      <c r="A148" t="s">
        <v>939</v>
      </c>
      <c r="B148" t="s">
        <v>2674</v>
      </c>
      <c r="C148" s="4" t="s">
        <v>3057</v>
      </c>
      <c r="D148" s="4" t="s">
        <v>3057</v>
      </c>
      <c r="E148" s="4" t="s">
        <v>3057</v>
      </c>
      <c r="F148" s="4" t="s">
        <v>3057</v>
      </c>
      <c r="G148" s="4">
        <v>18</v>
      </c>
      <c r="H148" s="4">
        <v>10</v>
      </c>
      <c r="I148" s="4">
        <v>8</v>
      </c>
      <c r="J148" s="4">
        <v>12</v>
      </c>
      <c r="K148" s="4" t="s">
        <v>3057</v>
      </c>
      <c r="L148" s="4">
        <v>20</v>
      </c>
      <c r="M148" s="4">
        <v>0</v>
      </c>
      <c r="N148" s="4" t="s">
        <v>3057</v>
      </c>
      <c r="O148" s="4" t="s">
        <v>3057</v>
      </c>
      <c r="P148" s="4" t="s">
        <v>3057</v>
      </c>
      <c r="Q148" s="4">
        <v>20</v>
      </c>
      <c r="R148" s="4" t="s">
        <v>3057</v>
      </c>
      <c r="S148" s="4" t="s">
        <v>3057</v>
      </c>
      <c r="T148" s="4">
        <v>20</v>
      </c>
      <c r="U148" s="4">
        <f t="shared" si="18"/>
        <v>108</v>
      </c>
      <c r="V148" s="5">
        <f t="shared" si="19"/>
        <v>13.5</v>
      </c>
      <c r="W148" s="5">
        <f t="shared" si="20"/>
        <v>0.45</v>
      </c>
      <c r="X148" s="7">
        <f t="shared" si="21"/>
        <v>1.6317563189940237E-4</v>
      </c>
      <c r="Y148" s="7">
        <f t="shared" si="26"/>
        <v>0.99346905155878551</v>
      </c>
      <c r="Z148" s="7">
        <f t="shared" si="22"/>
        <v>0.50647386411767936</v>
      </c>
      <c r="AA148" t="str">
        <f t="shared" si="23"/>
        <v>C</v>
      </c>
      <c r="AB148" t="str">
        <f t="shared" si="24"/>
        <v>Y</v>
      </c>
      <c r="AC148" t="str">
        <f t="shared" si="25"/>
        <v>CY</v>
      </c>
    </row>
    <row r="149" spans="1:29" x14ac:dyDescent="0.25">
      <c r="A149" t="s">
        <v>938</v>
      </c>
      <c r="B149" t="s">
        <v>2673</v>
      </c>
      <c r="C149" s="4" t="s">
        <v>3057</v>
      </c>
      <c r="D149" s="4" t="s">
        <v>3057</v>
      </c>
      <c r="E149" s="4" t="s">
        <v>3057</v>
      </c>
      <c r="F149" s="4" t="s">
        <v>3057</v>
      </c>
      <c r="G149" s="4">
        <v>16</v>
      </c>
      <c r="H149" s="4">
        <v>6.9999999999999982</v>
      </c>
      <c r="I149" s="4">
        <v>8</v>
      </c>
      <c r="J149" s="4">
        <v>12</v>
      </c>
      <c r="K149" s="4" t="s">
        <v>3057</v>
      </c>
      <c r="L149" s="4">
        <v>20</v>
      </c>
      <c r="M149" s="4">
        <v>0</v>
      </c>
      <c r="N149" s="4" t="s">
        <v>3057</v>
      </c>
      <c r="O149" s="4" t="s">
        <v>3057</v>
      </c>
      <c r="P149" s="4" t="s">
        <v>3057</v>
      </c>
      <c r="Q149" s="4">
        <v>20</v>
      </c>
      <c r="R149" s="4" t="s">
        <v>3057</v>
      </c>
      <c r="S149" s="4" t="s">
        <v>3057</v>
      </c>
      <c r="T149" s="4">
        <v>20</v>
      </c>
      <c r="U149" s="4">
        <f t="shared" si="18"/>
        <v>103</v>
      </c>
      <c r="V149" s="5">
        <f t="shared" si="19"/>
        <v>12.875</v>
      </c>
      <c r="W149" s="5">
        <f t="shared" si="20"/>
        <v>0.42916666666666664</v>
      </c>
      <c r="X149" s="7">
        <f t="shared" si="21"/>
        <v>1.5562120449665227E-4</v>
      </c>
      <c r="Y149" s="7">
        <f t="shared" si="26"/>
        <v>0.99362467276328215</v>
      </c>
      <c r="Z149" s="7">
        <f t="shared" si="22"/>
        <v>0.54012353575538341</v>
      </c>
      <c r="AA149" t="str">
        <f t="shared" si="23"/>
        <v>C</v>
      </c>
      <c r="AB149" t="str">
        <f t="shared" si="24"/>
        <v>Y</v>
      </c>
      <c r="AC149" t="str">
        <f t="shared" si="25"/>
        <v>CY</v>
      </c>
    </row>
    <row r="150" spans="1:29" x14ac:dyDescent="0.25">
      <c r="A150" t="s">
        <v>2318</v>
      </c>
      <c r="B150" t="s">
        <v>2599</v>
      </c>
      <c r="C150" s="4" t="s">
        <v>3057</v>
      </c>
      <c r="D150" s="4" t="s">
        <v>3057</v>
      </c>
      <c r="E150" s="4" t="s">
        <v>3057</v>
      </c>
      <c r="F150" s="4" t="s">
        <v>3057</v>
      </c>
      <c r="G150" s="4" t="s">
        <v>3057</v>
      </c>
      <c r="H150" s="4" t="s">
        <v>3057</v>
      </c>
      <c r="I150" s="4" t="s">
        <v>3057</v>
      </c>
      <c r="J150" s="4" t="s">
        <v>3057</v>
      </c>
      <c r="K150" s="4" t="s">
        <v>3057</v>
      </c>
      <c r="L150" s="4" t="s">
        <v>3057</v>
      </c>
      <c r="M150" s="4">
        <v>0</v>
      </c>
      <c r="N150" s="4" t="s">
        <v>3057</v>
      </c>
      <c r="O150" s="4" t="s">
        <v>3057</v>
      </c>
      <c r="P150" s="4" t="s">
        <v>3057</v>
      </c>
      <c r="Q150" s="4" t="s">
        <v>3057</v>
      </c>
      <c r="R150" s="4" t="s">
        <v>3057</v>
      </c>
      <c r="S150" s="4">
        <v>100.00000000000001</v>
      </c>
      <c r="T150" s="4" t="s">
        <v>3057</v>
      </c>
      <c r="U150" s="4">
        <f t="shared" si="18"/>
        <v>100.00000000000001</v>
      </c>
      <c r="V150" s="5">
        <f t="shared" si="19"/>
        <v>50.000000000000007</v>
      </c>
      <c r="W150" s="5">
        <f t="shared" si="20"/>
        <v>1.666666666666667</v>
      </c>
      <c r="X150" s="7">
        <f t="shared" si="21"/>
        <v>1.5108854805500222E-4</v>
      </c>
      <c r="Y150" s="7">
        <f t="shared" si="26"/>
        <v>0.99377576131133716</v>
      </c>
      <c r="Z150" s="7">
        <f t="shared" si="22"/>
        <v>1</v>
      </c>
      <c r="AA150" t="str">
        <f t="shared" si="23"/>
        <v>C</v>
      </c>
      <c r="AB150" t="str">
        <f t="shared" si="24"/>
        <v>Y</v>
      </c>
      <c r="AC150" t="str">
        <f t="shared" si="25"/>
        <v>CY</v>
      </c>
    </row>
    <row r="151" spans="1:29" x14ac:dyDescent="0.25">
      <c r="A151" t="s">
        <v>2405</v>
      </c>
      <c r="B151" t="s">
        <v>2600</v>
      </c>
      <c r="C151" s="4" t="s">
        <v>3057</v>
      </c>
      <c r="D151" s="4" t="s">
        <v>3057</v>
      </c>
      <c r="E151" s="4" t="s">
        <v>3057</v>
      </c>
      <c r="F151" s="4" t="s">
        <v>3057</v>
      </c>
      <c r="G151" s="4" t="s">
        <v>3057</v>
      </c>
      <c r="H151" s="4" t="s">
        <v>3057</v>
      </c>
      <c r="I151" s="4" t="s">
        <v>3057</v>
      </c>
      <c r="J151" s="4" t="s">
        <v>3057</v>
      </c>
      <c r="K151" s="4" t="s">
        <v>3057</v>
      </c>
      <c r="L151" s="4" t="s">
        <v>3057</v>
      </c>
      <c r="M151" s="4">
        <v>0</v>
      </c>
      <c r="N151" s="4" t="s">
        <v>3057</v>
      </c>
      <c r="O151" s="4" t="s">
        <v>3057</v>
      </c>
      <c r="P151" s="4" t="s">
        <v>3057</v>
      </c>
      <c r="Q151" s="4" t="s">
        <v>3057</v>
      </c>
      <c r="R151" s="4" t="s">
        <v>3057</v>
      </c>
      <c r="S151" s="4" t="s">
        <v>3057</v>
      </c>
      <c r="T151" s="4">
        <v>100</v>
      </c>
      <c r="U151" s="4">
        <f t="shared" si="18"/>
        <v>100</v>
      </c>
      <c r="V151" s="5">
        <f t="shared" si="19"/>
        <v>50</v>
      </c>
      <c r="W151" s="5">
        <f t="shared" si="20"/>
        <v>1.6666666666666667</v>
      </c>
      <c r="X151" s="7">
        <f t="shared" si="21"/>
        <v>1.5108854805500222E-4</v>
      </c>
      <c r="Y151" s="7">
        <f t="shared" si="26"/>
        <v>0.99392684985939217</v>
      </c>
      <c r="Z151" s="7">
        <f t="shared" si="22"/>
        <v>1</v>
      </c>
      <c r="AA151" t="str">
        <f t="shared" si="23"/>
        <v>C</v>
      </c>
      <c r="AB151" t="str">
        <f t="shared" si="24"/>
        <v>Y</v>
      </c>
      <c r="AC151" t="str">
        <f t="shared" si="25"/>
        <v>CY</v>
      </c>
    </row>
    <row r="152" spans="1:29" x14ac:dyDescent="0.25">
      <c r="A152" t="s">
        <v>940</v>
      </c>
      <c r="B152" t="s">
        <v>2675</v>
      </c>
      <c r="C152" s="4" t="s">
        <v>3057</v>
      </c>
      <c r="D152" s="4" t="s">
        <v>3057</v>
      </c>
      <c r="E152" s="4" t="s">
        <v>3057</v>
      </c>
      <c r="F152" s="4" t="s">
        <v>3057</v>
      </c>
      <c r="G152" s="4">
        <v>10.000100000000002</v>
      </c>
      <c r="H152" s="4">
        <v>9.9998999999999985</v>
      </c>
      <c r="I152" s="4">
        <v>8</v>
      </c>
      <c r="J152" s="4">
        <v>12.000000000000004</v>
      </c>
      <c r="K152" s="4" t="s">
        <v>3057</v>
      </c>
      <c r="L152" s="4">
        <v>20</v>
      </c>
      <c r="M152" s="4">
        <v>0</v>
      </c>
      <c r="N152" s="4" t="s">
        <v>3057</v>
      </c>
      <c r="O152" s="4" t="s">
        <v>3057</v>
      </c>
      <c r="P152" s="4" t="s">
        <v>3057</v>
      </c>
      <c r="Q152" s="4">
        <v>20</v>
      </c>
      <c r="R152" s="4" t="s">
        <v>3057</v>
      </c>
      <c r="S152" s="4" t="s">
        <v>3057</v>
      </c>
      <c r="T152" s="4">
        <v>20</v>
      </c>
      <c r="U152" s="4">
        <f t="shared" si="18"/>
        <v>100</v>
      </c>
      <c r="V152" s="5">
        <f t="shared" si="19"/>
        <v>12.5</v>
      </c>
      <c r="W152" s="5">
        <f t="shared" si="20"/>
        <v>0.41666666666666669</v>
      </c>
      <c r="X152" s="7">
        <f t="shared" si="21"/>
        <v>1.5108854805500222E-4</v>
      </c>
      <c r="Y152" s="7">
        <f t="shared" si="26"/>
        <v>0.99407793840744718</v>
      </c>
      <c r="Z152" s="7">
        <f t="shared" si="22"/>
        <v>0.53516352642533493</v>
      </c>
      <c r="AA152" t="str">
        <f t="shared" si="23"/>
        <v>C</v>
      </c>
      <c r="AB152" t="str">
        <f t="shared" si="24"/>
        <v>Y</v>
      </c>
      <c r="AC152" t="str">
        <f t="shared" si="25"/>
        <v>CY</v>
      </c>
    </row>
    <row r="153" spans="1:29" x14ac:dyDescent="0.25">
      <c r="A153" t="s">
        <v>1786</v>
      </c>
      <c r="B153" t="s">
        <v>2912</v>
      </c>
      <c r="C153" s="4" t="s">
        <v>3057</v>
      </c>
      <c r="D153" s="4" t="s">
        <v>3057</v>
      </c>
      <c r="E153" s="4" t="s">
        <v>3057</v>
      </c>
      <c r="F153" s="4" t="s">
        <v>3057</v>
      </c>
      <c r="G153" s="4" t="s">
        <v>3057</v>
      </c>
      <c r="H153" s="4" t="s">
        <v>3057</v>
      </c>
      <c r="I153" s="4" t="s">
        <v>3057</v>
      </c>
      <c r="J153" s="4" t="s">
        <v>3057</v>
      </c>
      <c r="K153" s="4">
        <v>100</v>
      </c>
      <c r="L153" s="4" t="s">
        <v>3057</v>
      </c>
      <c r="M153" s="4">
        <v>0</v>
      </c>
      <c r="N153" s="4" t="s">
        <v>3057</v>
      </c>
      <c r="O153" s="4" t="s">
        <v>3057</v>
      </c>
      <c r="P153" s="4" t="s">
        <v>3057</v>
      </c>
      <c r="Q153" s="4" t="s">
        <v>3057</v>
      </c>
      <c r="R153" s="4" t="s">
        <v>3057</v>
      </c>
      <c r="S153" s="4" t="s">
        <v>3057</v>
      </c>
      <c r="T153" s="4" t="s">
        <v>3057</v>
      </c>
      <c r="U153" s="4">
        <f t="shared" si="18"/>
        <v>100</v>
      </c>
      <c r="V153" s="5">
        <f t="shared" si="19"/>
        <v>50</v>
      </c>
      <c r="W153" s="5">
        <f t="shared" si="20"/>
        <v>1.6666666666666667</v>
      </c>
      <c r="X153" s="7">
        <f t="shared" si="21"/>
        <v>1.5108854805500222E-4</v>
      </c>
      <c r="Y153" s="7">
        <f t="shared" si="26"/>
        <v>0.99422902695550219</v>
      </c>
      <c r="Z153" s="7">
        <f t="shared" si="22"/>
        <v>1</v>
      </c>
      <c r="AA153" t="str">
        <f t="shared" si="23"/>
        <v>C</v>
      </c>
      <c r="AB153" t="str">
        <f t="shared" si="24"/>
        <v>Y</v>
      </c>
      <c r="AC153" t="str">
        <f t="shared" si="25"/>
        <v>CY</v>
      </c>
    </row>
    <row r="154" spans="1:29" x14ac:dyDescent="0.25">
      <c r="A154" t="s">
        <v>1872</v>
      </c>
      <c r="B154" t="s">
        <v>2918</v>
      </c>
      <c r="C154" s="4" t="s">
        <v>3057</v>
      </c>
      <c r="D154" s="4" t="s">
        <v>3057</v>
      </c>
      <c r="E154" s="4" t="s">
        <v>3057</v>
      </c>
      <c r="F154" s="4" t="s">
        <v>3057</v>
      </c>
      <c r="G154" s="4" t="s">
        <v>3057</v>
      </c>
      <c r="H154" s="4" t="s">
        <v>3057</v>
      </c>
      <c r="I154" s="4" t="s">
        <v>3057</v>
      </c>
      <c r="J154" s="4" t="s">
        <v>3057</v>
      </c>
      <c r="K154" s="4" t="s">
        <v>3057</v>
      </c>
      <c r="L154" s="4">
        <v>100</v>
      </c>
      <c r="M154" s="4">
        <v>0</v>
      </c>
      <c r="N154" s="4" t="s">
        <v>3057</v>
      </c>
      <c r="O154" s="4" t="s">
        <v>3057</v>
      </c>
      <c r="P154" s="4" t="s">
        <v>3057</v>
      </c>
      <c r="Q154" s="4" t="s">
        <v>3057</v>
      </c>
      <c r="R154" s="4" t="s">
        <v>3057</v>
      </c>
      <c r="S154" s="4" t="s">
        <v>3057</v>
      </c>
      <c r="T154" s="4" t="s">
        <v>3057</v>
      </c>
      <c r="U154" s="4">
        <f t="shared" si="18"/>
        <v>100</v>
      </c>
      <c r="V154" s="5">
        <f t="shared" si="19"/>
        <v>50</v>
      </c>
      <c r="W154" s="5">
        <f t="shared" si="20"/>
        <v>1.6666666666666667</v>
      </c>
      <c r="X154" s="7">
        <f t="shared" si="21"/>
        <v>1.5108854805500222E-4</v>
      </c>
      <c r="Y154" s="7">
        <f t="shared" si="26"/>
        <v>0.9943801155035572</v>
      </c>
      <c r="Z154" s="7">
        <f t="shared" si="22"/>
        <v>1</v>
      </c>
      <c r="AA154" t="str">
        <f t="shared" si="23"/>
        <v>C</v>
      </c>
      <c r="AB154" t="str">
        <f t="shared" si="24"/>
        <v>Y</v>
      </c>
      <c r="AC154" t="str">
        <f t="shared" si="25"/>
        <v>CY</v>
      </c>
    </row>
    <row r="155" spans="1:29" x14ac:dyDescent="0.25">
      <c r="A155" t="s">
        <v>2136</v>
      </c>
      <c r="B155" t="s">
        <v>2956</v>
      </c>
      <c r="C155" s="4" t="s">
        <v>3057</v>
      </c>
      <c r="D155" s="4" t="s">
        <v>3057</v>
      </c>
      <c r="E155" s="4" t="s">
        <v>3057</v>
      </c>
      <c r="F155" s="4" t="s">
        <v>3057</v>
      </c>
      <c r="G155" s="4" t="s">
        <v>3057</v>
      </c>
      <c r="H155" s="4" t="s">
        <v>3057</v>
      </c>
      <c r="I155" s="4" t="s">
        <v>3057</v>
      </c>
      <c r="J155" s="4" t="s">
        <v>3057</v>
      </c>
      <c r="K155" s="4" t="s">
        <v>3057</v>
      </c>
      <c r="L155" s="4" t="s">
        <v>3057</v>
      </c>
      <c r="M155" s="4">
        <v>0</v>
      </c>
      <c r="N155" s="4" t="s">
        <v>3057</v>
      </c>
      <c r="O155" s="4" t="s">
        <v>3057</v>
      </c>
      <c r="P155" s="4">
        <v>100</v>
      </c>
      <c r="Q155" s="4" t="s">
        <v>3057</v>
      </c>
      <c r="R155" s="4" t="s">
        <v>3057</v>
      </c>
      <c r="S155" s="4" t="s">
        <v>3057</v>
      </c>
      <c r="T155" s="4" t="s">
        <v>3057</v>
      </c>
      <c r="U155" s="4">
        <f t="shared" si="18"/>
        <v>100</v>
      </c>
      <c r="V155" s="5">
        <f t="shared" si="19"/>
        <v>50</v>
      </c>
      <c r="W155" s="5">
        <f t="shared" si="20"/>
        <v>1.6666666666666667</v>
      </c>
      <c r="X155" s="7">
        <f t="shared" si="21"/>
        <v>1.5108854805500222E-4</v>
      </c>
      <c r="Y155" s="7">
        <f t="shared" si="26"/>
        <v>0.99453120405161222</v>
      </c>
      <c r="Z155" s="7">
        <f t="shared" si="22"/>
        <v>1</v>
      </c>
      <c r="AA155" t="str">
        <f t="shared" si="23"/>
        <v>C</v>
      </c>
      <c r="AB155" t="str">
        <f t="shared" si="24"/>
        <v>Y</v>
      </c>
      <c r="AC155" t="str">
        <f t="shared" si="25"/>
        <v>CY</v>
      </c>
    </row>
    <row r="156" spans="1:29" x14ac:dyDescent="0.25">
      <c r="A156" t="s">
        <v>102</v>
      </c>
      <c r="B156" t="s">
        <v>2711</v>
      </c>
      <c r="C156" s="4" t="s">
        <v>3057</v>
      </c>
      <c r="D156" s="4" t="s">
        <v>3057</v>
      </c>
      <c r="E156" s="4" t="s">
        <v>3057</v>
      </c>
      <c r="F156" s="4">
        <v>15.000100000000002</v>
      </c>
      <c r="G156" s="4">
        <v>3.9999000000000002</v>
      </c>
      <c r="H156" s="4">
        <v>15.100000000000001</v>
      </c>
      <c r="I156" s="4">
        <v>13.899999999999997</v>
      </c>
      <c r="J156" s="4">
        <v>8</v>
      </c>
      <c r="K156" s="4">
        <v>9.0000000000000018</v>
      </c>
      <c r="L156" s="4">
        <v>20</v>
      </c>
      <c r="M156" s="4">
        <v>0</v>
      </c>
      <c r="N156" s="4" t="s">
        <v>3057</v>
      </c>
      <c r="O156" s="4">
        <v>3</v>
      </c>
      <c r="P156" s="4">
        <v>6</v>
      </c>
      <c r="Q156" s="4">
        <v>5</v>
      </c>
      <c r="R156" s="4" t="s">
        <v>3057</v>
      </c>
      <c r="S156" s="4" t="s">
        <v>3057</v>
      </c>
      <c r="T156" s="4" t="s">
        <v>3057</v>
      </c>
      <c r="U156" s="4">
        <f t="shared" si="18"/>
        <v>99</v>
      </c>
      <c r="V156" s="5">
        <f t="shared" si="19"/>
        <v>9</v>
      </c>
      <c r="W156" s="5">
        <f t="shared" si="20"/>
        <v>0.3</v>
      </c>
      <c r="X156" s="7">
        <f t="shared" si="21"/>
        <v>1.4957766257445219E-4</v>
      </c>
      <c r="Y156" s="7">
        <f t="shared" si="26"/>
        <v>0.99468078171418672</v>
      </c>
      <c r="Z156" s="7">
        <f t="shared" si="22"/>
        <v>0.65838475272917929</v>
      </c>
      <c r="AA156" t="str">
        <f t="shared" si="23"/>
        <v>C</v>
      </c>
      <c r="AB156" t="str">
        <f t="shared" si="24"/>
        <v>Y</v>
      </c>
      <c r="AC156" t="str">
        <f t="shared" si="25"/>
        <v>CY</v>
      </c>
    </row>
    <row r="157" spans="1:29" x14ac:dyDescent="0.25">
      <c r="A157" t="s">
        <v>498</v>
      </c>
      <c r="B157" t="s">
        <v>2700</v>
      </c>
      <c r="C157" s="4" t="s">
        <v>3057</v>
      </c>
      <c r="D157" s="4" t="s">
        <v>3057</v>
      </c>
      <c r="E157" s="4" t="s">
        <v>3057</v>
      </c>
      <c r="F157" s="4" t="s">
        <v>3057</v>
      </c>
      <c r="G157" s="4" t="s">
        <v>3057</v>
      </c>
      <c r="H157" s="4">
        <v>6</v>
      </c>
      <c r="I157" s="4">
        <v>12</v>
      </c>
      <c r="J157" s="4" t="s">
        <v>3057</v>
      </c>
      <c r="K157" s="4">
        <v>42</v>
      </c>
      <c r="L157" s="4" t="s">
        <v>3057</v>
      </c>
      <c r="M157" s="4">
        <v>16</v>
      </c>
      <c r="N157" s="4" t="s">
        <v>3057</v>
      </c>
      <c r="O157" s="4" t="s">
        <v>3057</v>
      </c>
      <c r="P157" s="4" t="s">
        <v>3057</v>
      </c>
      <c r="Q157" s="4" t="s">
        <v>3057</v>
      </c>
      <c r="R157" s="4" t="s">
        <v>3057</v>
      </c>
      <c r="S157" s="4">
        <v>21</v>
      </c>
      <c r="T157" s="4" t="s">
        <v>3057</v>
      </c>
      <c r="U157" s="4">
        <f t="shared" si="18"/>
        <v>97</v>
      </c>
      <c r="V157" s="5">
        <f t="shared" si="19"/>
        <v>19.399999999999999</v>
      </c>
      <c r="W157" s="5">
        <f t="shared" si="20"/>
        <v>0.64666666666666661</v>
      </c>
      <c r="X157" s="7">
        <f t="shared" si="21"/>
        <v>1.4655589161335214E-4</v>
      </c>
      <c r="Y157" s="7">
        <f t="shared" si="26"/>
        <v>0.99482733760580011</v>
      </c>
      <c r="Z157" s="7">
        <f t="shared" si="22"/>
        <v>0.63517203302059233</v>
      </c>
      <c r="AA157" t="str">
        <f t="shared" si="23"/>
        <v>C</v>
      </c>
      <c r="AB157" t="str">
        <f t="shared" si="24"/>
        <v>Y</v>
      </c>
      <c r="AC157" t="str">
        <f t="shared" si="25"/>
        <v>CY</v>
      </c>
    </row>
    <row r="158" spans="1:29" x14ac:dyDescent="0.25">
      <c r="A158" t="s">
        <v>89</v>
      </c>
      <c r="B158" t="s">
        <v>2713</v>
      </c>
      <c r="C158" s="4" t="s">
        <v>3057</v>
      </c>
      <c r="D158" s="4" t="s">
        <v>3057</v>
      </c>
      <c r="E158" s="4" t="s">
        <v>3057</v>
      </c>
      <c r="F158" s="4">
        <v>1</v>
      </c>
      <c r="G158" s="4">
        <v>8</v>
      </c>
      <c r="H158" s="4">
        <v>9</v>
      </c>
      <c r="I158" s="4">
        <v>4.9999999999999991</v>
      </c>
      <c r="J158" s="4" t="s">
        <v>3057</v>
      </c>
      <c r="K158" s="4">
        <v>30</v>
      </c>
      <c r="L158" s="4">
        <v>12.999999999999996</v>
      </c>
      <c r="M158" s="4">
        <v>4.0000000000000009</v>
      </c>
      <c r="N158" s="4" t="s">
        <v>3057</v>
      </c>
      <c r="O158" s="4">
        <v>9.0000000000000036</v>
      </c>
      <c r="P158" s="4">
        <v>2.0000000000000009</v>
      </c>
      <c r="Q158" s="4">
        <v>6.0000000000000009</v>
      </c>
      <c r="R158" s="4">
        <v>10.000000000000002</v>
      </c>
      <c r="S158" s="4" t="s">
        <v>3057</v>
      </c>
      <c r="T158" s="4" t="s">
        <v>3057</v>
      </c>
      <c r="U158" s="4">
        <f t="shared" si="18"/>
        <v>97</v>
      </c>
      <c r="V158" s="5">
        <f t="shared" si="19"/>
        <v>8.8181818181818183</v>
      </c>
      <c r="W158" s="5">
        <f t="shared" si="20"/>
        <v>0.29393939393939394</v>
      </c>
      <c r="X158" s="7">
        <f t="shared" si="21"/>
        <v>1.4655589161335214E-4</v>
      </c>
      <c r="Y158" s="7">
        <f t="shared" si="26"/>
        <v>0.9949738934974135</v>
      </c>
      <c r="Z158" s="7">
        <f t="shared" si="22"/>
        <v>0.8524969109042484</v>
      </c>
      <c r="AA158" t="str">
        <f t="shared" si="23"/>
        <v>C</v>
      </c>
      <c r="AB158" t="str">
        <f t="shared" si="24"/>
        <v>Y</v>
      </c>
      <c r="AC158" t="str">
        <f t="shared" si="25"/>
        <v>CY</v>
      </c>
    </row>
    <row r="159" spans="1:29" x14ac:dyDescent="0.25">
      <c r="A159" t="s">
        <v>161</v>
      </c>
      <c r="B159" t="s">
        <v>2684</v>
      </c>
      <c r="C159" s="4" t="s">
        <v>3057</v>
      </c>
      <c r="D159" s="4" t="s">
        <v>3057</v>
      </c>
      <c r="E159" s="4" t="s">
        <v>3057</v>
      </c>
      <c r="F159" s="4">
        <v>20</v>
      </c>
      <c r="G159" s="4">
        <v>12.099000000000004</v>
      </c>
      <c r="H159" s="4">
        <v>13.901000000000002</v>
      </c>
      <c r="I159" s="4">
        <v>5.0000000000000018</v>
      </c>
      <c r="J159" s="4" t="s">
        <v>3057</v>
      </c>
      <c r="K159" s="4">
        <v>14.111200000000007</v>
      </c>
      <c r="L159" s="4">
        <v>4.9999999999999991</v>
      </c>
      <c r="M159" s="4">
        <v>0</v>
      </c>
      <c r="N159" s="4" t="s">
        <v>3057</v>
      </c>
      <c r="O159" s="4" t="s">
        <v>3057</v>
      </c>
      <c r="P159" s="4">
        <v>2.75</v>
      </c>
      <c r="Q159" s="4">
        <v>1.25</v>
      </c>
      <c r="R159" s="4">
        <v>15.000000000000002</v>
      </c>
      <c r="S159" s="4">
        <v>1</v>
      </c>
      <c r="T159" s="4">
        <v>3.9999999999999991</v>
      </c>
      <c r="U159" s="4">
        <f t="shared" si="18"/>
        <v>94.111200000000011</v>
      </c>
      <c r="V159" s="5">
        <f t="shared" si="19"/>
        <v>7.8426000000000009</v>
      </c>
      <c r="W159" s="5">
        <f t="shared" si="20"/>
        <v>0.26142000000000004</v>
      </c>
      <c r="X159" s="7">
        <f t="shared" si="21"/>
        <v>1.4219124563713924E-4</v>
      </c>
      <c r="Y159" s="7">
        <f t="shared" si="26"/>
        <v>0.99511608474305069</v>
      </c>
      <c r="Z159" s="7">
        <f t="shared" si="22"/>
        <v>0.82454394228454575</v>
      </c>
      <c r="AA159" t="str">
        <f t="shared" si="23"/>
        <v>C</v>
      </c>
      <c r="AB159" t="str">
        <f t="shared" si="24"/>
        <v>Y</v>
      </c>
      <c r="AC159" t="str">
        <f t="shared" si="25"/>
        <v>CY</v>
      </c>
    </row>
    <row r="160" spans="1:29" x14ac:dyDescent="0.25">
      <c r="A160" t="s">
        <v>660</v>
      </c>
      <c r="B160" t="s">
        <v>2699</v>
      </c>
      <c r="C160" s="4" t="s">
        <v>3057</v>
      </c>
      <c r="D160" s="4" t="s">
        <v>3057</v>
      </c>
      <c r="E160" s="4" t="s">
        <v>3057</v>
      </c>
      <c r="F160" s="4">
        <v>10</v>
      </c>
      <c r="G160" s="4">
        <v>8.9999999999999982</v>
      </c>
      <c r="H160" s="4">
        <v>9.9999999999999982</v>
      </c>
      <c r="I160" s="4">
        <v>6</v>
      </c>
      <c r="J160" s="4" t="s">
        <v>3057</v>
      </c>
      <c r="K160" s="4">
        <v>8.0000000000000018</v>
      </c>
      <c r="L160" s="4">
        <v>10</v>
      </c>
      <c r="M160" s="4">
        <v>0</v>
      </c>
      <c r="N160" s="4" t="s">
        <v>3057</v>
      </c>
      <c r="O160" s="4">
        <v>10</v>
      </c>
      <c r="P160" s="4">
        <v>17.999999999999993</v>
      </c>
      <c r="Q160" s="4">
        <v>3</v>
      </c>
      <c r="R160" s="4">
        <v>9</v>
      </c>
      <c r="S160" s="4" t="s">
        <v>3057</v>
      </c>
      <c r="T160" s="4" t="s">
        <v>3057</v>
      </c>
      <c r="U160" s="4">
        <f t="shared" si="18"/>
        <v>93</v>
      </c>
      <c r="V160" s="5">
        <f t="shared" si="19"/>
        <v>8.454545454545455</v>
      </c>
      <c r="W160" s="5">
        <f t="shared" si="20"/>
        <v>0.28181818181818186</v>
      </c>
      <c r="X160" s="7">
        <f t="shared" si="21"/>
        <v>1.4051234969115206E-4</v>
      </c>
      <c r="Y160" s="7">
        <f t="shared" si="26"/>
        <v>0.99525659709274183</v>
      </c>
      <c r="Z160" s="7">
        <f t="shared" si="22"/>
        <v>0.51523219572950263</v>
      </c>
      <c r="AA160" t="str">
        <f t="shared" si="23"/>
        <v>C</v>
      </c>
      <c r="AB160" t="str">
        <f t="shared" si="24"/>
        <v>Y</v>
      </c>
      <c r="AC160" t="str">
        <f t="shared" si="25"/>
        <v>CY</v>
      </c>
    </row>
    <row r="161" spans="1:29" x14ac:dyDescent="0.25">
      <c r="A161" t="s">
        <v>1713</v>
      </c>
      <c r="B161" t="s">
        <v>2917</v>
      </c>
      <c r="C161" s="4" t="s">
        <v>3057</v>
      </c>
      <c r="D161" s="4" t="s">
        <v>3057</v>
      </c>
      <c r="E161" s="4" t="s">
        <v>3057</v>
      </c>
      <c r="F161" s="4" t="s">
        <v>3057</v>
      </c>
      <c r="G161" s="4" t="s">
        <v>3057</v>
      </c>
      <c r="H161" s="4" t="s">
        <v>3057</v>
      </c>
      <c r="I161" s="4" t="s">
        <v>3057</v>
      </c>
      <c r="J161" s="4">
        <v>90.000000000000014</v>
      </c>
      <c r="K161" s="4" t="s">
        <v>3057</v>
      </c>
      <c r="L161" s="4" t="s">
        <v>3057</v>
      </c>
      <c r="M161" s="4">
        <v>0</v>
      </c>
      <c r="N161" s="4" t="s">
        <v>3057</v>
      </c>
      <c r="O161" s="4" t="s">
        <v>3057</v>
      </c>
      <c r="P161" s="4" t="s">
        <v>3057</v>
      </c>
      <c r="Q161" s="4" t="s">
        <v>3057</v>
      </c>
      <c r="R161" s="4" t="s">
        <v>3057</v>
      </c>
      <c r="S161" s="4" t="s">
        <v>3057</v>
      </c>
      <c r="T161" s="4" t="s">
        <v>3057</v>
      </c>
      <c r="U161" s="4">
        <f t="shared" si="18"/>
        <v>90.000000000000014</v>
      </c>
      <c r="V161" s="5">
        <f t="shared" si="19"/>
        <v>45.000000000000007</v>
      </c>
      <c r="W161" s="5">
        <f t="shared" si="20"/>
        <v>1.5000000000000002</v>
      </c>
      <c r="X161" s="7">
        <f t="shared" si="21"/>
        <v>1.3597969324950201E-4</v>
      </c>
      <c r="Y161" s="7">
        <f t="shared" si="26"/>
        <v>0.99539257678599136</v>
      </c>
      <c r="Z161" s="7">
        <f t="shared" si="22"/>
        <v>1</v>
      </c>
      <c r="AA161" t="str">
        <f t="shared" si="23"/>
        <v>C</v>
      </c>
      <c r="AB161" t="str">
        <f t="shared" si="24"/>
        <v>Y</v>
      </c>
      <c r="AC161" t="str">
        <f t="shared" si="25"/>
        <v>CY</v>
      </c>
    </row>
    <row r="162" spans="1:29" x14ac:dyDescent="0.25">
      <c r="A162" t="s">
        <v>926</v>
      </c>
      <c r="B162" t="s">
        <v>2669</v>
      </c>
      <c r="C162" s="4" t="s">
        <v>3057</v>
      </c>
      <c r="D162" s="4" t="s">
        <v>3057</v>
      </c>
      <c r="E162" s="4" t="s">
        <v>3057</v>
      </c>
      <c r="F162" s="4" t="s">
        <v>3057</v>
      </c>
      <c r="G162" s="4">
        <v>5.0000000000000009</v>
      </c>
      <c r="H162" s="4">
        <v>13.999999999999996</v>
      </c>
      <c r="I162" s="4">
        <v>6.0000000000000018</v>
      </c>
      <c r="J162" s="4">
        <v>12.999999999999982</v>
      </c>
      <c r="K162" s="4">
        <v>1</v>
      </c>
      <c r="L162" s="4">
        <v>6.9999999999999973</v>
      </c>
      <c r="M162" s="4">
        <v>2</v>
      </c>
      <c r="N162" s="4" t="s">
        <v>3057</v>
      </c>
      <c r="O162" s="4">
        <v>2</v>
      </c>
      <c r="P162" s="4">
        <v>9</v>
      </c>
      <c r="Q162" s="4">
        <v>6</v>
      </c>
      <c r="R162" s="4">
        <v>13.999999999999998</v>
      </c>
      <c r="S162" s="4">
        <v>4</v>
      </c>
      <c r="T162" s="4">
        <v>3.9999999999999996</v>
      </c>
      <c r="U162" s="4">
        <f t="shared" si="18"/>
        <v>86.999999999999986</v>
      </c>
      <c r="V162" s="5">
        <f t="shared" si="19"/>
        <v>6.6923076923076916</v>
      </c>
      <c r="W162" s="5">
        <f t="shared" si="20"/>
        <v>0.22307692307692306</v>
      </c>
      <c r="X162" s="7">
        <f t="shared" si="21"/>
        <v>1.3144703680785191E-4</v>
      </c>
      <c r="Y162" s="7">
        <f t="shared" si="26"/>
        <v>0.99552402382279925</v>
      </c>
      <c r="Z162" s="7">
        <f t="shared" si="22"/>
        <v>0.65102539119569125</v>
      </c>
      <c r="AA162" t="str">
        <f t="shared" si="23"/>
        <v>C</v>
      </c>
      <c r="AB162" t="str">
        <f t="shared" si="24"/>
        <v>Y</v>
      </c>
      <c r="AC162" t="str">
        <f t="shared" si="25"/>
        <v>CY</v>
      </c>
    </row>
    <row r="163" spans="1:29" x14ac:dyDescent="0.25">
      <c r="A163" t="s">
        <v>146</v>
      </c>
      <c r="B163" t="s">
        <v>2749</v>
      </c>
      <c r="C163" s="4" t="s">
        <v>3057</v>
      </c>
      <c r="D163" s="4" t="s">
        <v>3057</v>
      </c>
      <c r="E163" s="4" t="s">
        <v>3057</v>
      </c>
      <c r="F163" s="4">
        <v>7.0000000000000018</v>
      </c>
      <c r="G163" s="4">
        <v>8.0000000000000018</v>
      </c>
      <c r="H163" s="4">
        <v>7</v>
      </c>
      <c r="I163" s="4">
        <v>9.7568000000000001</v>
      </c>
      <c r="J163" s="4">
        <v>5.0000000000000009</v>
      </c>
      <c r="K163" s="4">
        <v>8</v>
      </c>
      <c r="L163" s="4">
        <v>5.9999999999999964</v>
      </c>
      <c r="M163" s="4">
        <v>1</v>
      </c>
      <c r="N163" s="4" t="s">
        <v>3057</v>
      </c>
      <c r="O163" s="4">
        <v>9</v>
      </c>
      <c r="P163" s="4">
        <v>9.0000000000000036</v>
      </c>
      <c r="Q163" s="4">
        <v>9</v>
      </c>
      <c r="R163" s="4">
        <v>5</v>
      </c>
      <c r="S163" s="4" t="s">
        <v>3057</v>
      </c>
      <c r="T163" s="4" t="s">
        <v>3057</v>
      </c>
      <c r="U163" s="4">
        <f t="shared" si="18"/>
        <v>83.756799999999998</v>
      </c>
      <c r="V163" s="5">
        <f t="shared" si="19"/>
        <v>6.9797333333333329</v>
      </c>
      <c r="W163" s="5">
        <f t="shared" si="20"/>
        <v>0.23265777777777777</v>
      </c>
      <c r="X163" s="7">
        <f t="shared" si="21"/>
        <v>1.265469330173321E-4</v>
      </c>
      <c r="Y163" s="7">
        <f t="shared" si="26"/>
        <v>0.99565057075581653</v>
      </c>
      <c r="Z163" s="7">
        <f t="shared" si="22"/>
        <v>0.33751370699418115</v>
      </c>
      <c r="AA163" t="str">
        <f t="shared" si="23"/>
        <v>C</v>
      </c>
      <c r="AB163" t="str">
        <f t="shared" si="24"/>
        <v>X</v>
      </c>
      <c r="AC163" t="str">
        <f t="shared" si="25"/>
        <v>CX</v>
      </c>
    </row>
    <row r="164" spans="1:29" x14ac:dyDescent="0.25">
      <c r="A164" t="s">
        <v>164</v>
      </c>
      <c r="B164" t="s">
        <v>2773</v>
      </c>
      <c r="C164" s="4" t="s">
        <v>3057</v>
      </c>
      <c r="D164" s="4" t="s">
        <v>3057</v>
      </c>
      <c r="E164" s="4" t="s">
        <v>3057</v>
      </c>
      <c r="F164" s="4">
        <v>7</v>
      </c>
      <c r="G164" s="4">
        <v>1</v>
      </c>
      <c r="H164" s="4">
        <v>18.5</v>
      </c>
      <c r="I164" s="4">
        <v>7.5</v>
      </c>
      <c r="J164" s="4">
        <v>19.738000000000003</v>
      </c>
      <c r="K164" s="4">
        <v>1</v>
      </c>
      <c r="L164" s="4">
        <v>7</v>
      </c>
      <c r="M164" s="4">
        <v>2</v>
      </c>
      <c r="N164" s="4">
        <v>1</v>
      </c>
      <c r="O164" s="4" t="s">
        <v>3057</v>
      </c>
      <c r="P164" s="4">
        <v>7.0000000000000009</v>
      </c>
      <c r="Q164" s="4">
        <v>7.0000000000000009</v>
      </c>
      <c r="R164" s="4" t="s">
        <v>3057</v>
      </c>
      <c r="S164" s="4">
        <v>2.9999999999999996</v>
      </c>
      <c r="T164" s="4" t="s">
        <v>3057</v>
      </c>
      <c r="U164" s="4">
        <f t="shared" si="18"/>
        <v>81.738</v>
      </c>
      <c r="V164" s="5">
        <f t="shared" si="19"/>
        <v>6.8114999999999997</v>
      </c>
      <c r="W164" s="5">
        <f t="shared" si="20"/>
        <v>0.22705</v>
      </c>
      <c r="X164" s="7">
        <f t="shared" si="21"/>
        <v>1.2349675740919771E-4</v>
      </c>
      <c r="Y164" s="7">
        <f t="shared" si="26"/>
        <v>0.99577406751322572</v>
      </c>
      <c r="Z164" s="7">
        <f t="shared" si="22"/>
        <v>0.89233987926915126</v>
      </c>
      <c r="AA164" t="str">
        <f t="shared" si="23"/>
        <v>C</v>
      </c>
      <c r="AB164" t="str">
        <f t="shared" si="24"/>
        <v>Y</v>
      </c>
      <c r="AC164" t="str">
        <f t="shared" si="25"/>
        <v>CY</v>
      </c>
    </row>
    <row r="165" spans="1:29" x14ac:dyDescent="0.25">
      <c r="A165" t="s">
        <v>930</v>
      </c>
      <c r="B165" t="s">
        <v>2654</v>
      </c>
      <c r="C165" s="4" t="s">
        <v>3057</v>
      </c>
      <c r="D165" s="4" t="s">
        <v>3057</v>
      </c>
      <c r="E165" s="4" t="s">
        <v>3057</v>
      </c>
      <c r="F165" s="4">
        <v>13.999999999999998</v>
      </c>
      <c r="G165" s="4">
        <v>21</v>
      </c>
      <c r="H165" s="4">
        <v>7.5</v>
      </c>
      <c r="I165" s="4">
        <v>8</v>
      </c>
      <c r="J165" s="4">
        <v>8</v>
      </c>
      <c r="K165" s="4">
        <v>1</v>
      </c>
      <c r="L165" s="4">
        <v>4</v>
      </c>
      <c r="M165" s="4">
        <v>0</v>
      </c>
      <c r="N165" s="4" t="s">
        <v>3057</v>
      </c>
      <c r="O165" s="4">
        <v>2</v>
      </c>
      <c r="P165" s="4">
        <v>5</v>
      </c>
      <c r="Q165" s="4">
        <v>4</v>
      </c>
      <c r="R165" s="4">
        <v>4</v>
      </c>
      <c r="S165" s="4">
        <v>3.0000000000000004</v>
      </c>
      <c r="T165" s="4" t="s">
        <v>3057</v>
      </c>
      <c r="U165" s="4">
        <f t="shared" si="18"/>
        <v>81.5</v>
      </c>
      <c r="V165" s="5">
        <f t="shared" si="19"/>
        <v>6.2692307692307692</v>
      </c>
      <c r="W165" s="5">
        <f t="shared" si="20"/>
        <v>0.20897435897435898</v>
      </c>
      <c r="X165" s="7">
        <f t="shared" si="21"/>
        <v>1.2313716666482679E-4</v>
      </c>
      <c r="Y165" s="7">
        <f t="shared" si="26"/>
        <v>0.99589720467989051</v>
      </c>
      <c r="Z165" s="7">
        <f t="shared" si="22"/>
        <v>0.8818151464456907</v>
      </c>
      <c r="AA165" t="str">
        <f t="shared" si="23"/>
        <v>C</v>
      </c>
      <c r="AB165" t="str">
        <f t="shared" si="24"/>
        <v>Y</v>
      </c>
      <c r="AC165" t="str">
        <f t="shared" si="25"/>
        <v>CY</v>
      </c>
    </row>
    <row r="166" spans="1:29" x14ac:dyDescent="0.25">
      <c r="A166" t="s">
        <v>467</v>
      </c>
      <c r="B166" t="s">
        <v>2853</v>
      </c>
      <c r="C166" s="4" t="s">
        <v>3057</v>
      </c>
      <c r="D166" s="4" t="s">
        <v>3057</v>
      </c>
      <c r="E166" s="4" t="s">
        <v>3057</v>
      </c>
      <c r="F166" s="4" t="s">
        <v>3057</v>
      </c>
      <c r="G166" s="4" t="s">
        <v>3057</v>
      </c>
      <c r="H166" s="4" t="s">
        <v>3057</v>
      </c>
      <c r="I166" s="4" t="s">
        <v>3057</v>
      </c>
      <c r="J166" s="4">
        <v>8</v>
      </c>
      <c r="K166" s="4">
        <v>60.000000000000028</v>
      </c>
      <c r="L166" s="4" t="s">
        <v>3057</v>
      </c>
      <c r="M166" s="4">
        <v>0</v>
      </c>
      <c r="N166" s="4" t="s">
        <v>3057</v>
      </c>
      <c r="O166" s="4" t="s">
        <v>3057</v>
      </c>
      <c r="P166" s="4" t="s">
        <v>3057</v>
      </c>
      <c r="Q166" s="4">
        <v>8</v>
      </c>
      <c r="R166" s="4" t="s">
        <v>3057</v>
      </c>
      <c r="S166" s="4" t="s">
        <v>3057</v>
      </c>
      <c r="T166" s="4" t="s">
        <v>3057</v>
      </c>
      <c r="U166" s="4">
        <f t="shared" si="18"/>
        <v>76.000000000000028</v>
      </c>
      <c r="V166" s="5">
        <f t="shared" si="19"/>
        <v>19.000000000000007</v>
      </c>
      <c r="W166" s="5">
        <f t="shared" si="20"/>
        <v>0.63333333333333353</v>
      </c>
      <c r="X166" s="7">
        <f t="shared" si="21"/>
        <v>1.1482729652180172E-4</v>
      </c>
      <c r="Y166" s="7">
        <f t="shared" si="26"/>
        <v>0.9960120319764123</v>
      </c>
      <c r="Z166" s="7">
        <f t="shared" si="22"/>
        <v>1.2576634889840552</v>
      </c>
      <c r="AA166" t="str">
        <f t="shared" si="23"/>
        <v>C</v>
      </c>
      <c r="AB166" t="str">
        <f t="shared" si="24"/>
        <v>Z</v>
      </c>
      <c r="AC166" t="str">
        <f t="shared" si="25"/>
        <v>CZ</v>
      </c>
    </row>
    <row r="167" spans="1:29" x14ac:dyDescent="0.25">
      <c r="A167" t="s">
        <v>1363</v>
      </c>
      <c r="B167" t="s">
        <v>2885</v>
      </c>
      <c r="C167" s="4" t="s">
        <v>3057</v>
      </c>
      <c r="D167" s="4" t="s">
        <v>3057</v>
      </c>
      <c r="E167" s="4" t="s">
        <v>3057</v>
      </c>
      <c r="F167" s="4" t="s">
        <v>3057</v>
      </c>
      <c r="G167" s="4">
        <v>75</v>
      </c>
      <c r="H167" s="4" t="s">
        <v>3057</v>
      </c>
      <c r="I167" s="4" t="s">
        <v>3057</v>
      </c>
      <c r="J167" s="4" t="s">
        <v>3057</v>
      </c>
      <c r="K167" s="4" t="s">
        <v>3057</v>
      </c>
      <c r="L167" s="4" t="s">
        <v>3057</v>
      </c>
      <c r="M167" s="4">
        <v>0</v>
      </c>
      <c r="N167" s="4" t="s">
        <v>3057</v>
      </c>
      <c r="O167" s="4" t="s">
        <v>3057</v>
      </c>
      <c r="P167" s="4" t="s">
        <v>3057</v>
      </c>
      <c r="Q167" s="4" t="s">
        <v>3057</v>
      </c>
      <c r="R167" s="4" t="s">
        <v>3057</v>
      </c>
      <c r="S167" s="4" t="s">
        <v>3057</v>
      </c>
      <c r="T167" s="4" t="s">
        <v>3057</v>
      </c>
      <c r="U167" s="4">
        <f t="shared" si="18"/>
        <v>75</v>
      </c>
      <c r="V167" s="5">
        <f t="shared" si="19"/>
        <v>37.5</v>
      </c>
      <c r="W167" s="5">
        <f t="shared" si="20"/>
        <v>1.25</v>
      </c>
      <c r="X167" s="7">
        <f t="shared" si="21"/>
        <v>1.1331641104125165E-4</v>
      </c>
      <c r="Y167" s="7">
        <f t="shared" si="26"/>
        <v>0.99612534838745359</v>
      </c>
      <c r="Z167" s="7">
        <f t="shared" si="22"/>
        <v>1</v>
      </c>
      <c r="AA167" t="str">
        <f t="shared" si="23"/>
        <v>C</v>
      </c>
      <c r="AB167" t="str">
        <f t="shared" si="24"/>
        <v>Y</v>
      </c>
      <c r="AC167" t="str">
        <f t="shared" si="25"/>
        <v>CY</v>
      </c>
    </row>
    <row r="168" spans="1:29" x14ac:dyDescent="0.25">
      <c r="A168" t="s">
        <v>1091</v>
      </c>
      <c r="B168" t="s">
        <v>2686</v>
      </c>
      <c r="C168" s="4" t="s">
        <v>3057</v>
      </c>
      <c r="D168" s="4" t="s">
        <v>3057</v>
      </c>
      <c r="E168" s="4" t="s">
        <v>3057</v>
      </c>
      <c r="F168" s="4">
        <v>8</v>
      </c>
      <c r="G168" s="4">
        <v>1</v>
      </c>
      <c r="H168" s="4">
        <v>7.0000000000000009</v>
      </c>
      <c r="I168" s="4">
        <v>5</v>
      </c>
      <c r="J168" s="4">
        <v>5.0000000000000009</v>
      </c>
      <c r="K168" s="4">
        <v>8</v>
      </c>
      <c r="L168" s="4">
        <v>4.0000000000000009</v>
      </c>
      <c r="M168" s="4">
        <v>4.0000000000000009</v>
      </c>
      <c r="N168" s="4">
        <v>1</v>
      </c>
      <c r="O168" s="4">
        <v>3</v>
      </c>
      <c r="P168" s="4">
        <v>9</v>
      </c>
      <c r="Q168" s="4">
        <v>2</v>
      </c>
      <c r="R168" s="4">
        <v>1.9999999999999998</v>
      </c>
      <c r="S168" s="4" t="s">
        <v>3057</v>
      </c>
      <c r="T168" s="4">
        <v>14</v>
      </c>
      <c r="U168" s="4">
        <f t="shared" si="18"/>
        <v>73</v>
      </c>
      <c r="V168" s="5">
        <f t="shared" si="19"/>
        <v>5.2142857142857144</v>
      </c>
      <c r="W168" s="5">
        <f t="shared" si="20"/>
        <v>0.1738095238095238</v>
      </c>
      <c r="X168" s="7">
        <f t="shared" si="21"/>
        <v>1.1029464008015161E-4</v>
      </c>
      <c r="Y168" s="7">
        <f t="shared" si="26"/>
        <v>0.99623564302753376</v>
      </c>
      <c r="Z168" s="7">
        <f t="shared" si="22"/>
        <v>0.67680105901565069</v>
      </c>
      <c r="AA168" t="str">
        <f t="shared" si="23"/>
        <v>C</v>
      </c>
      <c r="AB168" t="str">
        <f t="shared" si="24"/>
        <v>Y</v>
      </c>
      <c r="AC168" t="str">
        <f t="shared" si="25"/>
        <v>CY</v>
      </c>
    </row>
    <row r="169" spans="1:29" x14ac:dyDescent="0.25">
      <c r="A169" t="s">
        <v>742</v>
      </c>
      <c r="B169" t="s">
        <v>2710</v>
      </c>
      <c r="C169" s="4" t="s">
        <v>3057</v>
      </c>
      <c r="D169" s="4" t="s">
        <v>3057</v>
      </c>
      <c r="E169" s="4" t="s">
        <v>3057</v>
      </c>
      <c r="F169" s="4" t="s">
        <v>3057</v>
      </c>
      <c r="G169" s="4">
        <v>12</v>
      </c>
      <c r="H169" s="4">
        <v>1</v>
      </c>
      <c r="I169" s="4">
        <v>8</v>
      </c>
      <c r="J169" s="4" t="s">
        <v>3057</v>
      </c>
      <c r="K169" s="4">
        <v>7</v>
      </c>
      <c r="L169" s="4">
        <v>4</v>
      </c>
      <c r="M169" s="4">
        <v>5</v>
      </c>
      <c r="N169" s="4">
        <v>5</v>
      </c>
      <c r="O169" s="4">
        <v>7</v>
      </c>
      <c r="P169" s="4">
        <v>5</v>
      </c>
      <c r="Q169" s="4">
        <v>4</v>
      </c>
      <c r="R169" s="4">
        <v>3</v>
      </c>
      <c r="S169" s="4">
        <v>3</v>
      </c>
      <c r="T169" s="4">
        <v>9</v>
      </c>
      <c r="U169" s="4">
        <f t="shared" si="18"/>
        <v>73</v>
      </c>
      <c r="V169" s="5">
        <f t="shared" si="19"/>
        <v>5.615384615384615</v>
      </c>
      <c r="W169" s="5">
        <f t="shared" si="20"/>
        <v>0.18717948717948715</v>
      </c>
      <c r="X169" s="7">
        <f t="shared" si="21"/>
        <v>1.1029464008015161E-4</v>
      </c>
      <c r="Y169" s="7">
        <f t="shared" si="26"/>
        <v>0.99634593766761392</v>
      </c>
      <c r="Z169" s="7">
        <f t="shared" si="22"/>
        <v>0.50145219774583916</v>
      </c>
      <c r="AA169" t="str">
        <f t="shared" si="23"/>
        <v>C</v>
      </c>
      <c r="AB169" t="str">
        <f t="shared" si="24"/>
        <v>Y</v>
      </c>
      <c r="AC169" t="str">
        <f t="shared" si="25"/>
        <v>CY</v>
      </c>
    </row>
    <row r="170" spans="1:29" x14ac:dyDescent="0.25">
      <c r="A170" t="s">
        <v>1356</v>
      </c>
      <c r="B170" t="s">
        <v>2670</v>
      </c>
      <c r="C170" s="4" t="s">
        <v>3057</v>
      </c>
      <c r="D170" s="4" t="s">
        <v>3057</v>
      </c>
      <c r="E170" s="4" t="s">
        <v>3057</v>
      </c>
      <c r="F170" s="4" t="s">
        <v>3057</v>
      </c>
      <c r="G170" s="4">
        <v>1</v>
      </c>
      <c r="H170" s="4">
        <v>12.5</v>
      </c>
      <c r="I170" s="4">
        <v>1.5000000000000002</v>
      </c>
      <c r="J170" s="4">
        <v>10</v>
      </c>
      <c r="K170" s="4">
        <v>2</v>
      </c>
      <c r="L170" s="4">
        <v>5</v>
      </c>
      <c r="M170" s="4">
        <v>10.999999999999996</v>
      </c>
      <c r="N170" s="4" t="s">
        <v>3057</v>
      </c>
      <c r="O170" s="4" t="s">
        <v>3057</v>
      </c>
      <c r="P170" s="4">
        <v>3.9999999999999996</v>
      </c>
      <c r="Q170" s="4">
        <v>2</v>
      </c>
      <c r="R170" s="4">
        <v>6</v>
      </c>
      <c r="S170" s="4">
        <v>12</v>
      </c>
      <c r="T170" s="4">
        <v>4</v>
      </c>
      <c r="U170" s="4">
        <f t="shared" si="18"/>
        <v>71</v>
      </c>
      <c r="V170" s="5">
        <f t="shared" si="19"/>
        <v>5.916666666666667</v>
      </c>
      <c r="W170" s="5">
        <f t="shared" si="20"/>
        <v>0.19722222222222224</v>
      </c>
      <c r="X170" s="7">
        <f t="shared" si="21"/>
        <v>1.0727286911905156E-4</v>
      </c>
      <c r="Y170" s="7">
        <f t="shared" si="26"/>
        <v>0.99645321053673297</v>
      </c>
      <c r="Z170" s="7">
        <f t="shared" si="22"/>
        <v>0.69927839928486779</v>
      </c>
      <c r="AA170" t="str">
        <f t="shared" si="23"/>
        <v>C</v>
      </c>
      <c r="AB170" t="str">
        <f t="shared" si="24"/>
        <v>Y</v>
      </c>
      <c r="AC170" t="str">
        <f t="shared" si="25"/>
        <v>CY</v>
      </c>
    </row>
    <row r="171" spans="1:29" x14ac:dyDescent="0.25">
      <c r="A171" t="s">
        <v>740</v>
      </c>
      <c r="B171" t="s">
        <v>2708</v>
      </c>
      <c r="C171" s="4" t="s">
        <v>3057</v>
      </c>
      <c r="D171" s="4" t="s">
        <v>3057</v>
      </c>
      <c r="E171" s="4" t="s">
        <v>3057</v>
      </c>
      <c r="F171" s="4" t="s">
        <v>3057</v>
      </c>
      <c r="G171" s="4">
        <v>6</v>
      </c>
      <c r="H171" s="4">
        <v>3</v>
      </c>
      <c r="I171" s="4">
        <v>8</v>
      </c>
      <c r="J171" s="4">
        <v>1</v>
      </c>
      <c r="K171" s="4">
        <v>7</v>
      </c>
      <c r="L171" s="4">
        <v>4</v>
      </c>
      <c r="M171" s="4">
        <v>5</v>
      </c>
      <c r="N171" s="4">
        <v>5</v>
      </c>
      <c r="O171" s="4">
        <v>7</v>
      </c>
      <c r="P171" s="4">
        <v>5</v>
      </c>
      <c r="Q171" s="4">
        <v>4</v>
      </c>
      <c r="R171" s="4">
        <v>3</v>
      </c>
      <c r="S171" s="4">
        <v>3</v>
      </c>
      <c r="T171" s="4">
        <v>9</v>
      </c>
      <c r="U171" s="4">
        <f t="shared" si="18"/>
        <v>70</v>
      </c>
      <c r="V171" s="5">
        <f t="shared" si="19"/>
        <v>5</v>
      </c>
      <c r="W171" s="5">
        <f t="shared" si="20"/>
        <v>0.16666666666666666</v>
      </c>
      <c r="X171" s="7">
        <f t="shared" si="21"/>
        <v>1.0576198363850155E-4</v>
      </c>
      <c r="Y171" s="7">
        <f t="shared" si="26"/>
        <v>0.99655897252037151</v>
      </c>
      <c r="Z171" s="7">
        <f t="shared" si="22"/>
        <v>0.42761798705987902</v>
      </c>
      <c r="AA171" t="str">
        <f t="shared" si="23"/>
        <v>C</v>
      </c>
      <c r="AB171" t="str">
        <f t="shared" si="24"/>
        <v>X</v>
      </c>
      <c r="AC171" t="str">
        <f t="shared" si="25"/>
        <v>CX</v>
      </c>
    </row>
    <row r="172" spans="1:29" x14ac:dyDescent="0.25">
      <c r="A172" t="s">
        <v>741</v>
      </c>
      <c r="B172" t="s">
        <v>2709</v>
      </c>
      <c r="C172" s="4" t="s">
        <v>3057</v>
      </c>
      <c r="D172" s="4" t="s">
        <v>3057</v>
      </c>
      <c r="E172" s="4" t="s">
        <v>3057</v>
      </c>
      <c r="F172" s="4" t="s">
        <v>3057</v>
      </c>
      <c r="G172" s="4">
        <v>4</v>
      </c>
      <c r="H172" s="4">
        <v>4</v>
      </c>
      <c r="I172" s="4">
        <v>8</v>
      </c>
      <c r="J172" s="4" t="s">
        <v>3057</v>
      </c>
      <c r="K172" s="4">
        <v>7</v>
      </c>
      <c r="L172" s="4">
        <v>4</v>
      </c>
      <c r="M172" s="4">
        <v>5</v>
      </c>
      <c r="N172" s="4">
        <v>5</v>
      </c>
      <c r="O172" s="4">
        <v>7</v>
      </c>
      <c r="P172" s="4">
        <v>5</v>
      </c>
      <c r="Q172" s="4">
        <v>4</v>
      </c>
      <c r="R172" s="4">
        <v>3</v>
      </c>
      <c r="S172" s="4">
        <v>3</v>
      </c>
      <c r="T172" s="4">
        <v>9</v>
      </c>
      <c r="U172" s="4">
        <f t="shared" si="18"/>
        <v>68</v>
      </c>
      <c r="V172" s="5">
        <f t="shared" si="19"/>
        <v>5.2307692307692308</v>
      </c>
      <c r="W172" s="5">
        <f t="shared" si="20"/>
        <v>0.17435897435897435</v>
      </c>
      <c r="X172" s="7">
        <f t="shared" si="21"/>
        <v>1.027402126774015E-4</v>
      </c>
      <c r="Y172" s="7">
        <f t="shared" si="26"/>
        <v>0.99666171273304893</v>
      </c>
      <c r="Z172" s="7">
        <f t="shared" si="22"/>
        <v>0.35294117647058826</v>
      </c>
      <c r="AA172" t="str">
        <f t="shared" si="23"/>
        <v>C</v>
      </c>
      <c r="AB172" t="str">
        <f t="shared" si="24"/>
        <v>X</v>
      </c>
      <c r="AC172" t="str">
        <f t="shared" si="25"/>
        <v>CX</v>
      </c>
    </row>
    <row r="173" spans="1:29" x14ac:dyDescent="0.25">
      <c r="A173" t="s">
        <v>644</v>
      </c>
      <c r="B173" t="s">
        <v>2714</v>
      </c>
      <c r="C173" s="4" t="s">
        <v>3057</v>
      </c>
      <c r="D173" s="4" t="s">
        <v>3057</v>
      </c>
      <c r="E173" s="4" t="s">
        <v>3057</v>
      </c>
      <c r="F173" s="4">
        <v>5</v>
      </c>
      <c r="G173" s="4">
        <v>5</v>
      </c>
      <c r="H173" s="4">
        <v>12</v>
      </c>
      <c r="I173" s="4">
        <v>3</v>
      </c>
      <c r="J173" s="4">
        <v>4</v>
      </c>
      <c r="K173" s="4">
        <v>4</v>
      </c>
      <c r="L173" s="4">
        <v>4.0000000000000009</v>
      </c>
      <c r="M173" s="4">
        <v>0</v>
      </c>
      <c r="N173" s="4" t="s">
        <v>3057</v>
      </c>
      <c r="O173" s="4">
        <v>3</v>
      </c>
      <c r="P173" s="4">
        <v>3</v>
      </c>
      <c r="Q173" s="4">
        <v>7.0000000000000018</v>
      </c>
      <c r="R173" s="4">
        <v>3</v>
      </c>
      <c r="S173" s="4" t="s">
        <v>3057</v>
      </c>
      <c r="T173" s="4">
        <v>12</v>
      </c>
      <c r="U173" s="4">
        <f t="shared" si="18"/>
        <v>65</v>
      </c>
      <c r="V173" s="5">
        <f t="shared" si="19"/>
        <v>5</v>
      </c>
      <c r="W173" s="5">
        <f t="shared" si="20"/>
        <v>0.16666666666666666</v>
      </c>
      <c r="X173" s="7">
        <f t="shared" si="21"/>
        <v>9.8207556235751432E-5</v>
      </c>
      <c r="Y173" s="7">
        <f t="shared" si="26"/>
        <v>0.99675992028928473</v>
      </c>
      <c r="Z173" s="7">
        <f t="shared" si="22"/>
        <v>0.67024679725513736</v>
      </c>
      <c r="AA173" t="str">
        <f t="shared" si="23"/>
        <v>C</v>
      </c>
      <c r="AB173" t="str">
        <f t="shared" si="24"/>
        <v>Y</v>
      </c>
      <c r="AC173" t="str">
        <f t="shared" si="25"/>
        <v>CY</v>
      </c>
    </row>
    <row r="174" spans="1:29" x14ac:dyDescent="0.25">
      <c r="A174" t="s">
        <v>1875</v>
      </c>
      <c r="B174" t="s">
        <v>2914</v>
      </c>
      <c r="C174" s="4" t="s">
        <v>3057</v>
      </c>
      <c r="D174" s="4" t="s">
        <v>3057</v>
      </c>
      <c r="E174" s="4" t="s">
        <v>3057</v>
      </c>
      <c r="F174" s="4" t="s">
        <v>3057</v>
      </c>
      <c r="G174" s="4" t="s">
        <v>3057</v>
      </c>
      <c r="H174" s="4" t="s">
        <v>3057</v>
      </c>
      <c r="I174" s="4" t="s">
        <v>3057</v>
      </c>
      <c r="J174" s="4" t="s">
        <v>3057</v>
      </c>
      <c r="K174" s="4" t="s">
        <v>3057</v>
      </c>
      <c r="L174" s="4">
        <v>60</v>
      </c>
      <c r="M174" s="4">
        <v>0</v>
      </c>
      <c r="N174" s="4" t="s">
        <v>3057</v>
      </c>
      <c r="O174" s="4" t="s">
        <v>3057</v>
      </c>
      <c r="P174" s="4" t="s">
        <v>3057</v>
      </c>
      <c r="Q174" s="4" t="s">
        <v>3057</v>
      </c>
      <c r="R174" s="4" t="s">
        <v>3057</v>
      </c>
      <c r="S174" s="4" t="s">
        <v>3057</v>
      </c>
      <c r="T174" s="4" t="s">
        <v>3057</v>
      </c>
      <c r="U174" s="4">
        <f t="shared" si="18"/>
        <v>60</v>
      </c>
      <c r="V174" s="5">
        <f t="shared" si="19"/>
        <v>30</v>
      </c>
      <c r="W174" s="5">
        <f t="shared" si="20"/>
        <v>1</v>
      </c>
      <c r="X174" s="7">
        <f t="shared" si="21"/>
        <v>9.0653128833001329E-5</v>
      </c>
      <c r="Y174" s="7">
        <f t="shared" si="26"/>
        <v>0.99685057341811778</v>
      </c>
      <c r="Z174" s="7">
        <f t="shared" si="22"/>
        <v>1</v>
      </c>
      <c r="AA174" t="str">
        <f t="shared" si="23"/>
        <v>C</v>
      </c>
      <c r="AB174" t="str">
        <f t="shared" si="24"/>
        <v>Y</v>
      </c>
      <c r="AC174" t="str">
        <f t="shared" si="25"/>
        <v>CY</v>
      </c>
    </row>
    <row r="175" spans="1:29" x14ac:dyDescent="0.25">
      <c r="A175" t="s">
        <v>921</v>
      </c>
      <c r="B175" t="s">
        <v>2755</v>
      </c>
      <c r="C175" s="4" t="s">
        <v>3057</v>
      </c>
      <c r="D175" s="4" t="s">
        <v>3057</v>
      </c>
      <c r="E175" s="4" t="s">
        <v>3057</v>
      </c>
      <c r="F175" s="4" t="s">
        <v>3057</v>
      </c>
      <c r="G175" s="4" t="s">
        <v>3057</v>
      </c>
      <c r="H175" s="4">
        <v>1.9999999999999998</v>
      </c>
      <c r="I175" s="4">
        <v>4.0000000000000018</v>
      </c>
      <c r="J175" s="4">
        <v>12.000000000000002</v>
      </c>
      <c r="K175" s="4">
        <v>10</v>
      </c>
      <c r="L175" s="4">
        <v>2</v>
      </c>
      <c r="M175" s="4">
        <v>0</v>
      </c>
      <c r="N175" s="4" t="s">
        <v>3057</v>
      </c>
      <c r="O175" s="4" t="s">
        <v>3057</v>
      </c>
      <c r="P175" s="4">
        <v>4</v>
      </c>
      <c r="Q175" s="4">
        <v>13.999999999999996</v>
      </c>
      <c r="R175" s="4">
        <v>7.9999999999999991</v>
      </c>
      <c r="S175" s="4">
        <v>3</v>
      </c>
      <c r="T175" s="4" t="s">
        <v>3057</v>
      </c>
      <c r="U175" s="4">
        <f t="shared" si="18"/>
        <v>59</v>
      </c>
      <c r="V175" s="5">
        <f t="shared" si="19"/>
        <v>5.9</v>
      </c>
      <c r="W175" s="5">
        <f t="shared" si="20"/>
        <v>0.19666666666666668</v>
      </c>
      <c r="X175" s="7">
        <f t="shared" si="21"/>
        <v>8.9142243352451303E-5</v>
      </c>
      <c r="Y175" s="7">
        <f t="shared" si="26"/>
        <v>0.99693971566147022</v>
      </c>
      <c r="Z175" s="7">
        <f t="shared" si="22"/>
        <v>0.76721832527161171</v>
      </c>
      <c r="AA175" t="str">
        <f t="shared" si="23"/>
        <v>C</v>
      </c>
      <c r="AB175" t="str">
        <f t="shared" si="24"/>
        <v>Y</v>
      </c>
      <c r="AC175" t="str">
        <f t="shared" si="25"/>
        <v>CY</v>
      </c>
    </row>
    <row r="176" spans="1:29" x14ac:dyDescent="0.25">
      <c r="A176" t="s">
        <v>646</v>
      </c>
      <c r="B176" t="s">
        <v>2718</v>
      </c>
      <c r="C176" s="4" t="s">
        <v>3057</v>
      </c>
      <c r="D176" s="4" t="s">
        <v>3057</v>
      </c>
      <c r="E176" s="4" t="s">
        <v>3057</v>
      </c>
      <c r="F176" s="4">
        <v>2</v>
      </c>
      <c r="G176" s="4">
        <v>10</v>
      </c>
      <c r="H176" s="4" t="s">
        <v>3057</v>
      </c>
      <c r="I176" s="4">
        <v>6</v>
      </c>
      <c r="J176" s="4">
        <v>17</v>
      </c>
      <c r="K176" s="4">
        <v>4</v>
      </c>
      <c r="L176" s="4" t="s">
        <v>3057</v>
      </c>
      <c r="M176" s="4">
        <v>0</v>
      </c>
      <c r="N176" s="4" t="s">
        <v>3057</v>
      </c>
      <c r="O176" s="4" t="s">
        <v>3057</v>
      </c>
      <c r="P176" s="4" t="s">
        <v>3057</v>
      </c>
      <c r="Q176" s="4">
        <v>9</v>
      </c>
      <c r="R176" s="4" t="s">
        <v>3057</v>
      </c>
      <c r="S176" s="4">
        <v>10</v>
      </c>
      <c r="T176" s="4" t="s">
        <v>3057</v>
      </c>
      <c r="U176" s="4">
        <f t="shared" si="18"/>
        <v>58</v>
      </c>
      <c r="V176" s="5">
        <f t="shared" si="19"/>
        <v>7.25</v>
      </c>
      <c r="W176" s="5">
        <f t="shared" si="20"/>
        <v>0.24166666666666667</v>
      </c>
      <c r="X176" s="7">
        <f t="shared" si="21"/>
        <v>8.7631357871901277E-5</v>
      </c>
      <c r="Y176" s="7">
        <f t="shared" si="26"/>
        <v>0.99702734701934215</v>
      </c>
      <c r="Z176" s="7">
        <f t="shared" si="22"/>
        <v>0.69907361836942394</v>
      </c>
      <c r="AA176" t="str">
        <f t="shared" si="23"/>
        <v>C</v>
      </c>
      <c r="AB176" t="str">
        <f t="shared" si="24"/>
        <v>Y</v>
      </c>
      <c r="AC176" t="str">
        <f t="shared" si="25"/>
        <v>CY</v>
      </c>
    </row>
    <row r="177" spans="1:29" x14ac:dyDescent="0.25">
      <c r="A177" t="s">
        <v>920</v>
      </c>
      <c r="B177" t="s">
        <v>2717</v>
      </c>
      <c r="C177" s="4" t="s">
        <v>3057</v>
      </c>
      <c r="D177" s="4" t="s">
        <v>3057</v>
      </c>
      <c r="E177" s="4" t="s">
        <v>3057</v>
      </c>
      <c r="F177" s="4">
        <v>1.9999999999999998</v>
      </c>
      <c r="G177" s="4">
        <v>5</v>
      </c>
      <c r="H177" s="4" t="s">
        <v>3057</v>
      </c>
      <c r="I177" s="4">
        <v>5</v>
      </c>
      <c r="J177" s="4">
        <v>11</v>
      </c>
      <c r="K177" s="4" t="s">
        <v>3057</v>
      </c>
      <c r="L177" s="4" t="s">
        <v>3057</v>
      </c>
      <c r="M177" s="4">
        <v>0</v>
      </c>
      <c r="N177" s="4" t="s">
        <v>3057</v>
      </c>
      <c r="O177" s="4" t="s">
        <v>3057</v>
      </c>
      <c r="P177" s="4">
        <v>5</v>
      </c>
      <c r="Q177" s="4">
        <v>4</v>
      </c>
      <c r="R177" s="4">
        <v>10</v>
      </c>
      <c r="S177" s="4" t="s">
        <v>3057</v>
      </c>
      <c r="T177" s="4">
        <v>12</v>
      </c>
      <c r="U177" s="4">
        <f t="shared" si="18"/>
        <v>54</v>
      </c>
      <c r="V177" s="5">
        <f t="shared" si="19"/>
        <v>6</v>
      </c>
      <c r="W177" s="5">
        <f t="shared" si="20"/>
        <v>0.2</v>
      </c>
      <c r="X177" s="7">
        <f t="shared" si="21"/>
        <v>8.1587815949701187E-5</v>
      </c>
      <c r="Y177" s="7">
        <f t="shared" si="26"/>
        <v>0.99710893483529184</v>
      </c>
      <c r="Z177" s="7">
        <f t="shared" si="22"/>
        <v>0.6478835438717</v>
      </c>
      <c r="AA177" t="str">
        <f t="shared" si="23"/>
        <v>C</v>
      </c>
      <c r="AB177" t="str">
        <f t="shared" si="24"/>
        <v>Y</v>
      </c>
      <c r="AC177" t="str">
        <f t="shared" si="25"/>
        <v>CY</v>
      </c>
    </row>
    <row r="178" spans="1:29" x14ac:dyDescent="0.25">
      <c r="A178" t="s">
        <v>1708</v>
      </c>
      <c r="B178" t="s">
        <v>2685</v>
      </c>
      <c r="C178" s="4" t="s">
        <v>3057</v>
      </c>
      <c r="D178" s="4" t="s">
        <v>3057</v>
      </c>
      <c r="E178" s="4" t="s">
        <v>3057</v>
      </c>
      <c r="F178" s="4" t="s">
        <v>3057</v>
      </c>
      <c r="G178" s="4" t="s">
        <v>3057</v>
      </c>
      <c r="H178" s="4" t="s">
        <v>3057</v>
      </c>
      <c r="I178" s="4" t="s">
        <v>3057</v>
      </c>
      <c r="J178" s="4">
        <v>17</v>
      </c>
      <c r="K178" s="4">
        <v>5</v>
      </c>
      <c r="L178" s="4">
        <v>4.9999999999999991</v>
      </c>
      <c r="M178" s="4">
        <v>1</v>
      </c>
      <c r="N178" s="4" t="s">
        <v>3057</v>
      </c>
      <c r="O178" s="4">
        <v>2</v>
      </c>
      <c r="P178" s="4" t="s">
        <v>3057</v>
      </c>
      <c r="Q178" s="4">
        <v>5</v>
      </c>
      <c r="R178" s="4">
        <v>5</v>
      </c>
      <c r="S178" s="4" t="s">
        <v>3057</v>
      </c>
      <c r="T178" s="4">
        <v>12</v>
      </c>
      <c r="U178" s="4">
        <f t="shared" si="18"/>
        <v>52</v>
      </c>
      <c r="V178" s="5">
        <f t="shared" si="19"/>
        <v>6.5</v>
      </c>
      <c r="W178" s="5">
        <f t="shared" si="20"/>
        <v>0.21666666666666667</v>
      </c>
      <c r="X178" s="7">
        <f t="shared" si="21"/>
        <v>7.8566044988601148E-5</v>
      </c>
      <c r="Y178" s="7">
        <f t="shared" si="26"/>
        <v>0.99718750088028041</v>
      </c>
      <c r="Z178" s="7">
        <f t="shared" si="22"/>
        <v>0.76923076923076927</v>
      </c>
      <c r="AA178" t="str">
        <f t="shared" si="23"/>
        <v>C</v>
      </c>
      <c r="AB178" t="str">
        <f t="shared" si="24"/>
        <v>Y</v>
      </c>
      <c r="AC178" t="str">
        <f t="shared" si="25"/>
        <v>CY</v>
      </c>
    </row>
    <row r="179" spans="1:29" x14ac:dyDescent="0.25">
      <c r="A179" t="s">
        <v>2258</v>
      </c>
      <c r="B179" t="s">
        <v>2622</v>
      </c>
      <c r="C179" s="4" t="s">
        <v>3057</v>
      </c>
      <c r="D179" s="4" t="s">
        <v>3057</v>
      </c>
      <c r="E179" s="4" t="s">
        <v>3057</v>
      </c>
      <c r="F179" s="4" t="s">
        <v>3057</v>
      </c>
      <c r="G179" s="4" t="s">
        <v>3057</v>
      </c>
      <c r="H179" s="4" t="s">
        <v>3057</v>
      </c>
      <c r="I179" s="4" t="s">
        <v>3057</v>
      </c>
      <c r="J179" s="4" t="s">
        <v>3057</v>
      </c>
      <c r="K179" s="4" t="s">
        <v>3057</v>
      </c>
      <c r="L179" s="4" t="s">
        <v>3057</v>
      </c>
      <c r="M179" s="4">
        <v>0</v>
      </c>
      <c r="N179" s="4" t="s">
        <v>3057</v>
      </c>
      <c r="O179" s="4" t="s">
        <v>3057</v>
      </c>
      <c r="P179" s="4" t="s">
        <v>3057</v>
      </c>
      <c r="Q179" s="4" t="s">
        <v>3057</v>
      </c>
      <c r="R179" s="4">
        <v>50</v>
      </c>
      <c r="S179" s="4" t="s">
        <v>3057</v>
      </c>
      <c r="T179" s="4" t="s">
        <v>3057</v>
      </c>
      <c r="U179" s="4">
        <f t="shared" si="18"/>
        <v>50</v>
      </c>
      <c r="V179" s="5">
        <f t="shared" si="19"/>
        <v>25</v>
      </c>
      <c r="W179" s="5">
        <f t="shared" si="20"/>
        <v>0.83333333333333337</v>
      </c>
      <c r="X179" s="7">
        <f t="shared" si="21"/>
        <v>7.554427402750111E-5</v>
      </c>
      <c r="Y179" s="7">
        <f t="shared" si="26"/>
        <v>0.99726304515430786</v>
      </c>
      <c r="Z179" s="7">
        <f t="shared" si="22"/>
        <v>1</v>
      </c>
      <c r="AA179" t="str">
        <f t="shared" si="23"/>
        <v>C</v>
      </c>
      <c r="AB179" t="str">
        <f t="shared" si="24"/>
        <v>Y</v>
      </c>
      <c r="AC179" t="str">
        <f t="shared" si="25"/>
        <v>CY</v>
      </c>
    </row>
    <row r="180" spans="1:29" x14ac:dyDescent="0.25">
      <c r="A180" t="s">
        <v>1523</v>
      </c>
      <c r="B180" t="s">
        <v>2896</v>
      </c>
      <c r="C180" s="4" t="s">
        <v>3057</v>
      </c>
      <c r="D180" s="4" t="s">
        <v>3057</v>
      </c>
      <c r="E180" s="4" t="s">
        <v>3057</v>
      </c>
      <c r="F180" s="4" t="s">
        <v>3057</v>
      </c>
      <c r="G180" s="4" t="s">
        <v>3057</v>
      </c>
      <c r="H180" s="4">
        <v>6</v>
      </c>
      <c r="I180" s="4" t="s">
        <v>3057</v>
      </c>
      <c r="J180" s="4" t="s">
        <v>3057</v>
      </c>
      <c r="K180" s="4" t="s">
        <v>3057</v>
      </c>
      <c r="L180" s="4">
        <v>44</v>
      </c>
      <c r="M180" s="4">
        <v>0</v>
      </c>
      <c r="N180" s="4" t="s">
        <v>3057</v>
      </c>
      <c r="O180" s="4" t="s">
        <v>3057</v>
      </c>
      <c r="P180" s="4" t="s">
        <v>3057</v>
      </c>
      <c r="Q180" s="4" t="s">
        <v>3057</v>
      </c>
      <c r="R180" s="4" t="s">
        <v>3057</v>
      </c>
      <c r="S180" s="4" t="s">
        <v>3057</v>
      </c>
      <c r="T180" s="4" t="s">
        <v>3057</v>
      </c>
      <c r="U180" s="4">
        <f t="shared" si="18"/>
        <v>50</v>
      </c>
      <c r="V180" s="5">
        <f t="shared" si="19"/>
        <v>16.666666666666668</v>
      </c>
      <c r="W180" s="5">
        <f t="shared" si="20"/>
        <v>0.55555555555555558</v>
      </c>
      <c r="X180" s="7">
        <f t="shared" si="21"/>
        <v>7.554427402750111E-5</v>
      </c>
      <c r="Y180" s="7">
        <f t="shared" si="26"/>
        <v>0.99733858942833531</v>
      </c>
      <c r="Z180" s="7">
        <f t="shared" si="22"/>
        <v>1.1689311356961964</v>
      </c>
      <c r="AA180" t="str">
        <f t="shared" si="23"/>
        <v>C</v>
      </c>
      <c r="AB180" t="str">
        <f t="shared" si="24"/>
        <v>Z</v>
      </c>
      <c r="AC180" t="str">
        <f t="shared" si="25"/>
        <v>CZ</v>
      </c>
    </row>
    <row r="181" spans="1:29" x14ac:dyDescent="0.25">
      <c r="A181" t="s">
        <v>2022</v>
      </c>
      <c r="B181" t="s">
        <v>2929</v>
      </c>
      <c r="C181" s="4" t="s">
        <v>3057</v>
      </c>
      <c r="D181" s="4" t="s">
        <v>3057</v>
      </c>
      <c r="E181" s="4" t="s">
        <v>3057</v>
      </c>
      <c r="F181" s="4" t="s">
        <v>3057</v>
      </c>
      <c r="G181" s="4" t="s">
        <v>3057</v>
      </c>
      <c r="H181" s="4" t="s">
        <v>3057</v>
      </c>
      <c r="I181" s="4" t="s">
        <v>3057</v>
      </c>
      <c r="J181" s="4" t="s">
        <v>3057</v>
      </c>
      <c r="K181" s="4" t="s">
        <v>3057</v>
      </c>
      <c r="L181" s="4" t="s">
        <v>3057</v>
      </c>
      <c r="M181" s="4">
        <v>0</v>
      </c>
      <c r="N181" s="4" t="s">
        <v>3057</v>
      </c>
      <c r="O181" s="4">
        <v>50</v>
      </c>
      <c r="P181" s="4" t="s">
        <v>3057</v>
      </c>
      <c r="Q181" s="4" t="s">
        <v>3057</v>
      </c>
      <c r="R181" s="4" t="s">
        <v>3057</v>
      </c>
      <c r="S181" s="4" t="s">
        <v>3057</v>
      </c>
      <c r="T181" s="4" t="s">
        <v>3057</v>
      </c>
      <c r="U181" s="4">
        <f t="shared" si="18"/>
        <v>50</v>
      </c>
      <c r="V181" s="5">
        <f t="shared" si="19"/>
        <v>25</v>
      </c>
      <c r="W181" s="5">
        <f t="shared" si="20"/>
        <v>0.83333333333333337</v>
      </c>
      <c r="X181" s="7">
        <f t="shared" si="21"/>
        <v>7.554427402750111E-5</v>
      </c>
      <c r="Y181" s="7">
        <f t="shared" si="26"/>
        <v>0.99741413370236276</v>
      </c>
      <c r="Z181" s="7">
        <f t="shared" si="22"/>
        <v>1</v>
      </c>
      <c r="AA181" t="str">
        <f t="shared" si="23"/>
        <v>C</v>
      </c>
      <c r="AB181" t="str">
        <f t="shared" si="24"/>
        <v>Y</v>
      </c>
      <c r="AC181" t="str">
        <f t="shared" si="25"/>
        <v>CY</v>
      </c>
    </row>
    <row r="182" spans="1:29" x14ac:dyDescent="0.25">
      <c r="A182" t="s">
        <v>2133</v>
      </c>
      <c r="B182" t="s">
        <v>2949</v>
      </c>
      <c r="C182" s="4" t="s">
        <v>3057</v>
      </c>
      <c r="D182" s="4" t="s">
        <v>3057</v>
      </c>
      <c r="E182" s="4" t="s">
        <v>3057</v>
      </c>
      <c r="F182" s="4" t="s">
        <v>3057</v>
      </c>
      <c r="G182" s="4" t="s">
        <v>3057</v>
      </c>
      <c r="H182" s="4" t="s">
        <v>3057</v>
      </c>
      <c r="I182" s="4" t="s">
        <v>3057</v>
      </c>
      <c r="J182" s="4" t="s">
        <v>3057</v>
      </c>
      <c r="K182" s="4" t="s">
        <v>3057</v>
      </c>
      <c r="L182" s="4" t="s">
        <v>3057</v>
      </c>
      <c r="M182" s="4">
        <v>0</v>
      </c>
      <c r="N182" s="4" t="s">
        <v>3057</v>
      </c>
      <c r="O182" s="4" t="s">
        <v>3057</v>
      </c>
      <c r="P182" s="4">
        <v>30</v>
      </c>
      <c r="Q182" s="4">
        <v>20</v>
      </c>
      <c r="R182" s="4" t="s">
        <v>3057</v>
      </c>
      <c r="S182" s="4" t="s">
        <v>3057</v>
      </c>
      <c r="T182" s="4" t="s">
        <v>3057</v>
      </c>
      <c r="U182" s="4">
        <f t="shared" si="18"/>
        <v>50</v>
      </c>
      <c r="V182" s="5">
        <f t="shared" si="19"/>
        <v>16.666666666666668</v>
      </c>
      <c r="W182" s="5">
        <f t="shared" si="20"/>
        <v>0.55555555555555558</v>
      </c>
      <c r="X182" s="7">
        <f t="shared" si="21"/>
        <v>7.554427402750111E-5</v>
      </c>
      <c r="Y182" s="7">
        <f t="shared" si="26"/>
        <v>0.99748967797639021</v>
      </c>
      <c r="Z182" s="7">
        <f t="shared" si="22"/>
        <v>0.74833147735478822</v>
      </c>
      <c r="AA182" t="str">
        <f t="shared" si="23"/>
        <v>C</v>
      </c>
      <c r="AB182" t="str">
        <f t="shared" si="24"/>
        <v>Y</v>
      </c>
      <c r="AC182" t="str">
        <f t="shared" si="25"/>
        <v>CY</v>
      </c>
    </row>
    <row r="183" spans="1:29" x14ac:dyDescent="0.25">
      <c r="A183" t="s">
        <v>2134</v>
      </c>
      <c r="B183" t="s">
        <v>2950</v>
      </c>
      <c r="C183" s="4" t="s">
        <v>3057</v>
      </c>
      <c r="D183" s="4" t="s">
        <v>3057</v>
      </c>
      <c r="E183" s="4" t="s">
        <v>3057</v>
      </c>
      <c r="F183" s="4" t="s">
        <v>3057</v>
      </c>
      <c r="G183" s="4" t="s">
        <v>3057</v>
      </c>
      <c r="H183" s="4" t="s">
        <v>3057</v>
      </c>
      <c r="I183" s="4" t="s">
        <v>3057</v>
      </c>
      <c r="J183" s="4" t="s">
        <v>3057</v>
      </c>
      <c r="K183" s="4" t="s">
        <v>3057</v>
      </c>
      <c r="L183" s="4" t="s">
        <v>3057</v>
      </c>
      <c r="M183" s="4">
        <v>0</v>
      </c>
      <c r="N183" s="4" t="s">
        <v>3057</v>
      </c>
      <c r="O183" s="4" t="s">
        <v>3057</v>
      </c>
      <c r="P183" s="4">
        <v>50</v>
      </c>
      <c r="Q183" s="4" t="s">
        <v>3057</v>
      </c>
      <c r="R183" s="4" t="s">
        <v>3057</v>
      </c>
      <c r="S183" s="4" t="s">
        <v>3057</v>
      </c>
      <c r="T183" s="4" t="s">
        <v>3057</v>
      </c>
      <c r="U183" s="4">
        <f t="shared" si="18"/>
        <v>50</v>
      </c>
      <c r="V183" s="5">
        <f t="shared" si="19"/>
        <v>25</v>
      </c>
      <c r="W183" s="5">
        <f t="shared" si="20"/>
        <v>0.83333333333333337</v>
      </c>
      <c r="X183" s="7">
        <f t="shared" si="21"/>
        <v>7.554427402750111E-5</v>
      </c>
      <c r="Y183" s="7">
        <f t="shared" si="26"/>
        <v>0.99756522225041766</v>
      </c>
      <c r="Z183" s="7">
        <f t="shared" si="22"/>
        <v>1</v>
      </c>
      <c r="AA183" t="str">
        <f t="shared" si="23"/>
        <v>C</v>
      </c>
      <c r="AB183" t="str">
        <f t="shared" si="24"/>
        <v>Y</v>
      </c>
      <c r="AC183" t="str">
        <f t="shared" si="25"/>
        <v>CY</v>
      </c>
    </row>
    <row r="184" spans="1:29" x14ac:dyDescent="0.25">
      <c r="A184" t="s">
        <v>2135</v>
      </c>
      <c r="B184" t="s">
        <v>2951</v>
      </c>
      <c r="C184" s="4" t="s">
        <v>3057</v>
      </c>
      <c r="D184" s="4" t="s">
        <v>3057</v>
      </c>
      <c r="E184" s="4" t="s">
        <v>3057</v>
      </c>
      <c r="F184" s="4" t="s">
        <v>3057</v>
      </c>
      <c r="G184" s="4" t="s">
        <v>3057</v>
      </c>
      <c r="H184" s="4" t="s">
        <v>3057</v>
      </c>
      <c r="I184" s="4" t="s">
        <v>3057</v>
      </c>
      <c r="J184" s="4" t="s">
        <v>3057</v>
      </c>
      <c r="K184" s="4" t="s">
        <v>3057</v>
      </c>
      <c r="L184" s="4" t="s">
        <v>3057</v>
      </c>
      <c r="M184" s="4">
        <v>0</v>
      </c>
      <c r="N184" s="4" t="s">
        <v>3057</v>
      </c>
      <c r="O184" s="4" t="s">
        <v>3057</v>
      </c>
      <c r="P184" s="4">
        <v>50</v>
      </c>
      <c r="Q184" s="4" t="s">
        <v>3057</v>
      </c>
      <c r="R184" s="4" t="s">
        <v>3057</v>
      </c>
      <c r="S184" s="4" t="s">
        <v>3057</v>
      </c>
      <c r="T184" s="4" t="s">
        <v>3057</v>
      </c>
      <c r="U184" s="4">
        <f t="shared" si="18"/>
        <v>50</v>
      </c>
      <c r="V184" s="5">
        <f t="shared" si="19"/>
        <v>25</v>
      </c>
      <c r="W184" s="5">
        <f t="shared" si="20"/>
        <v>0.83333333333333337</v>
      </c>
      <c r="X184" s="7">
        <f t="shared" si="21"/>
        <v>7.554427402750111E-5</v>
      </c>
      <c r="Y184" s="7">
        <f t="shared" si="26"/>
        <v>0.99764076652444511</v>
      </c>
      <c r="Z184" s="7">
        <f t="shared" si="22"/>
        <v>1</v>
      </c>
      <c r="AA184" t="str">
        <f t="shared" si="23"/>
        <v>C</v>
      </c>
      <c r="AB184" t="str">
        <f t="shared" si="24"/>
        <v>Y</v>
      </c>
      <c r="AC184" t="str">
        <f t="shared" si="25"/>
        <v>CY</v>
      </c>
    </row>
    <row r="185" spans="1:29" x14ac:dyDescent="0.25">
      <c r="A185" t="s">
        <v>1783</v>
      </c>
      <c r="B185" t="s">
        <v>2928</v>
      </c>
      <c r="C185" s="4" t="s">
        <v>3057</v>
      </c>
      <c r="D185" s="4" t="s">
        <v>3057</v>
      </c>
      <c r="E185" s="4" t="s">
        <v>3057</v>
      </c>
      <c r="F185" s="4" t="s">
        <v>3057</v>
      </c>
      <c r="G185" s="4" t="s">
        <v>3057</v>
      </c>
      <c r="H185" s="4" t="s">
        <v>3057</v>
      </c>
      <c r="I185" s="4" t="s">
        <v>3057</v>
      </c>
      <c r="J185" s="4" t="s">
        <v>3057</v>
      </c>
      <c r="K185" s="4">
        <v>49.999999999999993</v>
      </c>
      <c r="L185" s="4" t="s">
        <v>3057</v>
      </c>
      <c r="M185" s="4">
        <v>0</v>
      </c>
      <c r="N185" s="4" t="s">
        <v>3057</v>
      </c>
      <c r="O185" s="4" t="s">
        <v>3057</v>
      </c>
      <c r="P185" s="4" t="s">
        <v>3057</v>
      </c>
      <c r="Q185" s="4" t="s">
        <v>3057</v>
      </c>
      <c r="R185" s="4" t="s">
        <v>3057</v>
      </c>
      <c r="S185" s="4" t="s">
        <v>3057</v>
      </c>
      <c r="T185" s="4" t="s">
        <v>3057</v>
      </c>
      <c r="U185" s="4">
        <f t="shared" si="18"/>
        <v>49.999999999999993</v>
      </c>
      <c r="V185" s="5">
        <f t="shared" si="19"/>
        <v>24.999999999999996</v>
      </c>
      <c r="W185" s="5">
        <f t="shared" si="20"/>
        <v>0.83333333333333326</v>
      </c>
      <c r="X185" s="7">
        <f t="shared" si="21"/>
        <v>7.5544274027501096E-5</v>
      </c>
      <c r="Y185" s="7">
        <f t="shared" si="26"/>
        <v>0.99771631079847256</v>
      </c>
      <c r="Z185" s="7">
        <f t="shared" si="22"/>
        <v>1</v>
      </c>
      <c r="AA185" t="str">
        <f t="shared" si="23"/>
        <v>C</v>
      </c>
      <c r="AB185" t="str">
        <f t="shared" si="24"/>
        <v>Y</v>
      </c>
      <c r="AC185" t="str">
        <f t="shared" si="25"/>
        <v>CY</v>
      </c>
    </row>
    <row r="186" spans="1:29" x14ac:dyDescent="0.25">
      <c r="A186" t="s">
        <v>2126</v>
      </c>
      <c r="B186" t="s">
        <v>2976</v>
      </c>
      <c r="C186" s="4" t="s">
        <v>3057</v>
      </c>
      <c r="D186" s="4" t="s">
        <v>3057</v>
      </c>
      <c r="E186" s="4" t="s">
        <v>3057</v>
      </c>
      <c r="F186" s="4" t="s">
        <v>3057</v>
      </c>
      <c r="G186" s="4" t="s">
        <v>3057</v>
      </c>
      <c r="H186" s="4" t="s">
        <v>3057</v>
      </c>
      <c r="I186" s="4" t="s">
        <v>3057</v>
      </c>
      <c r="J186" s="4" t="s">
        <v>3057</v>
      </c>
      <c r="K186" s="4" t="s">
        <v>3057</v>
      </c>
      <c r="L186" s="4" t="s">
        <v>3057</v>
      </c>
      <c r="M186" s="4">
        <v>0</v>
      </c>
      <c r="N186" s="4" t="s">
        <v>3057</v>
      </c>
      <c r="O186" s="4" t="s">
        <v>3057</v>
      </c>
      <c r="P186" s="4">
        <v>49.999999999999993</v>
      </c>
      <c r="Q186" s="4" t="s">
        <v>3057</v>
      </c>
      <c r="R186" s="4" t="s">
        <v>3057</v>
      </c>
      <c r="S186" s="4" t="s">
        <v>3057</v>
      </c>
      <c r="T186" s="4" t="s">
        <v>3057</v>
      </c>
      <c r="U186" s="4">
        <f t="shared" si="18"/>
        <v>49.999999999999993</v>
      </c>
      <c r="V186" s="5">
        <f t="shared" si="19"/>
        <v>24.999999999999996</v>
      </c>
      <c r="W186" s="5">
        <f t="shared" si="20"/>
        <v>0.83333333333333326</v>
      </c>
      <c r="X186" s="7">
        <f t="shared" si="21"/>
        <v>7.5544274027501096E-5</v>
      </c>
      <c r="Y186" s="7">
        <f t="shared" si="26"/>
        <v>0.99779185507250001</v>
      </c>
      <c r="Z186" s="7">
        <f t="shared" si="22"/>
        <v>1</v>
      </c>
      <c r="AA186" t="str">
        <f t="shared" si="23"/>
        <v>C</v>
      </c>
      <c r="AB186" t="str">
        <f t="shared" si="24"/>
        <v>Y</v>
      </c>
      <c r="AC186" t="str">
        <f t="shared" si="25"/>
        <v>CY</v>
      </c>
    </row>
    <row r="187" spans="1:29" x14ac:dyDescent="0.25">
      <c r="A187" t="s">
        <v>553</v>
      </c>
      <c r="B187" t="s">
        <v>2691</v>
      </c>
      <c r="C187" s="4" t="s">
        <v>3057</v>
      </c>
      <c r="D187" s="4" t="s">
        <v>3057</v>
      </c>
      <c r="E187" s="4" t="s">
        <v>3057</v>
      </c>
      <c r="F187" s="4">
        <v>45</v>
      </c>
      <c r="G187" s="4" t="s">
        <v>3057</v>
      </c>
      <c r="H187" s="4" t="s">
        <v>3057</v>
      </c>
      <c r="I187" s="4" t="s">
        <v>3057</v>
      </c>
      <c r="J187" s="4" t="s">
        <v>3057</v>
      </c>
      <c r="K187" s="4" t="s">
        <v>3057</v>
      </c>
      <c r="L187" s="4" t="s">
        <v>3057</v>
      </c>
      <c r="M187" s="4">
        <v>0</v>
      </c>
      <c r="N187" s="4" t="s">
        <v>3057</v>
      </c>
      <c r="O187" s="4" t="s">
        <v>3057</v>
      </c>
      <c r="P187" s="4" t="s">
        <v>3057</v>
      </c>
      <c r="Q187" s="4" t="s">
        <v>3057</v>
      </c>
      <c r="R187" s="4" t="s">
        <v>3057</v>
      </c>
      <c r="S187" s="4" t="s">
        <v>3057</v>
      </c>
      <c r="T187" s="4" t="s">
        <v>3057</v>
      </c>
      <c r="U187" s="4">
        <f t="shared" si="18"/>
        <v>45</v>
      </c>
      <c r="V187" s="5">
        <f t="shared" si="19"/>
        <v>22.5</v>
      </c>
      <c r="W187" s="5">
        <f t="shared" si="20"/>
        <v>0.75</v>
      </c>
      <c r="X187" s="7">
        <f t="shared" si="21"/>
        <v>6.7989846624750994E-5</v>
      </c>
      <c r="Y187" s="7">
        <f t="shared" si="26"/>
        <v>0.99785984491912472</v>
      </c>
      <c r="Z187" s="7">
        <f t="shared" si="22"/>
        <v>1</v>
      </c>
      <c r="AA187" t="str">
        <f t="shared" si="23"/>
        <v>C</v>
      </c>
      <c r="AB187" t="str">
        <f t="shared" si="24"/>
        <v>Y</v>
      </c>
      <c r="AC187" t="str">
        <f t="shared" si="25"/>
        <v>CY</v>
      </c>
    </row>
    <row r="188" spans="1:29" x14ac:dyDescent="0.25">
      <c r="A188" t="s">
        <v>1087</v>
      </c>
      <c r="B188" t="s">
        <v>2672</v>
      </c>
      <c r="C188" s="4" t="s">
        <v>3057</v>
      </c>
      <c r="D188" s="4" t="s">
        <v>3057</v>
      </c>
      <c r="E188" s="4" t="s">
        <v>3057</v>
      </c>
      <c r="F188" s="4">
        <v>6</v>
      </c>
      <c r="G188" s="4" t="s">
        <v>3057</v>
      </c>
      <c r="H188" s="4">
        <v>8</v>
      </c>
      <c r="I188" s="4" t="s">
        <v>3057</v>
      </c>
      <c r="J188" s="4" t="s">
        <v>3057</v>
      </c>
      <c r="K188" s="4" t="s">
        <v>3057</v>
      </c>
      <c r="L188" s="4" t="s">
        <v>3057</v>
      </c>
      <c r="M188" s="4">
        <v>0</v>
      </c>
      <c r="N188" s="4" t="s">
        <v>3057</v>
      </c>
      <c r="O188" s="4" t="s">
        <v>3057</v>
      </c>
      <c r="P188" s="4">
        <v>10</v>
      </c>
      <c r="Q188" s="4" t="s">
        <v>3057</v>
      </c>
      <c r="R188" s="4">
        <v>20</v>
      </c>
      <c r="S188" s="4" t="s">
        <v>3057</v>
      </c>
      <c r="T188" s="4" t="s">
        <v>3057</v>
      </c>
      <c r="U188" s="4">
        <f t="shared" si="18"/>
        <v>44</v>
      </c>
      <c r="V188" s="5">
        <f t="shared" si="19"/>
        <v>8.8000000000000007</v>
      </c>
      <c r="W188" s="5">
        <f t="shared" si="20"/>
        <v>0.29333333333333333</v>
      </c>
      <c r="X188" s="7">
        <f t="shared" si="21"/>
        <v>6.6478961144200968E-5</v>
      </c>
      <c r="Y188" s="7">
        <f t="shared" si="26"/>
        <v>0.99792632388026892</v>
      </c>
      <c r="Z188" s="7">
        <f t="shared" si="22"/>
        <v>0.74134120137727677</v>
      </c>
      <c r="AA188" t="str">
        <f t="shared" si="23"/>
        <v>C</v>
      </c>
      <c r="AB188" t="str">
        <f t="shared" si="24"/>
        <v>Y</v>
      </c>
      <c r="AC188" t="str">
        <f t="shared" si="25"/>
        <v>CY</v>
      </c>
    </row>
    <row r="189" spans="1:29" x14ac:dyDescent="0.25">
      <c r="A189" t="s">
        <v>469</v>
      </c>
      <c r="B189" t="s">
        <v>2694</v>
      </c>
      <c r="C189" s="4" t="s">
        <v>3057</v>
      </c>
      <c r="D189" s="4" t="s">
        <v>3057</v>
      </c>
      <c r="E189" s="4" t="s">
        <v>3057</v>
      </c>
      <c r="F189" s="4" t="s">
        <v>3057</v>
      </c>
      <c r="G189" s="4">
        <v>6</v>
      </c>
      <c r="H189" s="4">
        <v>4</v>
      </c>
      <c r="I189" s="4" t="s">
        <v>3057</v>
      </c>
      <c r="J189" s="4">
        <v>0.33339999999999997</v>
      </c>
      <c r="K189" s="4">
        <v>14.555400000000001</v>
      </c>
      <c r="L189" s="4" t="s">
        <v>3057</v>
      </c>
      <c r="M189" s="4">
        <v>0</v>
      </c>
      <c r="N189" s="4" t="s">
        <v>3057</v>
      </c>
      <c r="O189" s="4" t="s">
        <v>3057</v>
      </c>
      <c r="P189" s="4" t="s">
        <v>3057</v>
      </c>
      <c r="Q189" s="4" t="s">
        <v>3057</v>
      </c>
      <c r="R189" s="4">
        <v>9</v>
      </c>
      <c r="S189" s="4" t="s">
        <v>3057</v>
      </c>
      <c r="T189" s="4">
        <v>7</v>
      </c>
      <c r="U189" s="4">
        <f t="shared" si="18"/>
        <v>40.888800000000003</v>
      </c>
      <c r="V189" s="5">
        <f t="shared" si="19"/>
        <v>5.8412571428571436</v>
      </c>
      <c r="W189" s="5">
        <f t="shared" si="20"/>
        <v>0.19470857142857145</v>
      </c>
      <c r="X189" s="7">
        <f t="shared" si="21"/>
        <v>6.1778294237113749E-5</v>
      </c>
      <c r="Y189" s="7">
        <f t="shared" si="26"/>
        <v>0.99798810217450606</v>
      </c>
      <c r="Z189" s="7">
        <f t="shared" si="22"/>
        <v>0.80591810607670711</v>
      </c>
      <c r="AA189" t="str">
        <f t="shared" si="23"/>
        <v>C</v>
      </c>
      <c r="AB189" t="str">
        <f t="shared" si="24"/>
        <v>Y</v>
      </c>
      <c r="AC189" t="str">
        <f t="shared" si="25"/>
        <v>CY</v>
      </c>
    </row>
    <row r="190" spans="1:29" x14ac:dyDescent="0.25">
      <c r="A190" t="s">
        <v>1624</v>
      </c>
      <c r="B190" t="s">
        <v>2991</v>
      </c>
      <c r="C190" s="4" t="s">
        <v>3057</v>
      </c>
      <c r="D190" s="4" t="s">
        <v>3057</v>
      </c>
      <c r="E190" s="4" t="s">
        <v>3057</v>
      </c>
      <c r="F190" s="4" t="s">
        <v>3057</v>
      </c>
      <c r="G190" s="4" t="s">
        <v>3057</v>
      </c>
      <c r="H190" s="4" t="s">
        <v>3057</v>
      </c>
      <c r="I190" s="4">
        <v>10</v>
      </c>
      <c r="J190" s="4">
        <v>3</v>
      </c>
      <c r="K190" s="4">
        <v>2</v>
      </c>
      <c r="L190" s="4">
        <v>15</v>
      </c>
      <c r="M190" s="4">
        <v>0</v>
      </c>
      <c r="N190" s="4" t="s">
        <v>3057</v>
      </c>
      <c r="O190" s="4" t="s">
        <v>3057</v>
      </c>
      <c r="P190" s="4">
        <v>10</v>
      </c>
      <c r="Q190" s="4" t="s">
        <v>3057</v>
      </c>
      <c r="R190" s="4" t="s">
        <v>3057</v>
      </c>
      <c r="S190" s="4" t="s">
        <v>3057</v>
      </c>
      <c r="T190" s="4" t="s">
        <v>3057</v>
      </c>
      <c r="U190" s="4">
        <f t="shared" si="18"/>
        <v>40</v>
      </c>
      <c r="V190" s="5">
        <f t="shared" si="19"/>
        <v>6.666666666666667</v>
      </c>
      <c r="W190" s="5">
        <f t="shared" si="20"/>
        <v>0.22222222222222224</v>
      </c>
      <c r="X190" s="7">
        <f t="shared" si="21"/>
        <v>6.0435419222000884E-5</v>
      </c>
      <c r="Y190" s="7">
        <f t="shared" si="26"/>
        <v>0.99804853759372802</v>
      </c>
      <c r="Z190" s="7">
        <f t="shared" si="22"/>
        <v>0.80156097709406982</v>
      </c>
      <c r="AA190" t="str">
        <f t="shared" si="23"/>
        <v>C</v>
      </c>
      <c r="AB190" t="str">
        <f t="shared" si="24"/>
        <v>Y</v>
      </c>
      <c r="AC190" t="str">
        <f t="shared" si="25"/>
        <v>CY</v>
      </c>
    </row>
    <row r="191" spans="1:29" x14ac:dyDescent="0.25">
      <c r="A191" t="s">
        <v>680</v>
      </c>
      <c r="B191" t="s">
        <v>2735</v>
      </c>
      <c r="C191" s="4" t="s">
        <v>3057</v>
      </c>
      <c r="D191" s="4" t="s">
        <v>3057</v>
      </c>
      <c r="E191" s="4" t="s">
        <v>3057</v>
      </c>
      <c r="F191" s="4" t="s">
        <v>3057</v>
      </c>
      <c r="G191" s="4" t="s">
        <v>3057</v>
      </c>
      <c r="H191" s="4" t="s">
        <v>3057</v>
      </c>
      <c r="I191" s="4" t="s">
        <v>3057</v>
      </c>
      <c r="J191" s="4">
        <v>13</v>
      </c>
      <c r="K191" s="4">
        <v>6.9999999999999964</v>
      </c>
      <c r="L191" s="4" t="s">
        <v>3057</v>
      </c>
      <c r="M191" s="4">
        <v>0</v>
      </c>
      <c r="N191" s="4" t="s">
        <v>3057</v>
      </c>
      <c r="O191" s="4" t="s">
        <v>3057</v>
      </c>
      <c r="P191" s="4">
        <v>10</v>
      </c>
      <c r="Q191" s="4" t="s">
        <v>3057</v>
      </c>
      <c r="R191" s="4" t="s">
        <v>3057</v>
      </c>
      <c r="S191" s="4">
        <v>9</v>
      </c>
      <c r="T191" s="4" t="s">
        <v>3057</v>
      </c>
      <c r="U191" s="4">
        <f t="shared" si="18"/>
        <v>39</v>
      </c>
      <c r="V191" s="5">
        <f t="shared" si="19"/>
        <v>7.8</v>
      </c>
      <c r="W191" s="5">
        <f t="shared" si="20"/>
        <v>0.26</v>
      </c>
      <c r="X191" s="7">
        <f t="shared" si="21"/>
        <v>5.8924533741450858E-5</v>
      </c>
      <c r="Y191" s="7">
        <f t="shared" si="26"/>
        <v>0.99810746212746948</v>
      </c>
      <c r="Z191" s="7">
        <f t="shared" si="22"/>
        <v>0.55824464248915995</v>
      </c>
      <c r="AA191" t="str">
        <f t="shared" si="23"/>
        <v>C</v>
      </c>
      <c r="AB191" t="str">
        <f t="shared" si="24"/>
        <v>Y</v>
      </c>
      <c r="AC191" t="str">
        <f t="shared" si="25"/>
        <v>CY</v>
      </c>
    </row>
    <row r="192" spans="1:29" x14ac:dyDescent="0.25">
      <c r="A192" t="s">
        <v>1346</v>
      </c>
      <c r="B192" t="s">
        <v>2820</v>
      </c>
      <c r="C192" s="4" t="s">
        <v>3057</v>
      </c>
      <c r="D192" s="4" t="s">
        <v>3057</v>
      </c>
      <c r="E192" s="4" t="s">
        <v>3057</v>
      </c>
      <c r="F192" s="4" t="s">
        <v>3057</v>
      </c>
      <c r="G192" s="4">
        <v>7</v>
      </c>
      <c r="H192" s="4">
        <v>2</v>
      </c>
      <c r="I192" s="4" t="s">
        <v>3057</v>
      </c>
      <c r="J192" s="4">
        <v>6</v>
      </c>
      <c r="K192" s="4">
        <v>4.0000000000000009</v>
      </c>
      <c r="L192" s="4">
        <v>6</v>
      </c>
      <c r="M192" s="4">
        <v>1</v>
      </c>
      <c r="N192" s="4" t="s">
        <v>3057</v>
      </c>
      <c r="O192" s="4" t="s">
        <v>3057</v>
      </c>
      <c r="P192" s="4" t="s">
        <v>3057</v>
      </c>
      <c r="Q192" s="4">
        <v>7.9999999999999991</v>
      </c>
      <c r="R192" s="4">
        <v>4</v>
      </c>
      <c r="S192" s="4" t="s">
        <v>3057</v>
      </c>
      <c r="T192" s="4" t="s">
        <v>3057</v>
      </c>
      <c r="U192" s="4">
        <f t="shared" si="18"/>
        <v>38</v>
      </c>
      <c r="V192" s="5">
        <f t="shared" si="19"/>
        <v>4.75</v>
      </c>
      <c r="W192" s="5">
        <f t="shared" si="20"/>
        <v>0.15833333333333333</v>
      </c>
      <c r="X192" s="7">
        <f t="shared" si="21"/>
        <v>5.7413648260900839E-5</v>
      </c>
      <c r="Y192" s="7">
        <f t="shared" si="26"/>
        <v>0.99816487577573043</v>
      </c>
      <c r="Z192" s="7">
        <f t="shared" si="22"/>
        <v>0.47949650416548945</v>
      </c>
      <c r="AA192" t="str">
        <f t="shared" si="23"/>
        <v>C</v>
      </c>
      <c r="AB192" t="str">
        <f t="shared" si="24"/>
        <v>X</v>
      </c>
      <c r="AC192" t="str">
        <f t="shared" si="25"/>
        <v>CX</v>
      </c>
    </row>
    <row r="193" spans="1:29" x14ac:dyDescent="0.25">
      <c r="A193" t="s">
        <v>1350</v>
      </c>
      <c r="B193" t="s">
        <v>2880</v>
      </c>
      <c r="C193" s="4" t="s">
        <v>3057</v>
      </c>
      <c r="D193" s="4" t="s">
        <v>3057</v>
      </c>
      <c r="E193" s="4" t="s">
        <v>3057</v>
      </c>
      <c r="F193" s="4" t="s">
        <v>3057</v>
      </c>
      <c r="G193" s="4">
        <v>10</v>
      </c>
      <c r="H193" s="4" t="s">
        <v>3057</v>
      </c>
      <c r="I193" s="4">
        <v>20.000000000000004</v>
      </c>
      <c r="J193" s="4">
        <v>7.2</v>
      </c>
      <c r="K193" s="4" t="s">
        <v>3057</v>
      </c>
      <c r="L193" s="4" t="s">
        <v>3057</v>
      </c>
      <c r="M193" s="4">
        <v>0</v>
      </c>
      <c r="N193" s="4" t="s">
        <v>3057</v>
      </c>
      <c r="O193" s="4" t="s">
        <v>3057</v>
      </c>
      <c r="P193" s="4" t="s">
        <v>3057</v>
      </c>
      <c r="Q193" s="4" t="s">
        <v>3057</v>
      </c>
      <c r="R193" s="4" t="s">
        <v>3057</v>
      </c>
      <c r="S193" s="4" t="s">
        <v>3057</v>
      </c>
      <c r="T193" s="4" t="s">
        <v>3057</v>
      </c>
      <c r="U193" s="4">
        <f t="shared" si="18"/>
        <v>37.200000000000003</v>
      </c>
      <c r="V193" s="5">
        <f t="shared" si="19"/>
        <v>9.3000000000000007</v>
      </c>
      <c r="W193" s="5">
        <f t="shared" si="20"/>
        <v>0.31</v>
      </c>
      <c r="X193" s="7">
        <f t="shared" si="21"/>
        <v>5.6204939876460825E-5</v>
      </c>
      <c r="Y193" s="7">
        <f t="shared" si="26"/>
        <v>0.99822108071560689</v>
      </c>
      <c r="Z193" s="7">
        <f t="shared" si="22"/>
        <v>0.77142575738432018</v>
      </c>
      <c r="AA193" t="str">
        <f t="shared" si="23"/>
        <v>C</v>
      </c>
      <c r="AB193" t="str">
        <f t="shared" si="24"/>
        <v>Y</v>
      </c>
      <c r="AC193" t="str">
        <f t="shared" si="25"/>
        <v>CY</v>
      </c>
    </row>
    <row r="194" spans="1:29" x14ac:dyDescent="0.25">
      <c r="A194" t="s">
        <v>1628</v>
      </c>
      <c r="B194" t="s">
        <v>2765</v>
      </c>
      <c r="C194" s="4" t="s">
        <v>3057</v>
      </c>
      <c r="D194" s="4" t="s">
        <v>3057</v>
      </c>
      <c r="E194" s="4" t="s">
        <v>3057</v>
      </c>
      <c r="F194" s="4" t="s">
        <v>3057</v>
      </c>
      <c r="G194" s="4" t="s">
        <v>3057</v>
      </c>
      <c r="H194" s="4" t="s">
        <v>3057</v>
      </c>
      <c r="I194" s="4">
        <v>5</v>
      </c>
      <c r="J194" s="4" t="s">
        <v>3057</v>
      </c>
      <c r="K194" s="4" t="s">
        <v>3057</v>
      </c>
      <c r="L194" s="4" t="s">
        <v>3057</v>
      </c>
      <c r="M194" s="4">
        <v>10</v>
      </c>
      <c r="N194" s="4" t="s">
        <v>3057</v>
      </c>
      <c r="O194" s="4">
        <v>5</v>
      </c>
      <c r="P194" s="4">
        <v>13.96</v>
      </c>
      <c r="Q194" s="4" t="s">
        <v>3057</v>
      </c>
      <c r="R194" s="4" t="s">
        <v>3057</v>
      </c>
      <c r="S194" s="4" t="s">
        <v>3057</v>
      </c>
      <c r="T194" s="4">
        <v>3</v>
      </c>
      <c r="U194" s="4">
        <f t="shared" ref="U194:U257" si="27">SUM(C194:T194)</f>
        <v>36.96</v>
      </c>
      <c r="V194" s="5">
        <f t="shared" ref="V194:V257" si="28">AVERAGE(C194:T194)</f>
        <v>7.3920000000000003</v>
      </c>
      <c r="W194" s="5">
        <f t="shared" ref="W194:W257" si="29">V194/30</f>
        <v>0.24640000000000001</v>
      </c>
      <c r="X194" s="7">
        <f t="shared" si="21"/>
        <v>5.5842327361128817E-5</v>
      </c>
      <c r="Y194" s="7">
        <f t="shared" si="26"/>
        <v>0.998276923042968</v>
      </c>
      <c r="Z194" s="7">
        <f t="shared" si="22"/>
        <v>0.543397826530987</v>
      </c>
      <c r="AA194" t="str">
        <f t="shared" si="23"/>
        <v>C</v>
      </c>
      <c r="AB194" t="str">
        <f t="shared" si="24"/>
        <v>Y</v>
      </c>
      <c r="AC194" t="str">
        <f t="shared" si="25"/>
        <v>CY</v>
      </c>
    </row>
    <row r="195" spans="1:29" x14ac:dyDescent="0.25">
      <c r="A195" t="s">
        <v>951</v>
      </c>
      <c r="B195" t="s">
        <v>2645</v>
      </c>
      <c r="C195" s="4" t="s">
        <v>3057</v>
      </c>
      <c r="D195" s="4" t="s">
        <v>3057</v>
      </c>
      <c r="E195" s="4" t="s">
        <v>3057</v>
      </c>
      <c r="F195" s="4" t="s">
        <v>3057</v>
      </c>
      <c r="G195" s="4" t="s">
        <v>3057</v>
      </c>
      <c r="H195" s="4" t="s">
        <v>3057</v>
      </c>
      <c r="I195" s="4" t="s">
        <v>3057</v>
      </c>
      <c r="J195" s="4">
        <v>10</v>
      </c>
      <c r="K195" s="4" t="s">
        <v>3057</v>
      </c>
      <c r="L195" s="4" t="s">
        <v>3057</v>
      </c>
      <c r="M195" s="4">
        <v>0</v>
      </c>
      <c r="N195" s="4" t="s">
        <v>3057</v>
      </c>
      <c r="O195" s="4" t="s">
        <v>3057</v>
      </c>
      <c r="P195" s="4" t="s">
        <v>3057</v>
      </c>
      <c r="Q195" s="4" t="s">
        <v>3057</v>
      </c>
      <c r="R195" s="4" t="s">
        <v>3057</v>
      </c>
      <c r="S195" s="4">
        <v>26</v>
      </c>
      <c r="T195" s="4" t="s">
        <v>3057</v>
      </c>
      <c r="U195" s="4">
        <f t="shared" si="27"/>
        <v>36</v>
      </c>
      <c r="V195" s="5">
        <f t="shared" si="28"/>
        <v>12</v>
      </c>
      <c r="W195" s="5">
        <f t="shared" si="29"/>
        <v>0.4</v>
      </c>
      <c r="X195" s="7">
        <f t="shared" ref="X195:X258" si="30">U195/SUM($U$2:$U$410)</f>
        <v>5.4391877299800793E-5</v>
      </c>
      <c r="Y195" s="7">
        <f t="shared" si="26"/>
        <v>0.99833131492026783</v>
      </c>
      <c r="Z195" s="7">
        <f t="shared" ref="Z195:Z258" si="31">_xlfn.STDEV.P(C195:T195)/AVERAGE(C195:T195)</f>
        <v>0.89235435578938949</v>
      </c>
      <c r="AA195" t="str">
        <f t="shared" ref="AA195:AA258" si="32">IF(Y195&lt;=0.7,"A",IF(Y195&lt;=0.9,"B","C"))</f>
        <v>C</v>
      </c>
      <c r="AB195" t="str">
        <f t="shared" ref="AB195:AB258" si="33">IF(Z195&lt;=0.5,"X",IF(Z195&lt;=1,"Y","Z"))</f>
        <v>Y</v>
      </c>
      <c r="AC195" t="str">
        <f t="shared" ref="AC195:AC258" si="34">AA195&amp;AB195</f>
        <v>CY</v>
      </c>
    </row>
    <row r="196" spans="1:29" x14ac:dyDescent="0.25">
      <c r="A196" t="s">
        <v>1354</v>
      </c>
      <c r="B196" t="s">
        <v>2803</v>
      </c>
      <c r="C196" s="4" t="s">
        <v>3057</v>
      </c>
      <c r="D196" s="4" t="s">
        <v>3057</v>
      </c>
      <c r="E196" s="4" t="s">
        <v>3057</v>
      </c>
      <c r="F196" s="4" t="s">
        <v>3057</v>
      </c>
      <c r="G196" s="4">
        <v>1</v>
      </c>
      <c r="H196" s="4" t="s">
        <v>3057</v>
      </c>
      <c r="I196" s="4" t="s">
        <v>3057</v>
      </c>
      <c r="J196" s="4">
        <v>3.0024000000000006</v>
      </c>
      <c r="K196" s="4" t="s">
        <v>3057</v>
      </c>
      <c r="L196" s="4">
        <v>24.000000000000007</v>
      </c>
      <c r="M196" s="4">
        <v>0</v>
      </c>
      <c r="N196" s="4" t="s">
        <v>3057</v>
      </c>
      <c r="O196" s="4">
        <v>1</v>
      </c>
      <c r="P196" s="4" t="s">
        <v>3057</v>
      </c>
      <c r="Q196" s="4" t="s">
        <v>3057</v>
      </c>
      <c r="R196" s="4" t="s">
        <v>3057</v>
      </c>
      <c r="S196" s="4" t="s">
        <v>3057</v>
      </c>
      <c r="T196" s="4">
        <v>6</v>
      </c>
      <c r="U196" s="4">
        <f t="shared" si="27"/>
        <v>35.002400000000009</v>
      </c>
      <c r="V196" s="5">
        <f t="shared" si="28"/>
        <v>5.8337333333333348</v>
      </c>
      <c r="W196" s="5">
        <f t="shared" si="29"/>
        <v>0.19445777777777781</v>
      </c>
      <c r="X196" s="7">
        <f t="shared" si="30"/>
        <v>5.2884617944404106E-5</v>
      </c>
      <c r="Y196" s="7">
        <f t="shared" si="26"/>
        <v>0.99838419953821222</v>
      </c>
      <c r="Z196" s="7">
        <f t="shared" si="31"/>
        <v>1.4321594471233483</v>
      </c>
      <c r="AA196" t="str">
        <f t="shared" si="32"/>
        <v>C</v>
      </c>
      <c r="AB196" t="str">
        <f t="shared" si="33"/>
        <v>Z</v>
      </c>
      <c r="AC196" t="str">
        <f t="shared" si="34"/>
        <v>CZ</v>
      </c>
    </row>
    <row r="197" spans="1:29" x14ac:dyDescent="0.25">
      <c r="A197" t="s">
        <v>931</v>
      </c>
      <c r="B197" t="s">
        <v>2986</v>
      </c>
      <c r="C197" s="4" t="s">
        <v>3057</v>
      </c>
      <c r="D197" s="4" t="s">
        <v>3057</v>
      </c>
      <c r="E197" s="4" t="s">
        <v>3057</v>
      </c>
      <c r="F197" s="4">
        <v>1.9999999999999996</v>
      </c>
      <c r="G197" s="4">
        <v>4.5</v>
      </c>
      <c r="H197" s="4" t="s">
        <v>3057</v>
      </c>
      <c r="I197" s="4" t="s">
        <v>3057</v>
      </c>
      <c r="J197" s="4" t="s">
        <v>3057</v>
      </c>
      <c r="K197" s="4">
        <v>23.499999999999993</v>
      </c>
      <c r="L197" s="4" t="s">
        <v>3057</v>
      </c>
      <c r="M197" s="4">
        <v>0</v>
      </c>
      <c r="N197" s="4" t="s">
        <v>3057</v>
      </c>
      <c r="O197" s="4" t="s">
        <v>3057</v>
      </c>
      <c r="P197" s="4" t="s">
        <v>3057</v>
      </c>
      <c r="Q197" s="4">
        <v>5</v>
      </c>
      <c r="R197" s="4" t="s">
        <v>3057</v>
      </c>
      <c r="S197" s="4" t="s">
        <v>3057</v>
      </c>
      <c r="T197" s="4" t="s">
        <v>3057</v>
      </c>
      <c r="U197" s="4">
        <f t="shared" si="27"/>
        <v>34.999999999999993</v>
      </c>
      <c r="V197" s="5">
        <f t="shared" si="28"/>
        <v>6.9999999999999982</v>
      </c>
      <c r="W197" s="5">
        <f t="shared" si="29"/>
        <v>0.23333333333333328</v>
      </c>
      <c r="X197" s="7">
        <f t="shared" si="30"/>
        <v>5.2880991819250761E-5</v>
      </c>
      <c r="Y197" s="7">
        <f t="shared" si="26"/>
        <v>0.99843708053003144</v>
      </c>
      <c r="Z197" s="7">
        <f t="shared" si="31"/>
        <v>1.2062761047191171</v>
      </c>
      <c r="AA197" t="str">
        <f t="shared" si="32"/>
        <v>C</v>
      </c>
      <c r="AB197" t="str">
        <f t="shared" si="33"/>
        <v>Z</v>
      </c>
      <c r="AC197" t="str">
        <f t="shared" si="34"/>
        <v>CZ</v>
      </c>
    </row>
    <row r="198" spans="1:29" x14ac:dyDescent="0.25">
      <c r="A198" t="s">
        <v>1703</v>
      </c>
      <c r="B198" t="s">
        <v>2642</v>
      </c>
      <c r="C198" s="4" t="s">
        <v>3057</v>
      </c>
      <c r="D198" s="4" t="s">
        <v>3057</v>
      </c>
      <c r="E198" s="4" t="s">
        <v>3057</v>
      </c>
      <c r="F198" s="4" t="s">
        <v>3057</v>
      </c>
      <c r="G198" s="4" t="s">
        <v>3057</v>
      </c>
      <c r="H198" s="4" t="s">
        <v>3057</v>
      </c>
      <c r="I198" s="4" t="s">
        <v>3057</v>
      </c>
      <c r="J198" s="4">
        <v>8</v>
      </c>
      <c r="K198" s="4">
        <v>21.999999999999996</v>
      </c>
      <c r="L198" s="4" t="s">
        <v>3057</v>
      </c>
      <c r="M198" s="4">
        <v>0</v>
      </c>
      <c r="N198" s="4" t="s">
        <v>3057</v>
      </c>
      <c r="O198" s="4" t="s">
        <v>3057</v>
      </c>
      <c r="P198" s="4" t="s">
        <v>3057</v>
      </c>
      <c r="Q198" s="4" t="s">
        <v>3057</v>
      </c>
      <c r="R198" s="4">
        <v>4</v>
      </c>
      <c r="S198" s="4" t="s">
        <v>3057</v>
      </c>
      <c r="T198" s="4" t="s">
        <v>3057</v>
      </c>
      <c r="U198" s="4">
        <f t="shared" si="27"/>
        <v>34</v>
      </c>
      <c r="V198" s="5">
        <f t="shared" si="28"/>
        <v>8.5</v>
      </c>
      <c r="W198" s="5">
        <f t="shared" si="29"/>
        <v>0.28333333333333333</v>
      </c>
      <c r="X198" s="7">
        <f t="shared" si="30"/>
        <v>5.1370106338700748E-5</v>
      </c>
      <c r="Y198" s="7">
        <f t="shared" si="26"/>
        <v>0.99848845063637015</v>
      </c>
      <c r="Z198" s="7">
        <f t="shared" si="31"/>
        <v>0.97547787951629372</v>
      </c>
      <c r="AA198" t="str">
        <f t="shared" si="32"/>
        <v>C</v>
      </c>
      <c r="AB198" t="str">
        <f t="shared" si="33"/>
        <v>Y</v>
      </c>
      <c r="AC198" t="str">
        <f t="shared" si="34"/>
        <v>CY</v>
      </c>
    </row>
    <row r="199" spans="1:29" x14ac:dyDescent="0.25">
      <c r="A199" t="s">
        <v>1347</v>
      </c>
      <c r="B199" t="s">
        <v>2690</v>
      </c>
      <c r="C199" s="4" t="s">
        <v>3057</v>
      </c>
      <c r="D199" s="4" t="s">
        <v>3057</v>
      </c>
      <c r="E199" s="4" t="s">
        <v>3057</v>
      </c>
      <c r="F199" s="4" t="s">
        <v>3057</v>
      </c>
      <c r="G199" s="4">
        <v>3.0000000000000009</v>
      </c>
      <c r="H199" s="4">
        <v>5</v>
      </c>
      <c r="I199" s="4">
        <v>3.0000000000000004</v>
      </c>
      <c r="J199" s="4">
        <v>2</v>
      </c>
      <c r="K199" s="4">
        <v>0.82279999999999998</v>
      </c>
      <c r="L199" s="4" t="s">
        <v>3057</v>
      </c>
      <c r="M199" s="4">
        <v>1.0000000000000002</v>
      </c>
      <c r="N199" s="4" t="s">
        <v>3057</v>
      </c>
      <c r="O199" s="4">
        <v>1.9999999999999998</v>
      </c>
      <c r="P199" s="4">
        <v>1</v>
      </c>
      <c r="Q199" s="4" t="s">
        <v>3057</v>
      </c>
      <c r="R199" s="4">
        <v>2.9999999999999996</v>
      </c>
      <c r="S199" s="4">
        <v>12</v>
      </c>
      <c r="T199" s="4" t="s">
        <v>3057</v>
      </c>
      <c r="U199" s="4">
        <f t="shared" si="27"/>
        <v>32.822800000000001</v>
      </c>
      <c r="V199" s="5">
        <f t="shared" si="28"/>
        <v>3.2822800000000001</v>
      </c>
      <c r="W199" s="5">
        <f t="shared" si="29"/>
        <v>0.10940933333333333</v>
      </c>
      <c r="X199" s="7">
        <f t="shared" si="30"/>
        <v>4.9591491950997266E-5</v>
      </c>
      <c r="Y199" s="7">
        <f t="shared" ref="Y199:Y262" si="35">X199+Y198</f>
        <v>0.9985380421283212</v>
      </c>
      <c r="Z199" s="7">
        <f t="shared" si="31"/>
        <v>0.95833587100281126</v>
      </c>
      <c r="AA199" t="str">
        <f t="shared" si="32"/>
        <v>C</v>
      </c>
      <c r="AB199" t="str">
        <f t="shared" si="33"/>
        <v>Y</v>
      </c>
      <c r="AC199" t="str">
        <f t="shared" si="34"/>
        <v>CY</v>
      </c>
    </row>
    <row r="200" spans="1:29" x14ac:dyDescent="0.25">
      <c r="A200" t="s">
        <v>1772</v>
      </c>
      <c r="B200" t="s">
        <v>2785</v>
      </c>
      <c r="C200" s="4" t="s">
        <v>3057</v>
      </c>
      <c r="D200" s="4" t="s">
        <v>3057</v>
      </c>
      <c r="E200" s="4" t="s">
        <v>3057</v>
      </c>
      <c r="F200" s="4" t="s">
        <v>3057</v>
      </c>
      <c r="G200" s="4" t="s">
        <v>3057</v>
      </c>
      <c r="H200" s="4" t="s">
        <v>3057</v>
      </c>
      <c r="I200" s="4" t="s">
        <v>3057</v>
      </c>
      <c r="J200" s="4" t="s">
        <v>3057</v>
      </c>
      <c r="K200" s="4">
        <v>30.000000000000011</v>
      </c>
      <c r="L200" s="4" t="s">
        <v>3057</v>
      </c>
      <c r="M200" s="4">
        <v>0</v>
      </c>
      <c r="N200" s="4" t="s">
        <v>3057</v>
      </c>
      <c r="O200" s="4" t="s">
        <v>3057</v>
      </c>
      <c r="P200" s="4" t="s">
        <v>3057</v>
      </c>
      <c r="Q200" s="4" t="s">
        <v>3057</v>
      </c>
      <c r="R200" s="4" t="s">
        <v>3057</v>
      </c>
      <c r="S200" s="4">
        <v>2</v>
      </c>
      <c r="T200" s="4" t="s">
        <v>3057</v>
      </c>
      <c r="U200" s="4">
        <f t="shared" si="27"/>
        <v>32.000000000000014</v>
      </c>
      <c r="V200" s="5">
        <f t="shared" si="28"/>
        <v>10.666666666666671</v>
      </c>
      <c r="W200" s="5">
        <f t="shared" si="29"/>
        <v>0.35555555555555574</v>
      </c>
      <c r="X200" s="7">
        <f t="shared" si="30"/>
        <v>4.834833537760073E-5</v>
      </c>
      <c r="Y200" s="7">
        <f t="shared" si="35"/>
        <v>0.99858639046369879</v>
      </c>
      <c r="Z200" s="7">
        <f t="shared" si="31"/>
        <v>1.2839149115108832</v>
      </c>
      <c r="AA200" t="str">
        <f t="shared" si="32"/>
        <v>C</v>
      </c>
      <c r="AB200" t="str">
        <f t="shared" si="33"/>
        <v>Z</v>
      </c>
      <c r="AC200" t="str">
        <f t="shared" si="34"/>
        <v>CZ</v>
      </c>
    </row>
    <row r="201" spans="1:29" x14ac:dyDescent="0.25">
      <c r="A201" t="s">
        <v>1780</v>
      </c>
      <c r="B201" t="s">
        <v>2712</v>
      </c>
      <c r="C201" s="4" t="s">
        <v>3057</v>
      </c>
      <c r="D201" s="4" t="s">
        <v>3057</v>
      </c>
      <c r="E201" s="4" t="s">
        <v>3057</v>
      </c>
      <c r="F201" s="4" t="s">
        <v>3057</v>
      </c>
      <c r="G201" s="4" t="s">
        <v>3057</v>
      </c>
      <c r="H201" s="4" t="s">
        <v>3057</v>
      </c>
      <c r="I201" s="4" t="s">
        <v>3057</v>
      </c>
      <c r="J201" s="4" t="s">
        <v>3057</v>
      </c>
      <c r="K201" s="4">
        <v>10</v>
      </c>
      <c r="L201" s="4" t="s">
        <v>3057</v>
      </c>
      <c r="M201" s="4">
        <v>0</v>
      </c>
      <c r="N201" s="4" t="s">
        <v>3057</v>
      </c>
      <c r="O201" s="4">
        <v>10</v>
      </c>
      <c r="P201" s="4" t="s">
        <v>3057</v>
      </c>
      <c r="Q201" s="4" t="s">
        <v>3057</v>
      </c>
      <c r="R201" s="4" t="s">
        <v>3057</v>
      </c>
      <c r="S201" s="4">
        <v>1</v>
      </c>
      <c r="T201" s="4">
        <v>9</v>
      </c>
      <c r="U201" s="4">
        <f t="shared" si="27"/>
        <v>30</v>
      </c>
      <c r="V201" s="5">
        <f t="shared" si="28"/>
        <v>6</v>
      </c>
      <c r="W201" s="5">
        <f t="shared" si="29"/>
        <v>0.2</v>
      </c>
      <c r="X201" s="7">
        <f t="shared" si="30"/>
        <v>4.5326564416500665E-5</v>
      </c>
      <c r="Y201" s="7">
        <f t="shared" si="35"/>
        <v>0.99863171702811526</v>
      </c>
      <c r="Z201" s="7">
        <f t="shared" si="31"/>
        <v>0.75277265270908089</v>
      </c>
      <c r="AA201" t="str">
        <f t="shared" si="32"/>
        <v>C</v>
      </c>
      <c r="AB201" t="str">
        <f t="shared" si="33"/>
        <v>Y</v>
      </c>
      <c r="AC201" t="str">
        <f t="shared" si="34"/>
        <v>CY</v>
      </c>
    </row>
    <row r="202" spans="1:29" x14ac:dyDescent="0.25">
      <c r="A202" t="s">
        <v>599</v>
      </c>
      <c r="B202" t="s">
        <v>2731</v>
      </c>
      <c r="C202" s="4" t="s">
        <v>3057</v>
      </c>
      <c r="D202" s="4" t="s">
        <v>3057</v>
      </c>
      <c r="E202" s="4" t="s">
        <v>3057</v>
      </c>
      <c r="F202" s="4">
        <v>2</v>
      </c>
      <c r="G202" s="4">
        <v>3</v>
      </c>
      <c r="H202" s="4">
        <v>2</v>
      </c>
      <c r="I202" s="4">
        <v>6.0000000000000009</v>
      </c>
      <c r="J202" s="4" t="s">
        <v>3057</v>
      </c>
      <c r="K202" s="4">
        <v>6</v>
      </c>
      <c r="L202" s="4" t="s">
        <v>3057</v>
      </c>
      <c r="M202" s="4">
        <v>0</v>
      </c>
      <c r="N202" s="4" t="s">
        <v>3057</v>
      </c>
      <c r="O202" s="4" t="s">
        <v>3057</v>
      </c>
      <c r="P202" s="4" t="s">
        <v>3057</v>
      </c>
      <c r="Q202" s="4">
        <v>2</v>
      </c>
      <c r="R202" s="4">
        <v>3.9999999999999996</v>
      </c>
      <c r="S202" s="4">
        <v>1</v>
      </c>
      <c r="T202" s="4">
        <v>4</v>
      </c>
      <c r="U202" s="4">
        <f t="shared" si="27"/>
        <v>30</v>
      </c>
      <c r="V202" s="5">
        <f t="shared" si="28"/>
        <v>3</v>
      </c>
      <c r="W202" s="5">
        <f t="shared" si="29"/>
        <v>0.1</v>
      </c>
      <c r="X202" s="7">
        <f t="shared" si="30"/>
        <v>4.5326564416500665E-5</v>
      </c>
      <c r="Y202" s="7">
        <f t="shared" si="35"/>
        <v>0.99867704359253173</v>
      </c>
      <c r="Z202" s="7">
        <f t="shared" si="31"/>
        <v>0.6324555320336761</v>
      </c>
      <c r="AA202" t="str">
        <f t="shared" si="32"/>
        <v>C</v>
      </c>
      <c r="AB202" t="str">
        <f t="shared" si="33"/>
        <v>Y</v>
      </c>
      <c r="AC202" t="str">
        <f t="shared" si="34"/>
        <v>CY</v>
      </c>
    </row>
    <row r="203" spans="1:29" x14ac:dyDescent="0.25">
      <c r="A203" t="s">
        <v>1518</v>
      </c>
      <c r="B203" t="s">
        <v>2748</v>
      </c>
      <c r="C203" s="4" t="s">
        <v>3057</v>
      </c>
      <c r="D203" s="4" t="s">
        <v>3057</v>
      </c>
      <c r="E203" s="4" t="s">
        <v>3057</v>
      </c>
      <c r="F203" s="4" t="s">
        <v>3057</v>
      </c>
      <c r="G203" s="4" t="s">
        <v>3057</v>
      </c>
      <c r="H203" s="4">
        <v>5</v>
      </c>
      <c r="I203" s="4" t="s">
        <v>3057</v>
      </c>
      <c r="J203" s="4" t="s">
        <v>3057</v>
      </c>
      <c r="K203" s="4" t="s">
        <v>3057</v>
      </c>
      <c r="L203" s="4" t="s">
        <v>3057</v>
      </c>
      <c r="M203" s="4">
        <v>20</v>
      </c>
      <c r="N203" s="4" t="s">
        <v>3057</v>
      </c>
      <c r="O203" s="4" t="s">
        <v>3057</v>
      </c>
      <c r="P203" s="4" t="s">
        <v>3057</v>
      </c>
      <c r="Q203" s="4" t="s">
        <v>3057</v>
      </c>
      <c r="R203" s="4">
        <v>5</v>
      </c>
      <c r="S203" s="4" t="s">
        <v>3057</v>
      </c>
      <c r="T203" s="4" t="s">
        <v>3057</v>
      </c>
      <c r="U203" s="4">
        <f t="shared" si="27"/>
        <v>30</v>
      </c>
      <c r="V203" s="5">
        <f t="shared" si="28"/>
        <v>10</v>
      </c>
      <c r="W203" s="5">
        <f t="shared" si="29"/>
        <v>0.33333333333333331</v>
      </c>
      <c r="X203" s="7">
        <f t="shared" si="30"/>
        <v>4.5326564416500665E-5</v>
      </c>
      <c r="Y203" s="7">
        <f t="shared" si="35"/>
        <v>0.9987223701569482</v>
      </c>
      <c r="Z203" s="7">
        <f t="shared" si="31"/>
        <v>0.70710678118654757</v>
      </c>
      <c r="AA203" t="str">
        <f t="shared" si="32"/>
        <v>C</v>
      </c>
      <c r="AB203" t="str">
        <f t="shared" si="33"/>
        <v>Y</v>
      </c>
      <c r="AC203" t="str">
        <f t="shared" si="34"/>
        <v>CY</v>
      </c>
    </row>
    <row r="204" spans="1:29" x14ac:dyDescent="0.25">
      <c r="A204" t="s">
        <v>468</v>
      </c>
      <c r="B204" t="s">
        <v>2802</v>
      </c>
      <c r="C204" s="4" t="s">
        <v>3057</v>
      </c>
      <c r="D204" s="4" t="s">
        <v>3057</v>
      </c>
      <c r="E204" s="4" t="s">
        <v>3057</v>
      </c>
      <c r="F204" s="4">
        <v>2</v>
      </c>
      <c r="G204" s="4">
        <v>2</v>
      </c>
      <c r="H204" s="4">
        <v>8</v>
      </c>
      <c r="I204" s="4">
        <v>2.0000000000000004</v>
      </c>
      <c r="J204" s="4" t="s">
        <v>3057</v>
      </c>
      <c r="K204" s="4">
        <v>3</v>
      </c>
      <c r="L204" s="4">
        <v>2.9999999999999996</v>
      </c>
      <c r="M204" s="4">
        <v>2</v>
      </c>
      <c r="N204" s="4" t="s">
        <v>3057</v>
      </c>
      <c r="O204" s="4">
        <v>5</v>
      </c>
      <c r="P204" s="4">
        <v>1</v>
      </c>
      <c r="Q204" s="4" t="s">
        <v>3057</v>
      </c>
      <c r="R204" s="4">
        <v>1.9999999999999998</v>
      </c>
      <c r="S204" s="4" t="s">
        <v>3057</v>
      </c>
      <c r="T204" s="4" t="s">
        <v>3057</v>
      </c>
      <c r="U204" s="4">
        <f t="shared" si="27"/>
        <v>30</v>
      </c>
      <c r="V204" s="5">
        <f t="shared" si="28"/>
        <v>3</v>
      </c>
      <c r="W204" s="5">
        <f t="shared" si="29"/>
        <v>0.1</v>
      </c>
      <c r="X204" s="7">
        <f t="shared" si="30"/>
        <v>4.5326564416500665E-5</v>
      </c>
      <c r="Y204" s="7">
        <f t="shared" si="35"/>
        <v>0.99876769672136467</v>
      </c>
      <c r="Z204" s="7">
        <f t="shared" si="31"/>
        <v>0.64978628965393093</v>
      </c>
      <c r="AA204" t="str">
        <f t="shared" si="32"/>
        <v>C</v>
      </c>
      <c r="AB204" t="str">
        <f t="shared" si="33"/>
        <v>Y</v>
      </c>
      <c r="AC204" t="str">
        <f t="shared" si="34"/>
        <v>CY</v>
      </c>
    </row>
    <row r="205" spans="1:29" x14ac:dyDescent="0.25">
      <c r="A205" t="s">
        <v>1093</v>
      </c>
      <c r="B205" t="s">
        <v>2833</v>
      </c>
      <c r="C205" s="4" t="s">
        <v>3057</v>
      </c>
      <c r="D205" s="4" t="s">
        <v>3057</v>
      </c>
      <c r="E205" s="4" t="s">
        <v>3057</v>
      </c>
      <c r="F205" s="4">
        <v>2</v>
      </c>
      <c r="G205" s="4">
        <v>6.9999999999999991</v>
      </c>
      <c r="H205" s="4">
        <v>5</v>
      </c>
      <c r="I205" s="4">
        <v>4</v>
      </c>
      <c r="J205" s="4" t="s">
        <v>3057</v>
      </c>
      <c r="K205" s="4" t="s">
        <v>3057</v>
      </c>
      <c r="L205" s="4">
        <v>1.9999999999999998</v>
      </c>
      <c r="M205" s="4">
        <v>2</v>
      </c>
      <c r="N205" s="4">
        <v>2</v>
      </c>
      <c r="O205" s="4" t="s">
        <v>3057</v>
      </c>
      <c r="P205" s="4" t="s">
        <v>3057</v>
      </c>
      <c r="Q205" s="4">
        <v>6</v>
      </c>
      <c r="R205" s="4" t="s">
        <v>3057</v>
      </c>
      <c r="S205" s="4" t="s">
        <v>3057</v>
      </c>
      <c r="T205" s="4" t="s">
        <v>3057</v>
      </c>
      <c r="U205" s="4">
        <f t="shared" si="27"/>
        <v>30</v>
      </c>
      <c r="V205" s="5">
        <f t="shared" si="28"/>
        <v>3.75</v>
      </c>
      <c r="W205" s="5">
        <f t="shared" si="29"/>
        <v>0.125</v>
      </c>
      <c r="X205" s="7">
        <f t="shared" si="30"/>
        <v>4.5326564416500665E-5</v>
      </c>
      <c r="Y205" s="7">
        <f t="shared" si="35"/>
        <v>0.99881302328578114</v>
      </c>
      <c r="Z205" s="7">
        <f t="shared" si="31"/>
        <v>0.51207638319124049</v>
      </c>
      <c r="AA205" t="str">
        <f t="shared" si="32"/>
        <v>C</v>
      </c>
      <c r="AB205" t="str">
        <f t="shared" si="33"/>
        <v>Y</v>
      </c>
      <c r="AC205" t="str">
        <f t="shared" si="34"/>
        <v>CY</v>
      </c>
    </row>
    <row r="206" spans="1:29" x14ac:dyDescent="0.25">
      <c r="A206" t="s">
        <v>160</v>
      </c>
      <c r="B206" t="s">
        <v>2754</v>
      </c>
      <c r="C206" s="4" t="s">
        <v>3057</v>
      </c>
      <c r="D206" s="4" t="s">
        <v>3057</v>
      </c>
      <c r="E206" s="4" t="s">
        <v>3057</v>
      </c>
      <c r="F206" s="4">
        <v>2</v>
      </c>
      <c r="G206" s="4">
        <v>3.75</v>
      </c>
      <c r="H206" s="4">
        <v>1.9999999999999998</v>
      </c>
      <c r="I206" s="4" t="s">
        <v>3057</v>
      </c>
      <c r="J206" s="4">
        <v>1.6673</v>
      </c>
      <c r="K206" s="4">
        <v>11.332700000000001</v>
      </c>
      <c r="L206" s="4" t="s">
        <v>3057</v>
      </c>
      <c r="M206" s="4">
        <v>1</v>
      </c>
      <c r="N206" s="4" t="s">
        <v>3057</v>
      </c>
      <c r="O206" s="4">
        <v>1</v>
      </c>
      <c r="P206" s="4">
        <v>1</v>
      </c>
      <c r="Q206" s="4" t="s">
        <v>3057</v>
      </c>
      <c r="R206" s="4">
        <v>1</v>
      </c>
      <c r="S206" s="4">
        <v>2</v>
      </c>
      <c r="T206" s="4">
        <v>1</v>
      </c>
      <c r="U206" s="4">
        <f t="shared" si="27"/>
        <v>27.75</v>
      </c>
      <c r="V206" s="5">
        <f t="shared" si="28"/>
        <v>2.5227272727272729</v>
      </c>
      <c r="W206" s="5">
        <f t="shared" si="29"/>
        <v>8.4090909090909091E-2</v>
      </c>
      <c r="X206" s="7">
        <f t="shared" si="30"/>
        <v>4.1927072085263113E-5</v>
      </c>
      <c r="Y206" s="7">
        <f t="shared" si="35"/>
        <v>0.99885495035786642</v>
      </c>
      <c r="Z206" s="7">
        <f t="shared" si="31"/>
        <v>1.1480375067392716</v>
      </c>
      <c r="AA206" t="str">
        <f t="shared" si="32"/>
        <v>C</v>
      </c>
      <c r="AB206" t="str">
        <f t="shared" si="33"/>
        <v>Z</v>
      </c>
      <c r="AC206" t="str">
        <f t="shared" si="34"/>
        <v>CZ</v>
      </c>
    </row>
    <row r="207" spans="1:29" x14ac:dyDescent="0.25">
      <c r="A207" t="s">
        <v>1871</v>
      </c>
      <c r="B207" t="s">
        <v>2707</v>
      </c>
      <c r="C207" s="4" t="s">
        <v>3057</v>
      </c>
      <c r="D207" s="4" t="s">
        <v>3057</v>
      </c>
      <c r="E207" s="4" t="s">
        <v>3057</v>
      </c>
      <c r="F207" s="4" t="s">
        <v>3057</v>
      </c>
      <c r="G207" s="4" t="s">
        <v>3057</v>
      </c>
      <c r="H207" s="4" t="s">
        <v>3057</v>
      </c>
      <c r="I207" s="4" t="s">
        <v>3057</v>
      </c>
      <c r="J207" s="4" t="s">
        <v>3057</v>
      </c>
      <c r="K207" s="4" t="s">
        <v>3057</v>
      </c>
      <c r="L207" s="4">
        <v>15.000000000000002</v>
      </c>
      <c r="M207" s="4">
        <v>0</v>
      </c>
      <c r="N207" s="4" t="s">
        <v>3057</v>
      </c>
      <c r="O207" s="4" t="s">
        <v>3057</v>
      </c>
      <c r="P207" s="4" t="s">
        <v>3057</v>
      </c>
      <c r="Q207" s="4" t="s">
        <v>3057</v>
      </c>
      <c r="R207" s="4" t="s">
        <v>3057</v>
      </c>
      <c r="S207" s="4">
        <v>12.000000000000002</v>
      </c>
      <c r="T207" s="4" t="s">
        <v>3057</v>
      </c>
      <c r="U207" s="4">
        <f t="shared" si="27"/>
        <v>27.000000000000004</v>
      </c>
      <c r="V207" s="5">
        <f t="shared" si="28"/>
        <v>9.0000000000000018</v>
      </c>
      <c r="W207" s="5">
        <f t="shared" si="29"/>
        <v>0.30000000000000004</v>
      </c>
      <c r="X207" s="7">
        <f t="shared" si="30"/>
        <v>4.07939079748506E-5</v>
      </c>
      <c r="Y207" s="7">
        <f t="shared" si="35"/>
        <v>0.99889574426584127</v>
      </c>
      <c r="Z207" s="7">
        <f t="shared" si="31"/>
        <v>0.72008229982309568</v>
      </c>
      <c r="AA207" t="str">
        <f t="shared" si="32"/>
        <v>C</v>
      </c>
      <c r="AB207" t="str">
        <f t="shared" si="33"/>
        <v>Y</v>
      </c>
      <c r="AC207" t="str">
        <f t="shared" si="34"/>
        <v>CY</v>
      </c>
    </row>
    <row r="208" spans="1:29" x14ac:dyDescent="0.25">
      <c r="A208" t="s">
        <v>1933</v>
      </c>
      <c r="B208" t="s">
        <v>2800</v>
      </c>
      <c r="C208" s="4" t="s">
        <v>3057</v>
      </c>
      <c r="D208" s="4" t="s">
        <v>3057</v>
      </c>
      <c r="E208" s="4" t="s">
        <v>3057</v>
      </c>
      <c r="F208" s="4" t="s">
        <v>3057</v>
      </c>
      <c r="G208" s="4" t="s">
        <v>3057</v>
      </c>
      <c r="H208" s="4" t="s">
        <v>3057</v>
      </c>
      <c r="I208" s="4" t="s">
        <v>3057</v>
      </c>
      <c r="J208" s="4" t="s">
        <v>3057</v>
      </c>
      <c r="K208" s="4" t="s">
        <v>3057</v>
      </c>
      <c r="L208" s="4" t="s">
        <v>3057</v>
      </c>
      <c r="M208" s="4">
        <v>9</v>
      </c>
      <c r="N208" s="4" t="s">
        <v>3057</v>
      </c>
      <c r="O208" s="4">
        <v>4</v>
      </c>
      <c r="P208" s="4">
        <v>2</v>
      </c>
      <c r="Q208" s="4">
        <v>10</v>
      </c>
      <c r="R208" s="4">
        <v>2</v>
      </c>
      <c r="S208" s="4" t="s">
        <v>3057</v>
      </c>
      <c r="T208" s="4" t="s">
        <v>3057</v>
      </c>
      <c r="U208" s="4">
        <f t="shared" si="27"/>
        <v>27</v>
      </c>
      <c r="V208" s="5">
        <f t="shared" si="28"/>
        <v>5.4</v>
      </c>
      <c r="W208" s="5">
        <f t="shared" si="29"/>
        <v>0.18000000000000002</v>
      </c>
      <c r="X208" s="7">
        <f t="shared" si="30"/>
        <v>4.0793907974850593E-5</v>
      </c>
      <c r="Y208" s="7">
        <f t="shared" si="35"/>
        <v>0.99893653817381611</v>
      </c>
      <c r="Z208" s="7">
        <f t="shared" si="31"/>
        <v>0.63720927904019453</v>
      </c>
      <c r="AA208" t="str">
        <f t="shared" si="32"/>
        <v>C</v>
      </c>
      <c r="AB208" t="str">
        <f t="shared" si="33"/>
        <v>Y</v>
      </c>
      <c r="AC208" t="str">
        <f t="shared" si="34"/>
        <v>CY</v>
      </c>
    </row>
    <row r="209" spans="1:29" x14ac:dyDescent="0.25">
      <c r="A209" t="s">
        <v>933</v>
      </c>
      <c r="B209" t="s">
        <v>2739</v>
      </c>
      <c r="C209" s="4" t="s">
        <v>3057</v>
      </c>
      <c r="D209" s="4" t="s">
        <v>3057</v>
      </c>
      <c r="E209" s="4" t="s">
        <v>3057</v>
      </c>
      <c r="F209" s="4">
        <v>6</v>
      </c>
      <c r="G209" s="4">
        <v>1</v>
      </c>
      <c r="H209" s="4" t="s">
        <v>3057</v>
      </c>
      <c r="I209" s="4">
        <v>1.7396000000000009</v>
      </c>
      <c r="J209" s="4">
        <v>1.2604</v>
      </c>
      <c r="K209" s="4">
        <v>2.5</v>
      </c>
      <c r="L209" s="4" t="s">
        <v>3057</v>
      </c>
      <c r="M209" s="4">
        <v>0</v>
      </c>
      <c r="N209" s="4" t="s">
        <v>3057</v>
      </c>
      <c r="O209" s="4" t="s">
        <v>3057</v>
      </c>
      <c r="P209" s="4">
        <v>8</v>
      </c>
      <c r="Q209" s="4" t="s">
        <v>3057</v>
      </c>
      <c r="R209" s="4">
        <v>4</v>
      </c>
      <c r="S209" s="4">
        <v>2</v>
      </c>
      <c r="T209" s="4" t="s">
        <v>3057</v>
      </c>
      <c r="U209" s="4">
        <f t="shared" si="27"/>
        <v>26.5</v>
      </c>
      <c r="V209" s="5">
        <f t="shared" si="28"/>
        <v>2.9444444444444446</v>
      </c>
      <c r="W209" s="5">
        <f t="shared" si="29"/>
        <v>9.8148148148148151E-2</v>
      </c>
      <c r="X209" s="7">
        <f t="shared" si="30"/>
        <v>4.0038465234575587E-5</v>
      </c>
      <c r="Y209" s="7">
        <f t="shared" si="35"/>
        <v>0.99897657663905071</v>
      </c>
      <c r="Z209" s="7">
        <f t="shared" si="31"/>
        <v>0.8306459691506457</v>
      </c>
      <c r="AA209" t="str">
        <f t="shared" si="32"/>
        <v>C</v>
      </c>
      <c r="AB209" t="str">
        <f t="shared" si="33"/>
        <v>Y</v>
      </c>
      <c r="AC209" t="str">
        <f t="shared" si="34"/>
        <v>CY</v>
      </c>
    </row>
    <row r="210" spans="1:29" x14ac:dyDescent="0.25">
      <c r="A210" t="s">
        <v>418</v>
      </c>
      <c r="B210" t="s">
        <v>2778</v>
      </c>
      <c r="C210" s="4" t="s">
        <v>3057</v>
      </c>
      <c r="D210" s="4" t="s">
        <v>3057</v>
      </c>
      <c r="E210" s="4" t="s">
        <v>3057</v>
      </c>
      <c r="F210" s="4">
        <v>2</v>
      </c>
      <c r="G210" s="4">
        <v>4.6668000000000003</v>
      </c>
      <c r="H210" s="4" t="s">
        <v>3057</v>
      </c>
      <c r="I210" s="4">
        <v>8.0000000000000018</v>
      </c>
      <c r="J210" s="4">
        <v>6.0000000000000071</v>
      </c>
      <c r="K210" s="4">
        <v>1</v>
      </c>
      <c r="L210" s="4">
        <v>2</v>
      </c>
      <c r="M210" s="4">
        <v>0</v>
      </c>
      <c r="N210" s="4" t="s">
        <v>3057</v>
      </c>
      <c r="O210" s="4" t="s">
        <v>3057</v>
      </c>
      <c r="P210" s="4" t="s">
        <v>3057</v>
      </c>
      <c r="Q210" s="4" t="s">
        <v>3057</v>
      </c>
      <c r="R210" s="4">
        <v>0.99999999999999989</v>
      </c>
      <c r="S210" s="4" t="s">
        <v>3057</v>
      </c>
      <c r="T210" s="4">
        <v>1</v>
      </c>
      <c r="U210" s="4">
        <f t="shared" si="27"/>
        <v>25.666800000000009</v>
      </c>
      <c r="V210" s="5">
        <f t="shared" si="28"/>
        <v>2.8518666666666679</v>
      </c>
      <c r="W210" s="5">
        <f t="shared" si="29"/>
        <v>9.5062222222222256E-2</v>
      </c>
      <c r="X210" s="7">
        <f t="shared" si="30"/>
        <v>3.8779595452181319E-5</v>
      </c>
      <c r="Y210" s="7">
        <f t="shared" si="35"/>
        <v>0.99901535623450288</v>
      </c>
      <c r="Z210" s="7">
        <f t="shared" si="31"/>
        <v>0.90219920778349239</v>
      </c>
      <c r="AA210" t="str">
        <f t="shared" si="32"/>
        <v>C</v>
      </c>
      <c r="AB210" t="str">
        <f t="shared" si="33"/>
        <v>Y</v>
      </c>
      <c r="AC210" t="str">
        <f t="shared" si="34"/>
        <v>CY</v>
      </c>
    </row>
    <row r="211" spans="1:29" x14ac:dyDescent="0.25">
      <c r="A211" t="s">
        <v>1088</v>
      </c>
      <c r="B211" t="s">
        <v>2805</v>
      </c>
      <c r="C211" s="4" t="s">
        <v>3057</v>
      </c>
      <c r="D211" s="4" t="s">
        <v>3057</v>
      </c>
      <c r="E211" s="4" t="s">
        <v>3057</v>
      </c>
      <c r="F211" s="4">
        <v>1</v>
      </c>
      <c r="G211" s="4">
        <v>2</v>
      </c>
      <c r="H211" s="4">
        <v>1</v>
      </c>
      <c r="I211" s="4">
        <v>4</v>
      </c>
      <c r="J211" s="4">
        <v>2</v>
      </c>
      <c r="K211" s="4" t="s">
        <v>3057</v>
      </c>
      <c r="L211" s="4">
        <v>2</v>
      </c>
      <c r="M211" s="4">
        <v>3</v>
      </c>
      <c r="N211" s="4" t="s">
        <v>3057</v>
      </c>
      <c r="O211" s="4" t="s">
        <v>3057</v>
      </c>
      <c r="P211" s="4">
        <v>1</v>
      </c>
      <c r="Q211" s="4" t="s">
        <v>3057</v>
      </c>
      <c r="R211" s="4">
        <v>4</v>
      </c>
      <c r="S211" s="4">
        <v>1</v>
      </c>
      <c r="T211" s="4">
        <v>4</v>
      </c>
      <c r="U211" s="4">
        <f t="shared" si="27"/>
        <v>25</v>
      </c>
      <c r="V211" s="5">
        <f t="shared" si="28"/>
        <v>2.2727272727272729</v>
      </c>
      <c r="W211" s="5">
        <f t="shared" si="29"/>
        <v>7.575757575757576E-2</v>
      </c>
      <c r="X211" s="7">
        <f t="shared" si="30"/>
        <v>3.7772137013750555E-5</v>
      </c>
      <c r="Y211" s="7">
        <f t="shared" si="35"/>
        <v>0.99905312837151661</v>
      </c>
      <c r="Z211" s="7">
        <f t="shared" si="31"/>
        <v>0.53366656256505329</v>
      </c>
      <c r="AA211" t="str">
        <f t="shared" si="32"/>
        <v>C</v>
      </c>
      <c r="AB211" t="str">
        <f t="shared" si="33"/>
        <v>Y</v>
      </c>
      <c r="AC211" t="str">
        <f t="shared" si="34"/>
        <v>CY</v>
      </c>
    </row>
    <row r="212" spans="1:29" x14ac:dyDescent="0.25">
      <c r="A212" t="s">
        <v>934</v>
      </c>
      <c r="B212" t="s">
        <v>2863</v>
      </c>
      <c r="C212" s="4" t="s">
        <v>3057</v>
      </c>
      <c r="D212" s="4" t="s">
        <v>3057</v>
      </c>
      <c r="E212" s="4" t="s">
        <v>3057</v>
      </c>
      <c r="F212" s="4" t="s">
        <v>3057</v>
      </c>
      <c r="G212" s="4">
        <v>5</v>
      </c>
      <c r="H212" s="4" t="s">
        <v>3057</v>
      </c>
      <c r="I212" s="4" t="s">
        <v>3057</v>
      </c>
      <c r="J212" s="4">
        <v>9.9999999999999964</v>
      </c>
      <c r="K212" s="4">
        <v>5</v>
      </c>
      <c r="L212" s="4" t="s">
        <v>3057</v>
      </c>
      <c r="M212" s="4">
        <v>0</v>
      </c>
      <c r="N212" s="4" t="s">
        <v>3057</v>
      </c>
      <c r="O212" s="4" t="s">
        <v>3057</v>
      </c>
      <c r="P212" s="4">
        <v>5</v>
      </c>
      <c r="Q212" s="4" t="s">
        <v>3057</v>
      </c>
      <c r="R212" s="4" t="s">
        <v>3057</v>
      </c>
      <c r="S212" s="4" t="s">
        <v>3057</v>
      </c>
      <c r="T212" s="4" t="s">
        <v>3057</v>
      </c>
      <c r="U212" s="4">
        <f t="shared" si="27"/>
        <v>24.999999999999996</v>
      </c>
      <c r="V212" s="5">
        <f t="shared" si="28"/>
        <v>4.9999999999999991</v>
      </c>
      <c r="W212" s="5">
        <f t="shared" si="29"/>
        <v>0.16666666666666663</v>
      </c>
      <c r="X212" s="7">
        <f t="shared" si="30"/>
        <v>3.7772137013750548E-5</v>
      </c>
      <c r="Y212" s="7">
        <f t="shared" si="35"/>
        <v>0.99909090050853033</v>
      </c>
      <c r="Z212" s="7">
        <f t="shared" si="31"/>
        <v>0.63245553203367599</v>
      </c>
      <c r="AA212" t="str">
        <f t="shared" si="32"/>
        <v>C</v>
      </c>
      <c r="AB212" t="str">
        <f t="shared" si="33"/>
        <v>Y</v>
      </c>
      <c r="AC212" t="str">
        <f t="shared" si="34"/>
        <v>CY</v>
      </c>
    </row>
    <row r="213" spans="1:29" x14ac:dyDescent="0.25">
      <c r="A213" t="s">
        <v>643</v>
      </c>
      <c r="B213" t="s">
        <v>2719</v>
      </c>
      <c r="C213" s="4" t="s">
        <v>3057</v>
      </c>
      <c r="D213" s="4" t="s">
        <v>3057</v>
      </c>
      <c r="E213" s="4" t="s">
        <v>3057</v>
      </c>
      <c r="F213" s="4" t="s">
        <v>3057</v>
      </c>
      <c r="G213" s="4">
        <v>5</v>
      </c>
      <c r="H213" s="4">
        <v>2</v>
      </c>
      <c r="I213" s="4">
        <v>5</v>
      </c>
      <c r="J213" s="4" t="s">
        <v>3057</v>
      </c>
      <c r="K213" s="4" t="s">
        <v>3057</v>
      </c>
      <c r="L213" s="4" t="s">
        <v>3057</v>
      </c>
      <c r="M213" s="4">
        <v>2</v>
      </c>
      <c r="N213" s="4" t="s">
        <v>3057</v>
      </c>
      <c r="O213" s="4" t="s">
        <v>3057</v>
      </c>
      <c r="P213" s="4" t="s">
        <v>3057</v>
      </c>
      <c r="Q213" s="4" t="s">
        <v>3057</v>
      </c>
      <c r="R213" s="4" t="s">
        <v>3057</v>
      </c>
      <c r="S213" s="4">
        <v>10</v>
      </c>
      <c r="T213" s="4" t="s">
        <v>3057</v>
      </c>
      <c r="U213" s="4">
        <f t="shared" si="27"/>
        <v>24</v>
      </c>
      <c r="V213" s="5">
        <f t="shared" si="28"/>
        <v>4.8</v>
      </c>
      <c r="W213" s="5">
        <f t="shared" si="29"/>
        <v>0.16</v>
      </c>
      <c r="X213" s="7">
        <f t="shared" si="30"/>
        <v>3.6261251533200529E-5</v>
      </c>
      <c r="Y213" s="7">
        <f t="shared" si="35"/>
        <v>0.99912716176006355</v>
      </c>
      <c r="Z213" s="7">
        <f t="shared" si="31"/>
        <v>0.60953078493032486</v>
      </c>
      <c r="AA213" t="str">
        <f t="shared" si="32"/>
        <v>C</v>
      </c>
      <c r="AB213" t="str">
        <f t="shared" si="33"/>
        <v>Y</v>
      </c>
      <c r="AC213" t="str">
        <f t="shared" si="34"/>
        <v>CY</v>
      </c>
    </row>
    <row r="214" spans="1:29" x14ac:dyDescent="0.25">
      <c r="A214" t="s">
        <v>122</v>
      </c>
      <c r="B214" t="s">
        <v>2878</v>
      </c>
      <c r="C214" s="4" t="s">
        <v>3057</v>
      </c>
      <c r="D214" s="4" t="s">
        <v>3057</v>
      </c>
      <c r="E214" s="4" t="s">
        <v>3057</v>
      </c>
      <c r="F214" s="4">
        <v>1</v>
      </c>
      <c r="G214" s="4" t="s">
        <v>3057</v>
      </c>
      <c r="H214" s="4">
        <v>2</v>
      </c>
      <c r="I214" s="4">
        <v>4</v>
      </c>
      <c r="J214" s="4" t="s">
        <v>3057</v>
      </c>
      <c r="K214" s="4" t="s">
        <v>3057</v>
      </c>
      <c r="L214" s="4">
        <v>5.9999999999999973</v>
      </c>
      <c r="M214" s="4">
        <v>0</v>
      </c>
      <c r="N214" s="4" t="s">
        <v>3057</v>
      </c>
      <c r="O214" s="4">
        <v>10</v>
      </c>
      <c r="P214" s="4">
        <v>1</v>
      </c>
      <c r="Q214" s="4" t="s">
        <v>3057</v>
      </c>
      <c r="R214" s="4" t="s">
        <v>3057</v>
      </c>
      <c r="S214" s="4" t="s">
        <v>3057</v>
      </c>
      <c r="T214" s="4" t="s">
        <v>3057</v>
      </c>
      <c r="U214" s="4">
        <f t="shared" si="27"/>
        <v>23.999999999999996</v>
      </c>
      <c r="V214" s="5">
        <f t="shared" si="28"/>
        <v>3.4285714285714279</v>
      </c>
      <c r="W214" s="5">
        <f t="shared" si="29"/>
        <v>0.11428571428571427</v>
      </c>
      <c r="X214" s="7">
        <f t="shared" si="30"/>
        <v>3.6261251533200522E-5</v>
      </c>
      <c r="Y214" s="7">
        <f t="shared" si="35"/>
        <v>0.99916342301159677</v>
      </c>
      <c r="Z214" s="7">
        <f t="shared" si="31"/>
        <v>0.95923870276844492</v>
      </c>
      <c r="AA214" t="str">
        <f t="shared" si="32"/>
        <v>C</v>
      </c>
      <c r="AB214" t="str">
        <f t="shared" si="33"/>
        <v>Y</v>
      </c>
      <c r="AC214" t="str">
        <f t="shared" si="34"/>
        <v>CY</v>
      </c>
    </row>
    <row r="215" spans="1:29" x14ac:dyDescent="0.25">
      <c r="A215" t="s">
        <v>929</v>
      </c>
      <c r="B215" t="s">
        <v>2777</v>
      </c>
      <c r="C215" s="4" t="s">
        <v>3057</v>
      </c>
      <c r="D215" s="4" t="s">
        <v>3057</v>
      </c>
      <c r="E215" s="4" t="s">
        <v>3057</v>
      </c>
      <c r="F215" s="4" t="s">
        <v>3057</v>
      </c>
      <c r="G215" s="4" t="s">
        <v>3057</v>
      </c>
      <c r="H215" s="4" t="s">
        <v>3057</v>
      </c>
      <c r="I215" s="4" t="s">
        <v>3057</v>
      </c>
      <c r="J215" s="4" t="s">
        <v>3057</v>
      </c>
      <c r="K215" s="4">
        <v>7</v>
      </c>
      <c r="L215" s="4">
        <v>3.0000000000000009</v>
      </c>
      <c r="M215" s="4">
        <v>1</v>
      </c>
      <c r="N215" s="4">
        <v>6</v>
      </c>
      <c r="O215" s="4">
        <v>1</v>
      </c>
      <c r="P215" s="4" t="s">
        <v>3057</v>
      </c>
      <c r="Q215" s="4">
        <v>3</v>
      </c>
      <c r="R215" s="4" t="s">
        <v>3057</v>
      </c>
      <c r="S215" s="4">
        <v>2</v>
      </c>
      <c r="T215" s="4" t="s">
        <v>3057</v>
      </c>
      <c r="U215" s="4">
        <f t="shared" si="27"/>
        <v>23</v>
      </c>
      <c r="V215" s="5">
        <f t="shared" si="28"/>
        <v>3.2857142857142856</v>
      </c>
      <c r="W215" s="5">
        <f t="shared" si="29"/>
        <v>0.10952380952380952</v>
      </c>
      <c r="X215" s="7">
        <f t="shared" si="30"/>
        <v>3.475036605265051E-5</v>
      </c>
      <c r="Y215" s="7">
        <f t="shared" si="35"/>
        <v>0.99919817337764938</v>
      </c>
      <c r="Z215" s="7">
        <f t="shared" si="31"/>
        <v>0.66508950177297188</v>
      </c>
      <c r="AA215" t="str">
        <f t="shared" si="32"/>
        <v>C</v>
      </c>
      <c r="AB215" t="str">
        <f t="shared" si="33"/>
        <v>Y</v>
      </c>
      <c r="AC215" t="str">
        <f t="shared" si="34"/>
        <v>CY</v>
      </c>
    </row>
    <row r="216" spans="1:29" x14ac:dyDescent="0.25">
      <c r="A216" t="s">
        <v>1640</v>
      </c>
      <c r="B216" t="s">
        <v>2879</v>
      </c>
      <c r="C216" s="4" t="s">
        <v>3057</v>
      </c>
      <c r="D216" s="4" t="s">
        <v>3057</v>
      </c>
      <c r="E216" s="4" t="s">
        <v>3057</v>
      </c>
      <c r="F216" s="4" t="s">
        <v>3057</v>
      </c>
      <c r="G216" s="4" t="s">
        <v>3057</v>
      </c>
      <c r="H216" s="4" t="s">
        <v>3057</v>
      </c>
      <c r="I216" s="4">
        <v>5</v>
      </c>
      <c r="J216" s="4" t="s">
        <v>3057</v>
      </c>
      <c r="K216" s="4">
        <v>16.999999999999996</v>
      </c>
      <c r="L216" s="4" t="s">
        <v>3057</v>
      </c>
      <c r="M216" s="4">
        <v>1</v>
      </c>
      <c r="N216" s="4" t="s">
        <v>3057</v>
      </c>
      <c r="O216" s="4" t="s">
        <v>3057</v>
      </c>
      <c r="P216" s="4" t="s">
        <v>3057</v>
      </c>
      <c r="Q216" s="4" t="s">
        <v>3057</v>
      </c>
      <c r="R216" s="4" t="s">
        <v>3057</v>
      </c>
      <c r="S216" s="4" t="s">
        <v>3057</v>
      </c>
      <c r="T216" s="4" t="s">
        <v>3057</v>
      </c>
      <c r="U216" s="4">
        <f t="shared" si="27"/>
        <v>22.999999999999996</v>
      </c>
      <c r="V216" s="5">
        <f t="shared" si="28"/>
        <v>7.6666666666666652</v>
      </c>
      <c r="W216" s="5">
        <f t="shared" si="29"/>
        <v>0.25555555555555548</v>
      </c>
      <c r="X216" s="7">
        <f t="shared" si="30"/>
        <v>3.4750366052650503E-5</v>
      </c>
      <c r="Y216" s="7">
        <f t="shared" si="35"/>
        <v>0.99923292374370198</v>
      </c>
      <c r="Z216" s="7">
        <f t="shared" si="31"/>
        <v>0.88678600236396254</v>
      </c>
      <c r="AA216" t="str">
        <f t="shared" si="32"/>
        <v>C</v>
      </c>
      <c r="AB216" t="str">
        <f t="shared" si="33"/>
        <v>Y</v>
      </c>
      <c r="AC216" t="str">
        <f t="shared" si="34"/>
        <v>CY</v>
      </c>
    </row>
    <row r="217" spans="1:29" x14ac:dyDescent="0.25">
      <c r="A217" t="s">
        <v>499</v>
      </c>
      <c r="B217" t="s">
        <v>2854</v>
      </c>
      <c r="C217" s="4" t="s">
        <v>3057</v>
      </c>
      <c r="D217" s="4" t="s">
        <v>3057</v>
      </c>
      <c r="E217" s="4" t="s">
        <v>3057</v>
      </c>
      <c r="F217" s="4" t="s">
        <v>3057</v>
      </c>
      <c r="G217" s="4" t="s">
        <v>3057</v>
      </c>
      <c r="H217" s="4">
        <v>5</v>
      </c>
      <c r="I217" s="4" t="s">
        <v>3057</v>
      </c>
      <c r="J217" s="4" t="s">
        <v>3057</v>
      </c>
      <c r="K217" s="4" t="s">
        <v>3057</v>
      </c>
      <c r="L217" s="4" t="s">
        <v>3057</v>
      </c>
      <c r="M217" s="4">
        <v>0</v>
      </c>
      <c r="N217" s="4" t="s">
        <v>3057</v>
      </c>
      <c r="O217" s="4">
        <v>12</v>
      </c>
      <c r="P217" s="4">
        <v>5</v>
      </c>
      <c r="Q217" s="4" t="s">
        <v>3057</v>
      </c>
      <c r="R217" s="4" t="s">
        <v>3057</v>
      </c>
      <c r="S217" s="4" t="s">
        <v>3057</v>
      </c>
      <c r="T217" s="4" t="s">
        <v>3057</v>
      </c>
      <c r="U217" s="4">
        <f t="shared" si="27"/>
        <v>22</v>
      </c>
      <c r="V217" s="5">
        <f t="shared" si="28"/>
        <v>5.5</v>
      </c>
      <c r="W217" s="5">
        <f t="shared" si="29"/>
        <v>0.18333333333333332</v>
      </c>
      <c r="X217" s="7">
        <f t="shared" si="30"/>
        <v>3.3239480572100484E-5</v>
      </c>
      <c r="Y217" s="7">
        <f t="shared" si="35"/>
        <v>0.99926616322427408</v>
      </c>
      <c r="Z217" s="7">
        <f t="shared" si="31"/>
        <v>0.77672761321068462</v>
      </c>
      <c r="AA217" t="str">
        <f t="shared" si="32"/>
        <v>C</v>
      </c>
      <c r="AB217" t="str">
        <f t="shared" si="33"/>
        <v>Y</v>
      </c>
      <c r="AC217" t="str">
        <f t="shared" si="34"/>
        <v>CY</v>
      </c>
    </row>
    <row r="218" spans="1:29" x14ac:dyDescent="0.25">
      <c r="A218" t="s">
        <v>1344</v>
      </c>
      <c r="B218" t="s">
        <v>2698</v>
      </c>
      <c r="C218" s="4" t="s">
        <v>3057</v>
      </c>
      <c r="D218" s="4" t="s">
        <v>3057</v>
      </c>
      <c r="E218" s="4" t="s">
        <v>3057</v>
      </c>
      <c r="F218" s="4" t="s">
        <v>3057</v>
      </c>
      <c r="G218" s="4">
        <v>4</v>
      </c>
      <c r="H218" s="4">
        <v>2</v>
      </c>
      <c r="I218" s="4" t="s">
        <v>3057</v>
      </c>
      <c r="J218" s="4">
        <v>5</v>
      </c>
      <c r="K218" s="4">
        <v>1.9999999999999996</v>
      </c>
      <c r="L218" s="4" t="s">
        <v>3057</v>
      </c>
      <c r="M218" s="4">
        <v>2</v>
      </c>
      <c r="N218" s="4" t="s">
        <v>3057</v>
      </c>
      <c r="O218" s="4" t="s">
        <v>3057</v>
      </c>
      <c r="P218" s="4" t="s">
        <v>3057</v>
      </c>
      <c r="Q218" s="4">
        <v>3</v>
      </c>
      <c r="R218" s="4" t="s">
        <v>3057</v>
      </c>
      <c r="S218" s="4" t="s">
        <v>3057</v>
      </c>
      <c r="T218" s="4">
        <v>2.9999999999999991</v>
      </c>
      <c r="U218" s="4">
        <f t="shared" si="27"/>
        <v>21</v>
      </c>
      <c r="V218" s="5">
        <f t="shared" si="28"/>
        <v>3</v>
      </c>
      <c r="W218" s="5">
        <f t="shared" si="29"/>
        <v>0.1</v>
      </c>
      <c r="X218" s="7">
        <f t="shared" si="30"/>
        <v>3.1728595091550465E-5</v>
      </c>
      <c r="Y218" s="7">
        <f t="shared" si="35"/>
        <v>0.99929789181936568</v>
      </c>
      <c r="Z218" s="7">
        <f t="shared" si="31"/>
        <v>0.35634832254989918</v>
      </c>
      <c r="AA218" t="str">
        <f t="shared" si="32"/>
        <v>C</v>
      </c>
      <c r="AB218" t="str">
        <f t="shared" si="33"/>
        <v>X</v>
      </c>
      <c r="AC218" t="str">
        <f t="shared" si="34"/>
        <v>CX</v>
      </c>
    </row>
    <row r="219" spans="1:29" x14ac:dyDescent="0.25">
      <c r="A219" t="s">
        <v>2280</v>
      </c>
      <c r="B219" t="s">
        <v>2671</v>
      </c>
      <c r="C219" s="4" t="s">
        <v>3057</v>
      </c>
      <c r="D219" s="4" t="s">
        <v>3057</v>
      </c>
      <c r="E219" s="4" t="s">
        <v>3057</v>
      </c>
      <c r="F219" s="4" t="s">
        <v>3057</v>
      </c>
      <c r="G219" s="4" t="s">
        <v>3057</v>
      </c>
      <c r="H219" s="4" t="s">
        <v>3057</v>
      </c>
      <c r="I219" s="4" t="s">
        <v>3057</v>
      </c>
      <c r="J219" s="4" t="s">
        <v>3057</v>
      </c>
      <c r="K219" s="4" t="s">
        <v>3057</v>
      </c>
      <c r="L219" s="4" t="s">
        <v>3057</v>
      </c>
      <c r="M219" s="4">
        <v>0</v>
      </c>
      <c r="N219" s="4" t="s">
        <v>3057</v>
      </c>
      <c r="O219" s="4" t="s">
        <v>3057</v>
      </c>
      <c r="P219" s="4" t="s">
        <v>3057</v>
      </c>
      <c r="Q219" s="4" t="s">
        <v>3057</v>
      </c>
      <c r="R219" s="4" t="s">
        <v>3057</v>
      </c>
      <c r="S219" s="4">
        <v>20</v>
      </c>
      <c r="T219" s="4" t="s">
        <v>3057</v>
      </c>
      <c r="U219" s="4">
        <f t="shared" si="27"/>
        <v>20</v>
      </c>
      <c r="V219" s="5">
        <f t="shared" si="28"/>
        <v>10</v>
      </c>
      <c r="W219" s="5">
        <f t="shared" si="29"/>
        <v>0.33333333333333331</v>
      </c>
      <c r="X219" s="7">
        <f t="shared" si="30"/>
        <v>3.0217709611000442E-5</v>
      </c>
      <c r="Y219" s="7">
        <f t="shared" si="35"/>
        <v>0.99932810952897666</v>
      </c>
      <c r="Z219" s="7">
        <f t="shared" si="31"/>
        <v>1</v>
      </c>
      <c r="AA219" t="str">
        <f t="shared" si="32"/>
        <v>C</v>
      </c>
      <c r="AB219" t="str">
        <f t="shared" si="33"/>
        <v>Y</v>
      </c>
      <c r="AC219" t="str">
        <f t="shared" si="34"/>
        <v>CY</v>
      </c>
    </row>
    <row r="220" spans="1:29" x14ac:dyDescent="0.25">
      <c r="A220" t="s">
        <v>736</v>
      </c>
      <c r="B220" t="s">
        <v>2747</v>
      </c>
      <c r="C220" s="4">
        <v>4</v>
      </c>
      <c r="D220" s="4" t="s">
        <v>3057</v>
      </c>
      <c r="E220" s="4" t="s">
        <v>3057</v>
      </c>
      <c r="F220" s="4">
        <v>1</v>
      </c>
      <c r="G220" s="4">
        <v>2</v>
      </c>
      <c r="H220" s="4" t="s">
        <v>3057</v>
      </c>
      <c r="I220" s="4">
        <v>1</v>
      </c>
      <c r="J220" s="4">
        <v>1</v>
      </c>
      <c r="K220" s="4" t="s">
        <v>3057</v>
      </c>
      <c r="L220" s="4">
        <v>2</v>
      </c>
      <c r="M220" s="4">
        <v>0</v>
      </c>
      <c r="N220" s="4" t="s">
        <v>3057</v>
      </c>
      <c r="O220" s="4">
        <v>1</v>
      </c>
      <c r="P220" s="4">
        <v>2</v>
      </c>
      <c r="Q220" s="4">
        <v>1</v>
      </c>
      <c r="R220" s="4">
        <v>2</v>
      </c>
      <c r="S220" s="4">
        <v>1</v>
      </c>
      <c r="T220" s="4">
        <v>2</v>
      </c>
      <c r="U220" s="4">
        <f t="shared" si="27"/>
        <v>20</v>
      </c>
      <c r="V220" s="5">
        <f t="shared" si="28"/>
        <v>1.5384615384615385</v>
      </c>
      <c r="W220" s="5">
        <f t="shared" si="29"/>
        <v>5.1282051282051287E-2</v>
      </c>
      <c r="X220" s="7">
        <f t="shared" si="30"/>
        <v>3.0217709611000442E-5</v>
      </c>
      <c r="Y220" s="7">
        <f t="shared" si="35"/>
        <v>0.99935832723858764</v>
      </c>
      <c r="Z220" s="7">
        <f t="shared" si="31"/>
        <v>0.60415229867972853</v>
      </c>
      <c r="AA220" t="str">
        <f t="shared" si="32"/>
        <v>C</v>
      </c>
      <c r="AB220" t="str">
        <f t="shared" si="33"/>
        <v>Y</v>
      </c>
      <c r="AC220" t="str">
        <f t="shared" si="34"/>
        <v>CY</v>
      </c>
    </row>
    <row r="221" spans="1:29" x14ac:dyDescent="0.25">
      <c r="A221" t="s">
        <v>1625</v>
      </c>
      <c r="B221" t="s">
        <v>2888</v>
      </c>
      <c r="C221" s="4" t="s">
        <v>3057</v>
      </c>
      <c r="D221" s="4" t="s">
        <v>3057</v>
      </c>
      <c r="E221" s="4" t="s">
        <v>3057</v>
      </c>
      <c r="F221" s="4" t="s">
        <v>3057</v>
      </c>
      <c r="G221" s="4" t="s">
        <v>3057</v>
      </c>
      <c r="H221" s="4" t="s">
        <v>3057</v>
      </c>
      <c r="I221" s="4">
        <v>5</v>
      </c>
      <c r="J221" s="4" t="s">
        <v>3057</v>
      </c>
      <c r="K221" s="4">
        <v>3</v>
      </c>
      <c r="L221" s="4">
        <v>2</v>
      </c>
      <c r="M221" s="4">
        <v>0</v>
      </c>
      <c r="N221" s="4" t="s">
        <v>3057</v>
      </c>
      <c r="O221" s="4" t="s">
        <v>3057</v>
      </c>
      <c r="P221" s="4">
        <v>2</v>
      </c>
      <c r="Q221" s="4">
        <v>8</v>
      </c>
      <c r="R221" s="4" t="s">
        <v>3057</v>
      </c>
      <c r="S221" s="4" t="s">
        <v>3057</v>
      </c>
      <c r="T221" s="4" t="s">
        <v>3057</v>
      </c>
      <c r="U221" s="4">
        <f t="shared" si="27"/>
        <v>20</v>
      </c>
      <c r="V221" s="5">
        <f t="shared" si="28"/>
        <v>3.3333333333333335</v>
      </c>
      <c r="W221" s="5">
        <f t="shared" si="29"/>
        <v>0.11111111111111112</v>
      </c>
      <c r="X221" s="7">
        <f t="shared" si="30"/>
        <v>3.0217709611000442E-5</v>
      </c>
      <c r="Y221" s="7">
        <f t="shared" si="35"/>
        <v>0.99938854494819862</v>
      </c>
      <c r="Z221" s="7">
        <f t="shared" si="31"/>
        <v>0.76811457478686085</v>
      </c>
      <c r="AA221" t="str">
        <f t="shared" si="32"/>
        <v>C</v>
      </c>
      <c r="AB221" t="str">
        <f t="shared" si="33"/>
        <v>Y</v>
      </c>
      <c r="AC221" t="str">
        <f t="shared" si="34"/>
        <v>CY</v>
      </c>
    </row>
    <row r="222" spans="1:29" x14ac:dyDescent="0.25">
      <c r="A222" t="s">
        <v>1674</v>
      </c>
      <c r="B222" t="s">
        <v>2915</v>
      </c>
      <c r="C222" s="4" t="s">
        <v>3057</v>
      </c>
      <c r="D222" s="4" t="s">
        <v>3057</v>
      </c>
      <c r="E222" s="4" t="s">
        <v>3057</v>
      </c>
      <c r="F222" s="4" t="s">
        <v>3057</v>
      </c>
      <c r="G222" s="4" t="s">
        <v>3057</v>
      </c>
      <c r="H222" s="4" t="s">
        <v>3057</v>
      </c>
      <c r="I222" s="4" t="s">
        <v>3057</v>
      </c>
      <c r="J222" s="4">
        <v>20</v>
      </c>
      <c r="K222" s="4" t="s">
        <v>3057</v>
      </c>
      <c r="L222" s="4" t="s">
        <v>3057</v>
      </c>
      <c r="M222" s="4">
        <v>0</v>
      </c>
      <c r="N222" s="4" t="s">
        <v>3057</v>
      </c>
      <c r="O222" s="4" t="s">
        <v>3057</v>
      </c>
      <c r="P222" s="4" t="s">
        <v>3057</v>
      </c>
      <c r="Q222" s="4" t="s">
        <v>3057</v>
      </c>
      <c r="R222" s="4" t="s">
        <v>3057</v>
      </c>
      <c r="S222" s="4" t="s">
        <v>3057</v>
      </c>
      <c r="T222" s="4" t="s">
        <v>3057</v>
      </c>
      <c r="U222" s="4">
        <f t="shared" si="27"/>
        <v>20</v>
      </c>
      <c r="V222" s="5">
        <f t="shared" si="28"/>
        <v>10</v>
      </c>
      <c r="W222" s="5">
        <f t="shared" si="29"/>
        <v>0.33333333333333331</v>
      </c>
      <c r="X222" s="7">
        <f t="shared" si="30"/>
        <v>3.0217709611000442E-5</v>
      </c>
      <c r="Y222" s="7">
        <f t="shared" si="35"/>
        <v>0.9994187626578096</v>
      </c>
      <c r="Z222" s="7">
        <f t="shared" si="31"/>
        <v>1</v>
      </c>
      <c r="AA222" t="str">
        <f t="shared" si="32"/>
        <v>C</v>
      </c>
      <c r="AB222" t="str">
        <f t="shared" si="33"/>
        <v>Y</v>
      </c>
      <c r="AC222" t="str">
        <f t="shared" si="34"/>
        <v>CY</v>
      </c>
    </row>
    <row r="223" spans="1:29" x14ac:dyDescent="0.25">
      <c r="A223" t="s">
        <v>1359</v>
      </c>
      <c r="B223" t="s">
        <v>2804</v>
      </c>
      <c r="C223" s="4" t="s">
        <v>3057</v>
      </c>
      <c r="D223" s="4" t="s">
        <v>3057</v>
      </c>
      <c r="E223" s="4" t="s">
        <v>3057</v>
      </c>
      <c r="F223" s="4" t="s">
        <v>3057</v>
      </c>
      <c r="G223" s="4">
        <v>1</v>
      </c>
      <c r="H223" s="4" t="s">
        <v>3057</v>
      </c>
      <c r="I223" s="4" t="s">
        <v>3057</v>
      </c>
      <c r="J223" s="4">
        <v>2.0000000000000009</v>
      </c>
      <c r="K223" s="4">
        <v>6.0000000000000009</v>
      </c>
      <c r="L223" s="4">
        <v>1.9999999999999998</v>
      </c>
      <c r="M223" s="4">
        <v>0</v>
      </c>
      <c r="N223" s="4" t="s">
        <v>3057</v>
      </c>
      <c r="O223" s="4">
        <v>2</v>
      </c>
      <c r="P223" s="4" t="s">
        <v>3057</v>
      </c>
      <c r="Q223" s="4">
        <v>1.9999999999999998</v>
      </c>
      <c r="R223" s="4">
        <v>2</v>
      </c>
      <c r="S223" s="4">
        <v>2</v>
      </c>
      <c r="T223" s="4" t="s">
        <v>3057</v>
      </c>
      <c r="U223" s="4">
        <f t="shared" si="27"/>
        <v>19</v>
      </c>
      <c r="V223" s="5">
        <f t="shared" si="28"/>
        <v>2.1111111111111112</v>
      </c>
      <c r="W223" s="5">
        <f t="shared" si="29"/>
        <v>7.0370370370370375E-2</v>
      </c>
      <c r="X223" s="7">
        <f t="shared" si="30"/>
        <v>2.8706824130450419E-5</v>
      </c>
      <c r="Y223" s="7">
        <f t="shared" si="35"/>
        <v>0.99944746948194008</v>
      </c>
      <c r="Z223" s="7">
        <f t="shared" si="31"/>
        <v>0.72164785267379428</v>
      </c>
      <c r="AA223" t="str">
        <f t="shared" si="32"/>
        <v>C</v>
      </c>
      <c r="AB223" t="str">
        <f t="shared" si="33"/>
        <v>Y</v>
      </c>
      <c r="AC223" t="str">
        <f t="shared" si="34"/>
        <v>CY</v>
      </c>
    </row>
    <row r="224" spans="1:29" x14ac:dyDescent="0.25">
      <c r="A224" t="s">
        <v>1349</v>
      </c>
      <c r="B224" t="s">
        <v>2762</v>
      </c>
      <c r="C224" s="4" t="s">
        <v>3057</v>
      </c>
      <c r="D224" s="4" t="s">
        <v>3057</v>
      </c>
      <c r="E224" s="4" t="s">
        <v>3057</v>
      </c>
      <c r="F224" s="4" t="s">
        <v>3057</v>
      </c>
      <c r="G224" s="4">
        <v>1.9999999999999998</v>
      </c>
      <c r="H224" s="4">
        <v>1</v>
      </c>
      <c r="I224" s="4">
        <v>3.600000000000001</v>
      </c>
      <c r="J224" s="4">
        <v>3.4000000000000004</v>
      </c>
      <c r="K224" s="4">
        <v>2</v>
      </c>
      <c r="L224" s="4">
        <v>2</v>
      </c>
      <c r="M224" s="4">
        <v>0</v>
      </c>
      <c r="N224" s="4" t="s">
        <v>3057</v>
      </c>
      <c r="O224" s="4" t="s">
        <v>3057</v>
      </c>
      <c r="P224" s="4" t="s">
        <v>3057</v>
      </c>
      <c r="Q224" s="4">
        <v>1</v>
      </c>
      <c r="R224" s="4">
        <v>1</v>
      </c>
      <c r="S224" s="4">
        <v>2</v>
      </c>
      <c r="T224" s="4" t="s">
        <v>3057</v>
      </c>
      <c r="U224" s="4">
        <f t="shared" si="27"/>
        <v>18</v>
      </c>
      <c r="V224" s="5">
        <f t="shared" si="28"/>
        <v>1.8</v>
      </c>
      <c r="W224" s="5">
        <f t="shared" si="29"/>
        <v>6.0000000000000005E-2</v>
      </c>
      <c r="X224" s="7">
        <f t="shared" si="30"/>
        <v>2.7195938649900397E-5</v>
      </c>
      <c r="Y224" s="7">
        <f t="shared" si="35"/>
        <v>0.99947466542058994</v>
      </c>
      <c r="Z224" s="7">
        <f t="shared" si="31"/>
        <v>0.58584117006506997</v>
      </c>
      <c r="AA224" t="str">
        <f t="shared" si="32"/>
        <v>C</v>
      </c>
      <c r="AB224" t="str">
        <f t="shared" si="33"/>
        <v>Y</v>
      </c>
      <c r="AC224" t="str">
        <f t="shared" si="34"/>
        <v>CY</v>
      </c>
    </row>
    <row r="225" spans="1:29" x14ac:dyDescent="0.25">
      <c r="A225" t="s">
        <v>114</v>
      </c>
      <c r="B225" t="s">
        <v>2775</v>
      </c>
      <c r="C225" s="4" t="s">
        <v>3057</v>
      </c>
      <c r="D225" s="4" t="s">
        <v>3057</v>
      </c>
      <c r="E225" s="4" t="s">
        <v>3057</v>
      </c>
      <c r="F225" s="4">
        <v>1</v>
      </c>
      <c r="G225" s="4">
        <v>1.9999999999999998</v>
      </c>
      <c r="H225" s="4">
        <v>1.9999999999999998</v>
      </c>
      <c r="I225" s="4">
        <v>3</v>
      </c>
      <c r="J225" s="4">
        <v>2.0000000000000004</v>
      </c>
      <c r="K225" s="4">
        <v>1.9999999999999996</v>
      </c>
      <c r="L225" s="4">
        <v>1</v>
      </c>
      <c r="M225" s="4">
        <v>1</v>
      </c>
      <c r="N225" s="4" t="s">
        <v>3057</v>
      </c>
      <c r="O225" s="4" t="s">
        <v>3057</v>
      </c>
      <c r="P225" s="4">
        <v>1</v>
      </c>
      <c r="Q225" s="4" t="s">
        <v>3057</v>
      </c>
      <c r="R225" s="4">
        <v>1.9999999999999998</v>
      </c>
      <c r="S225" s="4" t="s">
        <v>3057</v>
      </c>
      <c r="T225" s="4">
        <v>1</v>
      </c>
      <c r="U225" s="4">
        <f t="shared" si="27"/>
        <v>18</v>
      </c>
      <c r="V225" s="5">
        <f t="shared" si="28"/>
        <v>1.6363636363636365</v>
      </c>
      <c r="W225" s="5">
        <f t="shared" si="29"/>
        <v>5.454545454545455E-2</v>
      </c>
      <c r="X225" s="7">
        <f t="shared" si="30"/>
        <v>2.7195938649900397E-5</v>
      </c>
      <c r="Y225" s="7">
        <f t="shared" si="35"/>
        <v>0.9995018613592398</v>
      </c>
      <c r="Z225" s="7">
        <f t="shared" si="31"/>
        <v>0.39283710065919308</v>
      </c>
      <c r="AA225" t="str">
        <f t="shared" si="32"/>
        <v>C</v>
      </c>
      <c r="AB225" t="str">
        <f t="shared" si="33"/>
        <v>X</v>
      </c>
      <c r="AC225" t="str">
        <f t="shared" si="34"/>
        <v>CX</v>
      </c>
    </row>
    <row r="226" spans="1:29" x14ac:dyDescent="0.25">
      <c r="A226" t="s">
        <v>597</v>
      </c>
      <c r="B226" t="s">
        <v>2806</v>
      </c>
      <c r="C226" s="4" t="s">
        <v>3057</v>
      </c>
      <c r="D226" s="4" t="s">
        <v>3057</v>
      </c>
      <c r="E226" s="4" t="s">
        <v>3057</v>
      </c>
      <c r="F226" s="4">
        <v>5</v>
      </c>
      <c r="G226" s="4" t="s">
        <v>3057</v>
      </c>
      <c r="H226" s="4">
        <v>1</v>
      </c>
      <c r="I226" s="4">
        <v>1</v>
      </c>
      <c r="J226" s="4">
        <v>1</v>
      </c>
      <c r="K226" s="4">
        <v>1.5</v>
      </c>
      <c r="L226" s="4">
        <v>1</v>
      </c>
      <c r="M226" s="4">
        <v>0</v>
      </c>
      <c r="N226" s="4">
        <v>1</v>
      </c>
      <c r="O226" s="4">
        <v>2</v>
      </c>
      <c r="P226" s="4">
        <v>1</v>
      </c>
      <c r="Q226" s="4">
        <v>2</v>
      </c>
      <c r="R226" s="4" t="s">
        <v>3057</v>
      </c>
      <c r="S226" s="4">
        <v>1</v>
      </c>
      <c r="T226" s="4" t="s">
        <v>3057</v>
      </c>
      <c r="U226" s="4">
        <f t="shared" si="27"/>
        <v>17.5</v>
      </c>
      <c r="V226" s="5">
        <f t="shared" si="28"/>
        <v>1.4583333333333333</v>
      </c>
      <c r="W226" s="5">
        <f t="shared" si="29"/>
        <v>4.8611111111111112E-2</v>
      </c>
      <c r="X226" s="7">
        <f t="shared" si="30"/>
        <v>2.6440495909625387E-5</v>
      </c>
      <c r="Y226" s="7">
        <f t="shared" si="35"/>
        <v>0.9995283018551494</v>
      </c>
      <c r="Z226" s="7">
        <f t="shared" si="31"/>
        <v>0.80963584658884313</v>
      </c>
      <c r="AA226" t="str">
        <f t="shared" si="32"/>
        <v>C</v>
      </c>
      <c r="AB226" t="str">
        <f t="shared" si="33"/>
        <v>Y</v>
      </c>
      <c r="AC226" t="str">
        <f t="shared" si="34"/>
        <v>CY</v>
      </c>
    </row>
    <row r="227" spans="1:29" x14ac:dyDescent="0.25">
      <c r="A227" t="s">
        <v>109</v>
      </c>
      <c r="B227" t="s">
        <v>2757</v>
      </c>
      <c r="C227" s="4" t="s">
        <v>3057</v>
      </c>
      <c r="D227" s="4" t="s">
        <v>3057</v>
      </c>
      <c r="E227" s="4" t="s">
        <v>3057</v>
      </c>
      <c r="F227" s="4" t="s">
        <v>3057</v>
      </c>
      <c r="G227" s="4">
        <v>4</v>
      </c>
      <c r="H227" s="4" t="s">
        <v>3057</v>
      </c>
      <c r="I227" s="4">
        <v>1</v>
      </c>
      <c r="J227" s="4">
        <v>3.0000000000000004</v>
      </c>
      <c r="K227" s="4">
        <v>1.9999999999999993</v>
      </c>
      <c r="L227" s="4" t="s">
        <v>3057</v>
      </c>
      <c r="M227" s="4">
        <v>1.9999999999999998</v>
      </c>
      <c r="N227" s="4" t="s">
        <v>3057</v>
      </c>
      <c r="O227" s="4">
        <v>2</v>
      </c>
      <c r="P227" s="4" t="s">
        <v>3057</v>
      </c>
      <c r="Q227" s="4">
        <v>1</v>
      </c>
      <c r="R227" s="4" t="s">
        <v>3057</v>
      </c>
      <c r="S227" s="4">
        <v>1</v>
      </c>
      <c r="T227" s="4">
        <v>1</v>
      </c>
      <c r="U227" s="4">
        <f t="shared" si="27"/>
        <v>17</v>
      </c>
      <c r="V227" s="5">
        <f t="shared" si="28"/>
        <v>1.8888888888888888</v>
      </c>
      <c r="W227" s="5">
        <f t="shared" si="29"/>
        <v>6.2962962962962957E-2</v>
      </c>
      <c r="X227" s="7">
        <f t="shared" si="30"/>
        <v>2.5685053169350374E-5</v>
      </c>
      <c r="Y227" s="7">
        <f t="shared" si="35"/>
        <v>0.99955398690831876</v>
      </c>
      <c r="Z227" s="7">
        <f t="shared" si="31"/>
        <v>0.52613364176465638</v>
      </c>
      <c r="AA227" t="str">
        <f t="shared" si="32"/>
        <v>C</v>
      </c>
      <c r="AB227" t="str">
        <f t="shared" si="33"/>
        <v>Y</v>
      </c>
      <c r="AC227" t="str">
        <f t="shared" si="34"/>
        <v>CY</v>
      </c>
    </row>
    <row r="228" spans="1:29" x14ac:dyDescent="0.25">
      <c r="A228" t="s">
        <v>93</v>
      </c>
      <c r="B228" t="s">
        <v>2882</v>
      </c>
      <c r="C228" s="4" t="s">
        <v>3057</v>
      </c>
      <c r="D228" s="4" t="s">
        <v>3057</v>
      </c>
      <c r="E228" s="4" t="s">
        <v>3057</v>
      </c>
      <c r="F228" s="4" t="s">
        <v>3057</v>
      </c>
      <c r="G228" s="4">
        <v>5</v>
      </c>
      <c r="H228" s="4">
        <v>5</v>
      </c>
      <c r="I228" s="4" t="s">
        <v>3057</v>
      </c>
      <c r="J228" s="4" t="s">
        <v>3057</v>
      </c>
      <c r="K228" s="4" t="s">
        <v>3057</v>
      </c>
      <c r="L228" s="4">
        <v>3.9999999999999996</v>
      </c>
      <c r="M228" s="4">
        <v>0</v>
      </c>
      <c r="N228" s="4" t="s">
        <v>3057</v>
      </c>
      <c r="O228" s="4">
        <v>3</v>
      </c>
      <c r="P228" s="4" t="s">
        <v>3057</v>
      </c>
      <c r="Q228" s="4" t="s">
        <v>3057</v>
      </c>
      <c r="R228" s="4" t="s">
        <v>3057</v>
      </c>
      <c r="S228" s="4" t="s">
        <v>3057</v>
      </c>
      <c r="T228" s="4" t="s">
        <v>3057</v>
      </c>
      <c r="U228" s="4">
        <f t="shared" si="27"/>
        <v>17</v>
      </c>
      <c r="V228" s="5">
        <f t="shared" si="28"/>
        <v>3.4</v>
      </c>
      <c r="W228" s="5">
        <f t="shared" si="29"/>
        <v>0.11333333333333333</v>
      </c>
      <c r="X228" s="7">
        <f t="shared" si="30"/>
        <v>2.5685053169350374E-5</v>
      </c>
      <c r="Y228" s="7">
        <f t="shared" si="35"/>
        <v>0.99957967196148811</v>
      </c>
      <c r="Z228" s="7">
        <f t="shared" si="31"/>
        <v>0.54550697032327666</v>
      </c>
      <c r="AA228" t="str">
        <f t="shared" si="32"/>
        <v>C</v>
      </c>
      <c r="AB228" t="str">
        <f t="shared" si="33"/>
        <v>Y</v>
      </c>
      <c r="AC228" t="str">
        <f t="shared" si="34"/>
        <v>CY</v>
      </c>
    </row>
    <row r="229" spans="1:29" x14ac:dyDescent="0.25">
      <c r="A229" t="s">
        <v>1519</v>
      </c>
      <c r="B229" t="s">
        <v>2750</v>
      </c>
      <c r="C229" s="4" t="s">
        <v>3057</v>
      </c>
      <c r="D229" s="4" t="s">
        <v>3057</v>
      </c>
      <c r="E229" s="4" t="s">
        <v>3057</v>
      </c>
      <c r="F229" s="4" t="s">
        <v>3057</v>
      </c>
      <c r="G229" s="4" t="s">
        <v>3057</v>
      </c>
      <c r="H229" s="4">
        <v>7</v>
      </c>
      <c r="I229" s="4" t="s">
        <v>3057</v>
      </c>
      <c r="J229" s="4" t="s">
        <v>3057</v>
      </c>
      <c r="K229" s="4" t="s">
        <v>3057</v>
      </c>
      <c r="L229" s="4" t="s">
        <v>3057</v>
      </c>
      <c r="M229" s="4">
        <v>0</v>
      </c>
      <c r="N229" s="4" t="s">
        <v>3057</v>
      </c>
      <c r="O229" s="4" t="s">
        <v>3057</v>
      </c>
      <c r="P229" s="4" t="s">
        <v>3057</v>
      </c>
      <c r="Q229" s="4">
        <v>4</v>
      </c>
      <c r="R229" s="4">
        <v>5</v>
      </c>
      <c r="S229" s="4" t="s">
        <v>3057</v>
      </c>
      <c r="T229" s="4" t="s">
        <v>3057</v>
      </c>
      <c r="U229" s="4">
        <f t="shared" si="27"/>
        <v>16</v>
      </c>
      <c r="V229" s="5">
        <f t="shared" si="28"/>
        <v>4</v>
      </c>
      <c r="W229" s="5">
        <f t="shared" si="29"/>
        <v>0.13333333333333333</v>
      </c>
      <c r="X229" s="7">
        <f t="shared" si="30"/>
        <v>2.4174167688800355E-5</v>
      </c>
      <c r="Y229" s="7">
        <f t="shared" si="35"/>
        <v>0.99960384612917697</v>
      </c>
      <c r="Z229" s="7">
        <f t="shared" si="31"/>
        <v>0.63737743919909806</v>
      </c>
      <c r="AA229" t="str">
        <f t="shared" si="32"/>
        <v>C</v>
      </c>
      <c r="AB229" t="str">
        <f t="shared" si="33"/>
        <v>Y</v>
      </c>
      <c r="AC229" t="str">
        <f t="shared" si="34"/>
        <v>CY</v>
      </c>
    </row>
    <row r="230" spans="1:29" x14ac:dyDescent="0.25">
      <c r="A230" t="s">
        <v>922</v>
      </c>
      <c r="B230" t="s">
        <v>2821</v>
      </c>
      <c r="C230" s="4" t="s">
        <v>3057</v>
      </c>
      <c r="D230" s="4" t="s">
        <v>3057</v>
      </c>
      <c r="E230" s="4" t="s">
        <v>3057</v>
      </c>
      <c r="F230" s="4" t="s">
        <v>3057</v>
      </c>
      <c r="G230" s="4" t="s">
        <v>3057</v>
      </c>
      <c r="H230" s="4" t="s">
        <v>3057</v>
      </c>
      <c r="I230" s="4" t="s">
        <v>3057</v>
      </c>
      <c r="J230" s="4" t="s">
        <v>3057</v>
      </c>
      <c r="K230" s="4">
        <v>8.9999999999999964</v>
      </c>
      <c r="L230" s="4">
        <v>2</v>
      </c>
      <c r="M230" s="4">
        <v>0</v>
      </c>
      <c r="N230" s="4" t="s">
        <v>3057</v>
      </c>
      <c r="O230" s="4" t="s">
        <v>3057</v>
      </c>
      <c r="P230" s="4" t="s">
        <v>3057</v>
      </c>
      <c r="Q230" s="4">
        <v>3</v>
      </c>
      <c r="R230" s="4">
        <v>2</v>
      </c>
      <c r="S230" s="4" t="s">
        <v>3057</v>
      </c>
      <c r="T230" s="4" t="s">
        <v>3057</v>
      </c>
      <c r="U230" s="4">
        <f t="shared" si="27"/>
        <v>15.999999999999996</v>
      </c>
      <c r="V230" s="5">
        <f t="shared" si="28"/>
        <v>3.1999999999999993</v>
      </c>
      <c r="W230" s="5">
        <f t="shared" si="29"/>
        <v>0.10666666666666665</v>
      </c>
      <c r="X230" s="7">
        <f t="shared" si="30"/>
        <v>2.4174167688800348E-5</v>
      </c>
      <c r="Y230" s="7">
        <f t="shared" si="35"/>
        <v>0.99962802029686582</v>
      </c>
      <c r="Z230" s="7">
        <f t="shared" si="31"/>
        <v>0.95606615879864698</v>
      </c>
      <c r="AA230" t="str">
        <f t="shared" si="32"/>
        <v>C</v>
      </c>
      <c r="AB230" t="str">
        <f t="shared" si="33"/>
        <v>Y</v>
      </c>
      <c r="AC230" t="str">
        <f t="shared" si="34"/>
        <v>CY</v>
      </c>
    </row>
    <row r="231" spans="1:29" x14ac:dyDescent="0.25">
      <c r="A231" t="s">
        <v>471</v>
      </c>
      <c r="B231" t="s">
        <v>2764</v>
      </c>
      <c r="C231" s="4" t="s">
        <v>3057</v>
      </c>
      <c r="D231" s="4" t="s">
        <v>3057</v>
      </c>
      <c r="E231" s="4" t="s">
        <v>3057</v>
      </c>
      <c r="F231" s="4" t="s">
        <v>3057</v>
      </c>
      <c r="G231" s="4">
        <v>6</v>
      </c>
      <c r="H231" s="4" t="s">
        <v>3057</v>
      </c>
      <c r="I231" s="4" t="s">
        <v>3057</v>
      </c>
      <c r="J231" s="4" t="s">
        <v>3057</v>
      </c>
      <c r="K231" s="4">
        <v>4.6000000000000005</v>
      </c>
      <c r="L231" s="4" t="s">
        <v>3057</v>
      </c>
      <c r="M231" s="4">
        <v>0</v>
      </c>
      <c r="N231" s="4" t="s">
        <v>3057</v>
      </c>
      <c r="O231" s="4" t="s">
        <v>3057</v>
      </c>
      <c r="P231" s="4" t="s">
        <v>3057</v>
      </c>
      <c r="Q231" s="4" t="s">
        <v>3057</v>
      </c>
      <c r="R231" s="4">
        <v>3</v>
      </c>
      <c r="S231" s="4" t="s">
        <v>3057</v>
      </c>
      <c r="T231" s="4">
        <v>2</v>
      </c>
      <c r="U231" s="4">
        <f t="shared" si="27"/>
        <v>15.600000000000001</v>
      </c>
      <c r="V231" s="5">
        <f t="shared" si="28"/>
        <v>3.12</v>
      </c>
      <c r="W231" s="5">
        <f t="shared" si="29"/>
        <v>0.10400000000000001</v>
      </c>
      <c r="X231" s="7">
        <f t="shared" si="30"/>
        <v>2.3569813496580348E-5</v>
      </c>
      <c r="Y231" s="7">
        <f t="shared" si="35"/>
        <v>0.99965159011036242</v>
      </c>
      <c r="Z231" s="7">
        <f t="shared" si="31"/>
        <v>0.66444402665897095</v>
      </c>
      <c r="AA231" t="str">
        <f t="shared" si="32"/>
        <v>C</v>
      </c>
      <c r="AB231" t="str">
        <f t="shared" si="33"/>
        <v>Y</v>
      </c>
      <c r="AC231" t="str">
        <f t="shared" si="34"/>
        <v>CY</v>
      </c>
    </row>
    <row r="232" spans="1:29" x14ac:dyDescent="0.25">
      <c r="A232" t="s">
        <v>2128</v>
      </c>
      <c r="B232" t="s">
        <v>2603</v>
      </c>
      <c r="C232" s="4" t="s">
        <v>3057</v>
      </c>
      <c r="D232" s="4" t="s">
        <v>3057</v>
      </c>
      <c r="E232" s="4" t="s">
        <v>3057</v>
      </c>
      <c r="F232" s="4" t="s">
        <v>3057</v>
      </c>
      <c r="G232" s="4" t="s">
        <v>3057</v>
      </c>
      <c r="H232" s="4" t="s">
        <v>3057</v>
      </c>
      <c r="I232" s="4" t="s">
        <v>3057</v>
      </c>
      <c r="J232" s="4" t="s">
        <v>3057</v>
      </c>
      <c r="K232" s="4" t="s">
        <v>3057</v>
      </c>
      <c r="L232" s="4" t="s">
        <v>3057</v>
      </c>
      <c r="M232" s="4">
        <v>0</v>
      </c>
      <c r="N232" s="4" t="s">
        <v>3057</v>
      </c>
      <c r="O232" s="4" t="s">
        <v>3057</v>
      </c>
      <c r="P232" s="4">
        <v>15</v>
      </c>
      <c r="Q232" s="4" t="s">
        <v>3057</v>
      </c>
      <c r="R232" s="4" t="s">
        <v>3057</v>
      </c>
      <c r="S232" s="4" t="s">
        <v>3057</v>
      </c>
      <c r="T232" s="4" t="s">
        <v>3057</v>
      </c>
      <c r="U232" s="4">
        <f t="shared" si="27"/>
        <v>15</v>
      </c>
      <c r="V232" s="5">
        <f t="shared" si="28"/>
        <v>7.5</v>
      </c>
      <c r="W232" s="5">
        <f t="shared" si="29"/>
        <v>0.25</v>
      </c>
      <c r="X232" s="7">
        <f t="shared" si="30"/>
        <v>2.2663282208250332E-5</v>
      </c>
      <c r="Y232" s="7">
        <f t="shared" si="35"/>
        <v>0.99967425339257066</v>
      </c>
      <c r="Z232" s="7">
        <f t="shared" si="31"/>
        <v>1</v>
      </c>
      <c r="AA232" t="str">
        <f t="shared" si="32"/>
        <v>C</v>
      </c>
      <c r="AB232" t="str">
        <f t="shared" si="33"/>
        <v>Y</v>
      </c>
      <c r="AC232" t="str">
        <f t="shared" si="34"/>
        <v>CY</v>
      </c>
    </row>
    <row r="233" spans="1:29" x14ac:dyDescent="0.25">
      <c r="A233" t="s">
        <v>2024</v>
      </c>
      <c r="B233" t="s">
        <v>2763</v>
      </c>
      <c r="C233" s="4" t="s">
        <v>3057</v>
      </c>
      <c r="D233" s="4" t="s">
        <v>3057</v>
      </c>
      <c r="E233" s="4" t="s">
        <v>3057</v>
      </c>
      <c r="F233" s="4" t="s">
        <v>3057</v>
      </c>
      <c r="G233" s="4" t="s">
        <v>3057</v>
      </c>
      <c r="H233" s="4" t="s">
        <v>3057</v>
      </c>
      <c r="I233" s="4" t="s">
        <v>3057</v>
      </c>
      <c r="J233" s="4" t="s">
        <v>3057</v>
      </c>
      <c r="K233" s="4" t="s">
        <v>3057</v>
      </c>
      <c r="L233" s="4" t="s">
        <v>3057</v>
      </c>
      <c r="M233" s="4">
        <v>0</v>
      </c>
      <c r="N233" s="4" t="s">
        <v>3057</v>
      </c>
      <c r="O233" s="4">
        <v>2</v>
      </c>
      <c r="P233" s="4">
        <v>3.9999999999999996</v>
      </c>
      <c r="Q233" s="4">
        <v>5</v>
      </c>
      <c r="R233" s="4" t="s">
        <v>3057</v>
      </c>
      <c r="S233" s="4" t="s">
        <v>3057</v>
      </c>
      <c r="T233" s="4">
        <v>3</v>
      </c>
      <c r="U233" s="4">
        <f t="shared" si="27"/>
        <v>14</v>
      </c>
      <c r="V233" s="5">
        <f t="shared" si="28"/>
        <v>2.8</v>
      </c>
      <c r="W233" s="5">
        <f t="shared" si="29"/>
        <v>9.3333333333333324E-2</v>
      </c>
      <c r="X233" s="7">
        <f t="shared" si="30"/>
        <v>2.115239672770031E-5</v>
      </c>
      <c r="Y233" s="7">
        <f t="shared" si="35"/>
        <v>0.99969540578929839</v>
      </c>
      <c r="Z233" s="7">
        <f t="shared" si="31"/>
        <v>0.61445180478875905</v>
      </c>
      <c r="AA233" t="str">
        <f t="shared" si="32"/>
        <v>C</v>
      </c>
      <c r="AB233" t="str">
        <f t="shared" si="33"/>
        <v>Y</v>
      </c>
      <c r="AC233" t="str">
        <f t="shared" si="34"/>
        <v>CY</v>
      </c>
    </row>
    <row r="234" spans="1:29" x14ac:dyDescent="0.25">
      <c r="A234" t="s">
        <v>1520</v>
      </c>
      <c r="B234" t="s">
        <v>2779</v>
      </c>
      <c r="C234" s="4" t="s">
        <v>3057</v>
      </c>
      <c r="D234" s="4" t="s">
        <v>3057</v>
      </c>
      <c r="E234" s="4" t="s">
        <v>3057</v>
      </c>
      <c r="F234" s="4" t="s">
        <v>3057</v>
      </c>
      <c r="G234" s="4" t="s">
        <v>3057</v>
      </c>
      <c r="H234" s="4">
        <v>8</v>
      </c>
      <c r="I234" s="4" t="s">
        <v>3057</v>
      </c>
      <c r="J234" s="4" t="s">
        <v>3057</v>
      </c>
      <c r="K234" s="4" t="s">
        <v>3057</v>
      </c>
      <c r="L234" s="4" t="s">
        <v>3057</v>
      </c>
      <c r="M234" s="4">
        <v>0</v>
      </c>
      <c r="N234" s="4" t="s">
        <v>3057</v>
      </c>
      <c r="O234" s="4">
        <v>2</v>
      </c>
      <c r="P234" s="4" t="s">
        <v>3057</v>
      </c>
      <c r="Q234" s="4">
        <v>2</v>
      </c>
      <c r="R234" s="4" t="s">
        <v>3057</v>
      </c>
      <c r="S234" s="4" t="s">
        <v>3057</v>
      </c>
      <c r="T234" s="4">
        <v>2</v>
      </c>
      <c r="U234" s="4">
        <f t="shared" si="27"/>
        <v>14</v>
      </c>
      <c r="V234" s="5">
        <f t="shared" si="28"/>
        <v>2.8</v>
      </c>
      <c r="W234" s="5">
        <f t="shared" si="29"/>
        <v>9.3333333333333324E-2</v>
      </c>
      <c r="X234" s="7">
        <f t="shared" si="30"/>
        <v>2.115239672770031E-5</v>
      </c>
      <c r="Y234" s="7">
        <f t="shared" si="35"/>
        <v>0.99971655818602612</v>
      </c>
      <c r="Z234" s="7">
        <f t="shared" si="31"/>
        <v>0.96890428330360978</v>
      </c>
      <c r="AA234" t="str">
        <f t="shared" si="32"/>
        <v>C</v>
      </c>
      <c r="AB234" t="str">
        <f t="shared" si="33"/>
        <v>Y</v>
      </c>
      <c r="AC234" t="str">
        <f t="shared" si="34"/>
        <v>CY</v>
      </c>
    </row>
    <row r="235" spans="1:29" x14ac:dyDescent="0.25">
      <c r="A235" t="s">
        <v>1706</v>
      </c>
      <c r="B235" t="s">
        <v>2881</v>
      </c>
      <c r="C235" s="4" t="s">
        <v>3057</v>
      </c>
      <c r="D235" s="4" t="s">
        <v>3057</v>
      </c>
      <c r="E235" s="4" t="s">
        <v>3057</v>
      </c>
      <c r="F235" s="4" t="s">
        <v>3057</v>
      </c>
      <c r="G235" s="4" t="s">
        <v>3057</v>
      </c>
      <c r="H235" s="4" t="s">
        <v>3057</v>
      </c>
      <c r="I235" s="4" t="s">
        <v>3057</v>
      </c>
      <c r="J235" s="4">
        <v>11.999999999999998</v>
      </c>
      <c r="K235" s="4" t="s">
        <v>3057</v>
      </c>
      <c r="L235" s="4" t="s">
        <v>3057</v>
      </c>
      <c r="M235" s="4">
        <v>0</v>
      </c>
      <c r="N235" s="4" t="s">
        <v>3057</v>
      </c>
      <c r="O235" s="4" t="s">
        <v>3057</v>
      </c>
      <c r="P235" s="4" t="s">
        <v>3057</v>
      </c>
      <c r="Q235" s="4">
        <v>2</v>
      </c>
      <c r="R235" s="4" t="s">
        <v>3057</v>
      </c>
      <c r="S235" s="4" t="s">
        <v>3057</v>
      </c>
      <c r="T235" s="4" t="s">
        <v>3057</v>
      </c>
      <c r="U235" s="4">
        <f t="shared" si="27"/>
        <v>13.999999999999998</v>
      </c>
      <c r="V235" s="5">
        <f t="shared" si="28"/>
        <v>4.6666666666666661</v>
      </c>
      <c r="W235" s="5">
        <f t="shared" si="29"/>
        <v>0.15555555555555553</v>
      </c>
      <c r="X235" s="7">
        <f t="shared" si="30"/>
        <v>2.1152396727700306E-5</v>
      </c>
      <c r="Y235" s="7">
        <f t="shared" si="35"/>
        <v>0.99973771058275385</v>
      </c>
      <c r="Z235" s="7">
        <f t="shared" si="31"/>
        <v>1.1248582677159729</v>
      </c>
      <c r="AA235" t="str">
        <f t="shared" si="32"/>
        <v>C</v>
      </c>
      <c r="AB235" t="str">
        <f t="shared" si="33"/>
        <v>Z</v>
      </c>
      <c r="AC235" t="str">
        <f t="shared" si="34"/>
        <v>CZ</v>
      </c>
    </row>
    <row r="236" spans="1:29" x14ac:dyDescent="0.25">
      <c r="A236" t="s">
        <v>925</v>
      </c>
      <c r="B236" t="s">
        <v>2766</v>
      </c>
      <c r="C236" s="4" t="s">
        <v>3057</v>
      </c>
      <c r="D236" s="4" t="s">
        <v>3057</v>
      </c>
      <c r="E236" s="4" t="s">
        <v>3057</v>
      </c>
      <c r="F236" s="4" t="s">
        <v>3057</v>
      </c>
      <c r="G236" s="4">
        <v>2</v>
      </c>
      <c r="H236" s="4">
        <v>0.57979999999999998</v>
      </c>
      <c r="I236" s="4">
        <v>2</v>
      </c>
      <c r="J236" s="4" t="s">
        <v>3057</v>
      </c>
      <c r="K236" s="4" t="s">
        <v>3057</v>
      </c>
      <c r="L236" s="4">
        <v>3.0000000000000004</v>
      </c>
      <c r="M236" s="4">
        <v>0</v>
      </c>
      <c r="N236" s="4" t="s">
        <v>3057</v>
      </c>
      <c r="O236" s="4" t="s">
        <v>3057</v>
      </c>
      <c r="P236" s="4">
        <v>3</v>
      </c>
      <c r="Q236" s="4" t="s">
        <v>3057</v>
      </c>
      <c r="R236" s="4" t="s">
        <v>3057</v>
      </c>
      <c r="S236" s="4">
        <v>3</v>
      </c>
      <c r="T236" s="4" t="s">
        <v>3057</v>
      </c>
      <c r="U236" s="4">
        <f t="shared" si="27"/>
        <v>13.579800000000001</v>
      </c>
      <c r="V236" s="5">
        <f t="shared" si="28"/>
        <v>1.9399714285714287</v>
      </c>
      <c r="W236" s="5">
        <f t="shared" si="29"/>
        <v>6.4665714285714285E-2</v>
      </c>
      <c r="X236" s="7">
        <f t="shared" si="30"/>
        <v>2.0517522648773192E-5</v>
      </c>
      <c r="Y236" s="7">
        <f t="shared" si="35"/>
        <v>0.9997582281054026</v>
      </c>
      <c r="Z236" s="7">
        <f t="shared" si="31"/>
        <v>0.5842216055635403</v>
      </c>
      <c r="AA236" t="str">
        <f t="shared" si="32"/>
        <v>C</v>
      </c>
      <c r="AB236" t="str">
        <f t="shared" si="33"/>
        <v>Y</v>
      </c>
      <c r="AC236" t="str">
        <f t="shared" si="34"/>
        <v>CY</v>
      </c>
    </row>
    <row r="237" spans="1:29" x14ac:dyDescent="0.25">
      <c r="A237" t="s">
        <v>1710</v>
      </c>
      <c r="B237" t="s">
        <v>2753</v>
      </c>
      <c r="C237" s="4" t="s">
        <v>3057</v>
      </c>
      <c r="D237" s="4" t="s">
        <v>3057</v>
      </c>
      <c r="E237" s="4" t="s">
        <v>3057</v>
      </c>
      <c r="F237" s="4" t="s">
        <v>3057</v>
      </c>
      <c r="G237" s="4" t="s">
        <v>3057</v>
      </c>
      <c r="H237" s="4" t="s">
        <v>3057</v>
      </c>
      <c r="I237" s="4" t="s">
        <v>3057</v>
      </c>
      <c r="J237" s="4">
        <v>5</v>
      </c>
      <c r="K237" s="4" t="s">
        <v>3057</v>
      </c>
      <c r="L237" s="4">
        <v>3.0000000000000004</v>
      </c>
      <c r="M237" s="4">
        <v>0</v>
      </c>
      <c r="N237" s="4" t="s">
        <v>3057</v>
      </c>
      <c r="O237" s="4" t="s">
        <v>3057</v>
      </c>
      <c r="P237" s="4" t="s">
        <v>3057</v>
      </c>
      <c r="Q237" s="4" t="s">
        <v>3057</v>
      </c>
      <c r="R237" s="4" t="s">
        <v>3057</v>
      </c>
      <c r="S237" s="4">
        <v>5</v>
      </c>
      <c r="T237" s="4" t="s">
        <v>3057</v>
      </c>
      <c r="U237" s="4">
        <f t="shared" si="27"/>
        <v>13</v>
      </c>
      <c r="V237" s="5">
        <f t="shared" si="28"/>
        <v>3.25</v>
      </c>
      <c r="W237" s="5">
        <f t="shared" si="29"/>
        <v>0.10833333333333334</v>
      </c>
      <c r="X237" s="7">
        <f t="shared" si="30"/>
        <v>1.9641511247150287E-5</v>
      </c>
      <c r="Y237" s="7">
        <f t="shared" si="35"/>
        <v>0.99977786961664972</v>
      </c>
      <c r="Z237" s="7">
        <f t="shared" si="31"/>
        <v>0.62964252091326545</v>
      </c>
      <c r="AA237" t="str">
        <f t="shared" si="32"/>
        <v>C</v>
      </c>
      <c r="AB237" t="str">
        <f t="shared" si="33"/>
        <v>Y</v>
      </c>
      <c r="AC237" t="str">
        <f t="shared" si="34"/>
        <v>CY</v>
      </c>
    </row>
    <row r="238" spans="1:29" x14ac:dyDescent="0.25">
      <c r="A238" t="s">
        <v>2023</v>
      </c>
      <c r="B238" t="s">
        <v>2734</v>
      </c>
      <c r="C238" s="4" t="s">
        <v>3057</v>
      </c>
      <c r="D238" s="4" t="s">
        <v>3057</v>
      </c>
      <c r="E238" s="4" t="s">
        <v>3057</v>
      </c>
      <c r="F238" s="4" t="s">
        <v>3057</v>
      </c>
      <c r="G238" s="4" t="s">
        <v>3057</v>
      </c>
      <c r="H238" s="4" t="s">
        <v>3057</v>
      </c>
      <c r="I238" s="4" t="s">
        <v>3057</v>
      </c>
      <c r="J238" s="4" t="s">
        <v>3057</v>
      </c>
      <c r="K238" s="4" t="s">
        <v>3057</v>
      </c>
      <c r="L238" s="4" t="s">
        <v>3057</v>
      </c>
      <c r="M238" s="4">
        <v>0</v>
      </c>
      <c r="N238" s="4" t="s">
        <v>3057</v>
      </c>
      <c r="O238" s="4">
        <v>2</v>
      </c>
      <c r="P238" s="4">
        <v>2</v>
      </c>
      <c r="Q238" s="4" t="s">
        <v>3057</v>
      </c>
      <c r="R238" s="4">
        <v>4</v>
      </c>
      <c r="S238" s="4" t="s">
        <v>3057</v>
      </c>
      <c r="T238" s="4">
        <v>3</v>
      </c>
      <c r="U238" s="4">
        <f t="shared" si="27"/>
        <v>11</v>
      </c>
      <c r="V238" s="5">
        <f t="shared" si="28"/>
        <v>2.2000000000000002</v>
      </c>
      <c r="W238" s="5">
        <f t="shared" si="29"/>
        <v>7.3333333333333334E-2</v>
      </c>
      <c r="X238" s="7">
        <f t="shared" si="30"/>
        <v>1.6619740286050242E-5</v>
      </c>
      <c r="Y238" s="7">
        <f t="shared" si="35"/>
        <v>0.99979448935693582</v>
      </c>
      <c r="Z238" s="7">
        <f t="shared" si="31"/>
        <v>0.60302268915552715</v>
      </c>
      <c r="AA238" t="str">
        <f t="shared" si="32"/>
        <v>C</v>
      </c>
      <c r="AB238" t="str">
        <f t="shared" si="33"/>
        <v>Y</v>
      </c>
      <c r="AC238" t="str">
        <f t="shared" si="34"/>
        <v>CY</v>
      </c>
    </row>
    <row r="239" spans="1:29" x14ac:dyDescent="0.25">
      <c r="A239" t="s">
        <v>932</v>
      </c>
      <c r="B239" t="s">
        <v>2756</v>
      </c>
      <c r="C239" s="4" t="s">
        <v>3057</v>
      </c>
      <c r="D239" s="4" t="s">
        <v>3057</v>
      </c>
      <c r="E239" s="4" t="s">
        <v>3057</v>
      </c>
      <c r="F239" s="4" t="s">
        <v>3057</v>
      </c>
      <c r="G239" s="4" t="s">
        <v>3057</v>
      </c>
      <c r="H239" s="4" t="s">
        <v>3057</v>
      </c>
      <c r="I239" s="4">
        <v>1</v>
      </c>
      <c r="J239" s="4">
        <v>1.9999999999999998</v>
      </c>
      <c r="K239" s="4">
        <v>3.0000000000000009</v>
      </c>
      <c r="L239" s="4">
        <v>3</v>
      </c>
      <c r="M239" s="4">
        <v>0</v>
      </c>
      <c r="N239" s="4" t="s">
        <v>3057</v>
      </c>
      <c r="O239" s="4" t="s">
        <v>3057</v>
      </c>
      <c r="P239" s="4" t="s">
        <v>3057</v>
      </c>
      <c r="Q239" s="4" t="s">
        <v>3057</v>
      </c>
      <c r="R239" s="4" t="s">
        <v>3057</v>
      </c>
      <c r="S239" s="4" t="s">
        <v>3057</v>
      </c>
      <c r="T239" s="4">
        <v>1</v>
      </c>
      <c r="U239" s="4">
        <f t="shared" si="27"/>
        <v>10</v>
      </c>
      <c r="V239" s="5">
        <f t="shared" si="28"/>
        <v>1.6666666666666667</v>
      </c>
      <c r="W239" s="5">
        <f t="shared" si="29"/>
        <v>5.5555555555555559E-2</v>
      </c>
      <c r="X239" s="7">
        <f t="shared" si="30"/>
        <v>1.5108854805500221E-5</v>
      </c>
      <c r="Y239" s="7">
        <f t="shared" si="35"/>
        <v>0.99980959821174131</v>
      </c>
      <c r="Z239" s="7">
        <f t="shared" si="31"/>
        <v>0.66332495807108016</v>
      </c>
      <c r="AA239" t="str">
        <f t="shared" si="32"/>
        <v>C</v>
      </c>
      <c r="AB239" t="str">
        <f t="shared" si="33"/>
        <v>Y</v>
      </c>
      <c r="AC239" t="str">
        <f t="shared" si="34"/>
        <v>CY</v>
      </c>
    </row>
    <row r="240" spans="1:29" x14ac:dyDescent="0.25">
      <c r="A240" t="s">
        <v>2317</v>
      </c>
      <c r="B240" t="s">
        <v>2784</v>
      </c>
      <c r="C240" s="4" t="s">
        <v>3057</v>
      </c>
      <c r="D240" s="4" t="s">
        <v>3057</v>
      </c>
      <c r="E240" s="4" t="s">
        <v>3057</v>
      </c>
      <c r="F240" s="4" t="s">
        <v>3057</v>
      </c>
      <c r="G240" s="4" t="s">
        <v>3057</v>
      </c>
      <c r="H240" s="4" t="s">
        <v>3057</v>
      </c>
      <c r="I240" s="4" t="s">
        <v>3057</v>
      </c>
      <c r="J240" s="4" t="s">
        <v>3057</v>
      </c>
      <c r="K240" s="4" t="s">
        <v>3057</v>
      </c>
      <c r="L240" s="4" t="s">
        <v>3057</v>
      </c>
      <c r="M240" s="4">
        <v>0</v>
      </c>
      <c r="N240" s="4" t="s">
        <v>3057</v>
      </c>
      <c r="O240" s="4" t="s">
        <v>3057</v>
      </c>
      <c r="P240" s="4" t="s">
        <v>3057</v>
      </c>
      <c r="Q240" s="4" t="s">
        <v>3057</v>
      </c>
      <c r="R240" s="4" t="s">
        <v>3057</v>
      </c>
      <c r="S240" s="4">
        <v>10</v>
      </c>
      <c r="T240" s="4" t="s">
        <v>3057</v>
      </c>
      <c r="U240" s="4">
        <f t="shared" si="27"/>
        <v>10</v>
      </c>
      <c r="V240" s="5">
        <f t="shared" si="28"/>
        <v>5</v>
      </c>
      <c r="W240" s="5">
        <f t="shared" si="29"/>
        <v>0.16666666666666666</v>
      </c>
      <c r="X240" s="7">
        <f t="shared" si="30"/>
        <v>1.5108854805500221E-5</v>
      </c>
      <c r="Y240" s="7">
        <f t="shared" si="35"/>
        <v>0.9998247070665468</v>
      </c>
      <c r="Z240" s="7">
        <f t="shared" si="31"/>
        <v>1</v>
      </c>
      <c r="AA240" t="str">
        <f t="shared" si="32"/>
        <v>C</v>
      </c>
      <c r="AB240" t="str">
        <f t="shared" si="33"/>
        <v>Y</v>
      </c>
      <c r="AC240" t="str">
        <f t="shared" si="34"/>
        <v>CY</v>
      </c>
    </row>
    <row r="241" spans="1:29" x14ac:dyDescent="0.25">
      <c r="A241" t="s">
        <v>1352</v>
      </c>
      <c r="B241" t="s">
        <v>2823</v>
      </c>
      <c r="C241" s="4" t="s">
        <v>3057</v>
      </c>
      <c r="D241" s="4" t="s">
        <v>3057</v>
      </c>
      <c r="E241" s="4" t="s">
        <v>3057</v>
      </c>
      <c r="F241" s="4" t="s">
        <v>3057</v>
      </c>
      <c r="G241" s="4">
        <v>1</v>
      </c>
      <c r="H241" s="4">
        <v>1</v>
      </c>
      <c r="I241" s="4">
        <v>1</v>
      </c>
      <c r="J241" s="4" t="s">
        <v>3057</v>
      </c>
      <c r="K241" s="4" t="s">
        <v>3057</v>
      </c>
      <c r="L241" s="4">
        <v>1</v>
      </c>
      <c r="M241" s="4">
        <v>0</v>
      </c>
      <c r="N241" s="4" t="s">
        <v>3057</v>
      </c>
      <c r="O241" s="4" t="s">
        <v>3057</v>
      </c>
      <c r="P241" s="4">
        <v>3</v>
      </c>
      <c r="Q241" s="4">
        <v>2</v>
      </c>
      <c r="R241" s="4" t="s">
        <v>3057</v>
      </c>
      <c r="S241" s="4">
        <v>1</v>
      </c>
      <c r="T241" s="4" t="s">
        <v>3057</v>
      </c>
      <c r="U241" s="4">
        <f t="shared" si="27"/>
        <v>10</v>
      </c>
      <c r="V241" s="5">
        <f t="shared" si="28"/>
        <v>1.25</v>
      </c>
      <c r="W241" s="5">
        <f t="shared" si="29"/>
        <v>4.1666666666666664E-2</v>
      </c>
      <c r="X241" s="7">
        <f t="shared" si="30"/>
        <v>1.5108854805500221E-5</v>
      </c>
      <c r="Y241" s="7">
        <f t="shared" si="35"/>
        <v>0.99983981592135229</v>
      </c>
      <c r="Z241" s="7">
        <f t="shared" si="31"/>
        <v>0.66332495807107994</v>
      </c>
      <c r="AA241" t="str">
        <f t="shared" si="32"/>
        <v>C</v>
      </c>
      <c r="AB241" t="str">
        <f t="shared" si="33"/>
        <v>Y</v>
      </c>
      <c r="AC241" t="str">
        <f t="shared" si="34"/>
        <v>CY</v>
      </c>
    </row>
    <row r="242" spans="1:29" x14ac:dyDescent="0.25">
      <c r="A242" t="s">
        <v>1936</v>
      </c>
      <c r="B242" t="s">
        <v>2936</v>
      </c>
      <c r="C242" s="4" t="s">
        <v>3057</v>
      </c>
      <c r="D242" s="4" t="s">
        <v>3057</v>
      </c>
      <c r="E242" s="4" t="s">
        <v>3057</v>
      </c>
      <c r="F242" s="4" t="s">
        <v>3057</v>
      </c>
      <c r="G242" s="4" t="s">
        <v>3057</v>
      </c>
      <c r="H242" s="4" t="s">
        <v>3057</v>
      </c>
      <c r="I242" s="4" t="s">
        <v>3057</v>
      </c>
      <c r="J242" s="4" t="s">
        <v>3057</v>
      </c>
      <c r="K242" s="4" t="s">
        <v>3057</v>
      </c>
      <c r="L242" s="4" t="s">
        <v>3057</v>
      </c>
      <c r="M242" s="4">
        <v>10</v>
      </c>
      <c r="N242" s="4" t="s">
        <v>3057</v>
      </c>
      <c r="O242" s="4" t="s">
        <v>3057</v>
      </c>
      <c r="P242" s="4" t="s">
        <v>3057</v>
      </c>
      <c r="Q242" s="4" t="s">
        <v>3057</v>
      </c>
      <c r="R242" s="4" t="s">
        <v>3057</v>
      </c>
      <c r="S242" s="4" t="s">
        <v>3057</v>
      </c>
      <c r="T242" s="4" t="s">
        <v>3057</v>
      </c>
      <c r="U242" s="4">
        <f t="shared" si="27"/>
        <v>10</v>
      </c>
      <c r="V242" s="5">
        <f t="shared" si="28"/>
        <v>10</v>
      </c>
      <c r="W242" s="5">
        <f t="shared" si="29"/>
        <v>0.33333333333333331</v>
      </c>
      <c r="X242" s="7">
        <f t="shared" si="30"/>
        <v>1.5108854805500221E-5</v>
      </c>
      <c r="Y242" s="7">
        <f t="shared" si="35"/>
        <v>0.99985492477615778</v>
      </c>
      <c r="Z242" s="7">
        <f t="shared" si="31"/>
        <v>0</v>
      </c>
      <c r="AA242" t="str">
        <f t="shared" si="32"/>
        <v>C</v>
      </c>
      <c r="AB242" t="str">
        <f t="shared" si="33"/>
        <v>X</v>
      </c>
      <c r="AC242" t="str">
        <f t="shared" si="34"/>
        <v>CX</v>
      </c>
    </row>
    <row r="243" spans="1:29" x14ac:dyDescent="0.25">
      <c r="A243" t="s">
        <v>1090</v>
      </c>
      <c r="B243" t="s">
        <v>2776</v>
      </c>
      <c r="C243" s="4" t="s">
        <v>3057</v>
      </c>
      <c r="D243" s="4" t="s">
        <v>3057</v>
      </c>
      <c r="E243" s="4" t="s">
        <v>3057</v>
      </c>
      <c r="F243" s="4">
        <v>1</v>
      </c>
      <c r="G243" s="4" t="s">
        <v>3057</v>
      </c>
      <c r="H243" s="4" t="s">
        <v>3057</v>
      </c>
      <c r="I243" s="4">
        <v>3.9999999999999996</v>
      </c>
      <c r="J243" s="4" t="s">
        <v>3057</v>
      </c>
      <c r="K243" s="4" t="s">
        <v>3057</v>
      </c>
      <c r="L243" s="4" t="s">
        <v>3057</v>
      </c>
      <c r="M243" s="4">
        <v>0</v>
      </c>
      <c r="N243" s="4" t="s">
        <v>3057</v>
      </c>
      <c r="O243" s="4">
        <v>2</v>
      </c>
      <c r="P243" s="4" t="s">
        <v>3057</v>
      </c>
      <c r="Q243" s="4" t="s">
        <v>3057</v>
      </c>
      <c r="R243" s="4" t="s">
        <v>3057</v>
      </c>
      <c r="S243" s="4" t="s">
        <v>3057</v>
      </c>
      <c r="T243" s="4">
        <v>2</v>
      </c>
      <c r="U243" s="4">
        <f t="shared" si="27"/>
        <v>9</v>
      </c>
      <c r="V243" s="5">
        <f t="shared" si="28"/>
        <v>1.8</v>
      </c>
      <c r="W243" s="5">
        <f t="shared" si="29"/>
        <v>6.0000000000000005E-2</v>
      </c>
      <c r="X243" s="7">
        <f t="shared" si="30"/>
        <v>1.3597969324950198E-5</v>
      </c>
      <c r="Y243" s="7">
        <f t="shared" si="35"/>
        <v>0.99986852274548277</v>
      </c>
      <c r="Z243" s="7">
        <f t="shared" si="31"/>
        <v>0.73702773119008869</v>
      </c>
      <c r="AA243" t="str">
        <f t="shared" si="32"/>
        <v>C</v>
      </c>
      <c r="AB243" t="str">
        <f t="shared" si="33"/>
        <v>Y</v>
      </c>
      <c r="AC243" t="str">
        <f t="shared" si="34"/>
        <v>CY</v>
      </c>
    </row>
    <row r="244" spans="1:29" x14ac:dyDescent="0.25">
      <c r="A244" t="s">
        <v>1355</v>
      </c>
      <c r="B244" t="s">
        <v>2985</v>
      </c>
      <c r="C244" s="4" t="s">
        <v>3057</v>
      </c>
      <c r="D244" s="4" t="s">
        <v>3057</v>
      </c>
      <c r="E244" s="4" t="s">
        <v>3057</v>
      </c>
      <c r="F244" s="4" t="s">
        <v>3057</v>
      </c>
      <c r="G244" s="4">
        <v>6</v>
      </c>
      <c r="H244" s="4" t="s">
        <v>3057</v>
      </c>
      <c r="I244" s="4">
        <v>1</v>
      </c>
      <c r="J244" s="4">
        <v>1</v>
      </c>
      <c r="K244" s="4" t="s">
        <v>3057</v>
      </c>
      <c r="L244" s="4" t="s">
        <v>3057</v>
      </c>
      <c r="M244" s="4">
        <v>0</v>
      </c>
      <c r="N244" s="4" t="s">
        <v>3057</v>
      </c>
      <c r="O244" s="4" t="s">
        <v>3057</v>
      </c>
      <c r="P244" s="4">
        <v>1</v>
      </c>
      <c r="Q244" s="4" t="s">
        <v>3057</v>
      </c>
      <c r="R244" s="4" t="s">
        <v>3057</v>
      </c>
      <c r="S244" s="4" t="s">
        <v>3057</v>
      </c>
      <c r="T244" s="4" t="s">
        <v>3057</v>
      </c>
      <c r="U244" s="4">
        <f t="shared" si="27"/>
        <v>9</v>
      </c>
      <c r="V244" s="5">
        <f t="shared" si="28"/>
        <v>1.8</v>
      </c>
      <c r="W244" s="5">
        <f t="shared" si="29"/>
        <v>6.0000000000000005E-2</v>
      </c>
      <c r="X244" s="7">
        <f t="shared" si="30"/>
        <v>1.3597969324950198E-5</v>
      </c>
      <c r="Y244" s="7">
        <f t="shared" si="35"/>
        <v>0.99988212071480775</v>
      </c>
      <c r="Z244" s="7">
        <f t="shared" si="31"/>
        <v>1.1863420280034791</v>
      </c>
      <c r="AA244" t="str">
        <f t="shared" si="32"/>
        <v>C</v>
      </c>
      <c r="AB244" t="str">
        <f t="shared" si="33"/>
        <v>Z</v>
      </c>
      <c r="AC244" t="str">
        <f t="shared" si="34"/>
        <v>CZ</v>
      </c>
    </row>
    <row r="245" spans="1:29" x14ac:dyDescent="0.25">
      <c r="A245" t="s">
        <v>2131</v>
      </c>
      <c r="B245" t="s">
        <v>3041</v>
      </c>
      <c r="C245" s="4" t="s">
        <v>3057</v>
      </c>
      <c r="D245" s="4" t="s">
        <v>3057</v>
      </c>
      <c r="E245" s="4" t="s">
        <v>3057</v>
      </c>
      <c r="F245" s="4" t="s">
        <v>3057</v>
      </c>
      <c r="G245" s="4" t="s">
        <v>3057</v>
      </c>
      <c r="H245" s="4" t="s">
        <v>3057</v>
      </c>
      <c r="I245" s="4" t="s">
        <v>3057</v>
      </c>
      <c r="J245" s="4" t="s">
        <v>3057</v>
      </c>
      <c r="K245" s="4" t="s">
        <v>3057</v>
      </c>
      <c r="L245" s="4" t="s">
        <v>3057</v>
      </c>
      <c r="M245" s="4">
        <v>0</v>
      </c>
      <c r="N245" s="4" t="s">
        <v>3057</v>
      </c>
      <c r="O245" s="4" t="s">
        <v>3057</v>
      </c>
      <c r="P245" s="4">
        <v>6.26</v>
      </c>
      <c r="Q245" s="4" t="s">
        <v>3057</v>
      </c>
      <c r="R245" s="4" t="s">
        <v>3057</v>
      </c>
      <c r="S245" s="4" t="s">
        <v>3057</v>
      </c>
      <c r="T245" s="4" t="s">
        <v>3057</v>
      </c>
      <c r="U245" s="4">
        <f t="shared" si="27"/>
        <v>6.26</v>
      </c>
      <c r="V245" s="5">
        <f t="shared" si="28"/>
        <v>3.13</v>
      </c>
      <c r="W245" s="5">
        <f t="shared" si="29"/>
        <v>0.10433333333333333</v>
      </c>
      <c r="X245" s="7">
        <f t="shared" si="30"/>
        <v>9.4581431082431376E-6</v>
      </c>
      <c r="Y245" s="7">
        <f t="shared" si="35"/>
        <v>0.99989157885791602</v>
      </c>
      <c r="Z245" s="7">
        <f t="shared" si="31"/>
        <v>1</v>
      </c>
      <c r="AA245" t="str">
        <f t="shared" si="32"/>
        <v>C</v>
      </c>
      <c r="AB245" t="str">
        <f t="shared" si="33"/>
        <v>Y</v>
      </c>
      <c r="AC245" t="str">
        <f t="shared" si="34"/>
        <v>CY</v>
      </c>
    </row>
    <row r="246" spans="1:29" x14ac:dyDescent="0.25">
      <c r="A246" t="s">
        <v>2132</v>
      </c>
      <c r="B246" t="s">
        <v>3042</v>
      </c>
      <c r="C246" s="4" t="s">
        <v>3057</v>
      </c>
      <c r="D246" s="4" t="s">
        <v>3057</v>
      </c>
      <c r="E246" s="4" t="s">
        <v>3057</v>
      </c>
      <c r="F246" s="4" t="s">
        <v>3057</v>
      </c>
      <c r="G246" s="4" t="s">
        <v>3057</v>
      </c>
      <c r="H246" s="4" t="s">
        <v>3057</v>
      </c>
      <c r="I246" s="4" t="s">
        <v>3057</v>
      </c>
      <c r="J246" s="4" t="s">
        <v>3057</v>
      </c>
      <c r="K246" s="4" t="s">
        <v>3057</v>
      </c>
      <c r="L246" s="4" t="s">
        <v>3057</v>
      </c>
      <c r="M246" s="4">
        <v>0</v>
      </c>
      <c r="N246" s="4" t="s">
        <v>3057</v>
      </c>
      <c r="O246" s="4" t="s">
        <v>3057</v>
      </c>
      <c r="P246" s="4">
        <v>6.26</v>
      </c>
      <c r="Q246" s="4" t="s">
        <v>3057</v>
      </c>
      <c r="R246" s="4" t="s">
        <v>3057</v>
      </c>
      <c r="S246" s="4" t="s">
        <v>3057</v>
      </c>
      <c r="T246" s="4" t="s">
        <v>3057</v>
      </c>
      <c r="U246" s="4">
        <f t="shared" si="27"/>
        <v>6.26</v>
      </c>
      <c r="V246" s="5">
        <f t="shared" si="28"/>
        <v>3.13</v>
      </c>
      <c r="W246" s="5">
        <f t="shared" si="29"/>
        <v>0.10433333333333333</v>
      </c>
      <c r="X246" s="7">
        <f t="shared" si="30"/>
        <v>9.4581431082431376E-6</v>
      </c>
      <c r="Y246" s="7">
        <f t="shared" si="35"/>
        <v>0.99990103700102428</v>
      </c>
      <c r="Z246" s="7">
        <f t="shared" si="31"/>
        <v>1</v>
      </c>
      <c r="AA246" t="str">
        <f t="shared" si="32"/>
        <v>C</v>
      </c>
      <c r="AB246" t="str">
        <f t="shared" si="33"/>
        <v>Y</v>
      </c>
      <c r="AC246" t="str">
        <f t="shared" si="34"/>
        <v>CY</v>
      </c>
    </row>
    <row r="247" spans="1:29" x14ac:dyDescent="0.25">
      <c r="A247" t="s">
        <v>919</v>
      </c>
      <c r="B247" t="s">
        <v>2873</v>
      </c>
      <c r="C247" s="4" t="s">
        <v>3057</v>
      </c>
      <c r="D247" s="4" t="s">
        <v>3057</v>
      </c>
      <c r="E247" s="4" t="s">
        <v>3057</v>
      </c>
      <c r="F247" s="4" t="s">
        <v>3057</v>
      </c>
      <c r="G247" s="4" t="s">
        <v>3057</v>
      </c>
      <c r="H247" s="4">
        <v>6</v>
      </c>
      <c r="I247" s="4" t="s">
        <v>3057</v>
      </c>
      <c r="J247" s="4" t="s">
        <v>3057</v>
      </c>
      <c r="K247" s="4" t="s">
        <v>3057</v>
      </c>
      <c r="L247" s="4" t="s">
        <v>3057</v>
      </c>
      <c r="M247" s="4">
        <v>0</v>
      </c>
      <c r="N247" s="4" t="s">
        <v>3057</v>
      </c>
      <c r="O247" s="4" t="s">
        <v>3057</v>
      </c>
      <c r="P247" s="4" t="s">
        <v>3057</v>
      </c>
      <c r="Q247" s="4" t="s">
        <v>3057</v>
      </c>
      <c r="R247" s="4" t="s">
        <v>3057</v>
      </c>
      <c r="S247" s="4" t="s">
        <v>3057</v>
      </c>
      <c r="T247" s="4" t="s">
        <v>3057</v>
      </c>
      <c r="U247" s="4">
        <f t="shared" si="27"/>
        <v>6</v>
      </c>
      <c r="V247" s="5">
        <f t="shared" si="28"/>
        <v>3</v>
      </c>
      <c r="W247" s="5">
        <f t="shared" si="29"/>
        <v>0.1</v>
      </c>
      <c r="X247" s="7">
        <f t="shared" si="30"/>
        <v>9.0653128833001322E-6</v>
      </c>
      <c r="Y247" s="7">
        <f t="shared" si="35"/>
        <v>0.99991010231390753</v>
      </c>
      <c r="Z247" s="7">
        <f t="shared" si="31"/>
        <v>1</v>
      </c>
      <c r="AA247" t="str">
        <f t="shared" si="32"/>
        <v>C</v>
      </c>
      <c r="AB247" t="str">
        <f t="shared" si="33"/>
        <v>Y</v>
      </c>
      <c r="AC247" t="str">
        <f t="shared" si="34"/>
        <v>CY</v>
      </c>
    </row>
    <row r="248" spans="1:29" x14ac:dyDescent="0.25">
      <c r="A248" t="s">
        <v>777</v>
      </c>
      <c r="B248" t="s">
        <v>2696</v>
      </c>
      <c r="C248" s="4" t="s">
        <v>3057</v>
      </c>
      <c r="D248" s="4" t="s">
        <v>3057</v>
      </c>
      <c r="E248" s="4" t="s">
        <v>3057</v>
      </c>
      <c r="F248" s="4">
        <v>5</v>
      </c>
      <c r="G248" s="4" t="s">
        <v>3057</v>
      </c>
      <c r="H248" s="4" t="s">
        <v>3057</v>
      </c>
      <c r="I248" s="4" t="s">
        <v>3057</v>
      </c>
      <c r="J248" s="4" t="s">
        <v>3057</v>
      </c>
      <c r="K248" s="4" t="s">
        <v>3057</v>
      </c>
      <c r="L248" s="4" t="s">
        <v>3057</v>
      </c>
      <c r="M248" s="4">
        <v>0</v>
      </c>
      <c r="N248" s="4" t="s">
        <v>3057</v>
      </c>
      <c r="O248" s="4" t="s">
        <v>3057</v>
      </c>
      <c r="P248" s="4" t="s">
        <v>3057</v>
      </c>
      <c r="Q248" s="4" t="s">
        <v>3057</v>
      </c>
      <c r="R248" s="4" t="s">
        <v>3057</v>
      </c>
      <c r="S248" s="4" t="s">
        <v>3057</v>
      </c>
      <c r="T248" s="4" t="s">
        <v>3057</v>
      </c>
      <c r="U248" s="4">
        <f t="shared" si="27"/>
        <v>5</v>
      </c>
      <c r="V248" s="5">
        <f t="shared" si="28"/>
        <v>2.5</v>
      </c>
      <c r="W248" s="5">
        <f t="shared" si="29"/>
        <v>8.3333333333333329E-2</v>
      </c>
      <c r="X248" s="7">
        <f t="shared" si="30"/>
        <v>7.5544274027501105E-6</v>
      </c>
      <c r="Y248" s="7">
        <f t="shared" si="35"/>
        <v>0.99991765674131028</v>
      </c>
      <c r="Z248" s="7">
        <f t="shared" si="31"/>
        <v>1</v>
      </c>
      <c r="AA248" t="str">
        <f t="shared" si="32"/>
        <v>C</v>
      </c>
      <c r="AB248" t="str">
        <f t="shared" si="33"/>
        <v>Y</v>
      </c>
      <c r="AC248" t="str">
        <f t="shared" si="34"/>
        <v>CY</v>
      </c>
    </row>
    <row r="249" spans="1:29" x14ac:dyDescent="0.25">
      <c r="A249" t="s">
        <v>2181</v>
      </c>
      <c r="B249" t="s">
        <v>2822</v>
      </c>
      <c r="C249" s="4" t="s">
        <v>3057</v>
      </c>
      <c r="D249" s="4" t="s">
        <v>3057</v>
      </c>
      <c r="E249" s="4" t="s">
        <v>3057</v>
      </c>
      <c r="F249" s="4" t="s">
        <v>3057</v>
      </c>
      <c r="G249" s="4" t="s">
        <v>3057</v>
      </c>
      <c r="H249" s="4" t="s">
        <v>3057</v>
      </c>
      <c r="I249" s="4" t="s">
        <v>3057</v>
      </c>
      <c r="J249" s="4" t="s">
        <v>3057</v>
      </c>
      <c r="K249" s="4" t="s">
        <v>3057</v>
      </c>
      <c r="L249" s="4" t="s">
        <v>3057</v>
      </c>
      <c r="M249" s="4">
        <v>0</v>
      </c>
      <c r="N249" s="4" t="s">
        <v>3057</v>
      </c>
      <c r="O249" s="4" t="s">
        <v>3057</v>
      </c>
      <c r="P249" s="4" t="s">
        <v>3057</v>
      </c>
      <c r="Q249" s="4">
        <v>4</v>
      </c>
      <c r="R249" s="4">
        <v>1</v>
      </c>
      <c r="S249" s="4" t="s">
        <v>3057</v>
      </c>
      <c r="T249" s="4" t="s">
        <v>3057</v>
      </c>
      <c r="U249" s="4">
        <f t="shared" si="27"/>
        <v>5</v>
      </c>
      <c r="V249" s="5">
        <f t="shared" si="28"/>
        <v>1.6666666666666667</v>
      </c>
      <c r="W249" s="5">
        <f t="shared" si="29"/>
        <v>5.5555555555555559E-2</v>
      </c>
      <c r="X249" s="7">
        <f t="shared" si="30"/>
        <v>7.5544274027501105E-6</v>
      </c>
      <c r="Y249" s="7">
        <f t="shared" si="35"/>
        <v>0.99992521116871302</v>
      </c>
      <c r="Z249" s="7">
        <f t="shared" si="31"/>
        <v>1.019803902718557</v>
      </c>
      <c r="AA249" t="str">
        <f t="shared" si="32"/>
        <v>C</v>
      </c>
      <c r="AB249" t="str">
        <f t="shared" si="33"/>
        <v>Z</v>
      </c>
      <c r="AC249" t="str">
        <f t="shared" si="34"/>
        <v>CZ</v>
      </c>
    </row>
    <row r="250" spans="1:29" x14ac:dyDescent="0.25">
      <c r="A250" t="s">
        <v>1702</v>
      </c>
      <c r="B250" t="s">
        <v>2740</v>
      </c>
      <c r="C250" s="4" t="s">
        <v>3057</v>
      </c>
      <c r="D250" s="4" t="s">
        <v>3057</v>
      </c>
      <c r="E250" s="4" t="s">
        <v>3057</v>
      </c>
      <c r="F250" s="4" t="s">
        <v>3057</v>
      </c>
      <c r="G250" s="4" t="s">
        <v>3057</v>
      </c>
      <c r="H250" s="4" t="s">
        <v>3057</v>
      </c>
      <c r="I250" s="4" t="s">
        <v>3057</v>
      </c>
      <c r="J250" s="4">
        <v>1.5</v>
      </c>
      <c r="K250" s="4" t="s">
        <v>3057</v>
      </c>
      <c r="L250" s="4">
        <v>2</v>
      </c>
      <c r="M250" s="4">
        <v>1</v>
      </c>
      <c r="N250" s="4" t="s">
        <v>3057</v>
      </c>
      <c r="O250" s="4" t="s">
        <v>3057</v>
      </c>
      <c r="P250" s="4" t="s">
        <v>3057</v>
      </c>
      <c r="Q250" s="4" t="s">
        <v>3057</v>
      </c>
      <c r="R250" s="4" t="s">
        <v>3057</v>
      </c>
      <c r="S250" s="4" t="s">
        <v>3057</v>
      </c>
      <c r="T250" s="4" t="s">
        <v>3057</v>
      </c>
      <c r="U250" s="4">
        <f t="shared" si="27"/>
        <v>4.5</v>
      </c>
      <c r="V250" s="5">
        <f t="shared" si="28"/>
        <v>1.5</v>
      </c>
      <c r="W250" s="5">
        <f t="shared" si="29"/>
        <v>0.05</v>
      </c>
      <c r="X250" s="7">
        <f t="shared" si="30"/>
        <v>6.7989846624750992E-6</v>
      </c>
      <c r="Y250" s="7">
        <f t="shared" si="35"/>
        <v>0.99993201015337552</v>
      </c>
      <c r="Z250" s="7">
        <f t="shared" si="31"/>
        <v>0.27216552697590868</v>
      </c>
      <c r="AA250" t="str">
        <f t="shared" si="32"/>
        <v>C</v>
      </c>
      <c r="AB250" t="str">
        <f t="shared" si="33"/>
        <v>X</v>
      </c>
      <c r="AC250" t="str">
        <f t="shared" si="34"/>
        <v>CX</v>
      </c>
    </row>
    <row r="251" spans="1:29" x14ac:dyDescent="0.25">
      <c r="A251" t="s">
        <v>413</v>
      </c>
      <c r="B251" t="s">
        <v>2761</v>
      </c>
      <c r="C251" s="4" t="s">
        <v>3057</v>
      </c>
      <c r="D251" s="4" t="s">
        <v>3057</v>
      </c>
      <c r="E251" s="4" t="s">
        <v>3057</v>
      </c>
      <c r="F251" s="4" t="s">
        <v>3057</v>
      </c>
      <c r="G251" s="4" t="s">
        <v>3057</v>
      </c>
      <c r="H251" s="4">
        <v>1</v>
      </c>
      <c r="I251" s="4" t="s">
        <v>3057</v>
      </c>
      <c r="J251" s="4" t="s">
        <v>3057</v>
      </c>
      <c r="K251" s="4" t="s">
        <v>3057</v>
      </c>
      <c r="L251" s="4" t="s">
        <v>3057</v>
      </c>
      <c r="M251" s="4">
        <v>0</v>
      </c>
      <c r="N251" s="4" t="s">
        <v>3057</v>
      </c>
      <c r="O251" s="4" t="s">
        <v>3057</v>
      </c>
      <c r="P251" s="4" t="s">
        <v>3057</v>
      </c>
      <c r="Q251" s="4" t="s">
        <v>3057</v>
      </c>
      <c r="R251" s="4" t="s">
        <v>3057</v>
      </c>
      <c r="S251" s="4">
        <v>3</v>
      </c>
      <c r="T251" s="4" t="s">
        <v>3057</v>
      </c>
      <c r="U251" s="4">
        <f t="shared" si="27"/>
        <v>4</v>
      </c>
      <c r="V251" s="5">
        <f t="shared" si="28"/>
        <v>1.3333333333333333</v>
      </c>
      <c r="W251" s="5">
        <f t="shared" si="29"/>
        <v>4.4444444444444439E-2</v>
      </c>
      <c r="X251" s="7">
        <f t="shared" si="30"/>
        <v>6.0435419222000887E-6</v>
      </c>
      <c r="Y251" s="7">
        <f t="shared" si="35"/>
        <v>0.99993805369529776</v>
      </c>
      <c r="Z251" s="7">
        <f t="shared" si="31"/>
        <v>0.93541434669348533</v>
      </c>
      <c r="AA251" t="str">
        <f t="shared" si="32"/>
        <v>C</v>
      </c>
      <c r="AB251" t="str">
        <f t="shared" si="33"/>
        <v>Y</v>
      </c>
      <c r="AC251" t="str">
        <f t="shared" si="34"/>
        <v>CY</v>
      </c>
    </row>
    <row r="252" spans="1:29" x14ac:dyDescent="0.25">
      <c r="A252" t="s">
        <v>1353</v>
      </c>
      <c r="B252" t="s">
        <v>2824</v>
      </c>
      <c r="C252" s="4" t="s">
        <v>3057</v>
      </c>
      <c r="D252" s="4" t="s">
        <v>3057</v>
      </c>
      <c r="E252" s="4" t="s">
        <v>3057</v>
      </c>
      <c r="F252" s="4" t="s">
        <v>3057</v>
      </c>
      <c r="G252" s="4">
        <v>3</v>
      </c>
      <c r="H252" s="4" t="s">
        <v>3057</v>
      </c>
      <c r="I252" s="4" t="s">
        <v>3057</v>
      </c>
      <c r="J252" s="4" t="s">
        <v>3057</v>
      </c>
      <c r="K252" s="4" t="s">
        <v>3057</v>
      </c>
      <c r="L252" s="4" t="s">
        <v>3057</v>
      </c>
      <c r="M252" s="4">
        <v>0</v>
      </c>
      <c r="N252" s="4" t="s">
        <v>3057</v>
      </c>
      <c r="O252" s="4" t="s">
        <v>3057</v>
      </c>
      <c r="P252" s="4" t="s">
        <v>3057</v>
      </c>
      <c r="Q252" s="4" t="s">
        <v>3057</v>
      </c>
      <c r="R252" s="4" t="s">
        <v>3057</v>
      </c>
      <c r="S252" s="4">
        <v>1</v>
      </c>
      <c r="T252" s="4" t="s">
        <v>3057</v>
      </c>
      <c r="U252" s="4">
        <f t="shared" si="27"/>
        <v>4</v>
      </c>
      <c r="V252" s="5">
        <f t="shared" si="28"/>
        <v>1.3333333333333333</v>
      </c>
      <c r="W252" s="5">
        <f t="shared" si="29"/>
        <v>4.4444444444444439E-2</v>
      </c>
      <c r="X252" s="7">
        <f t="shared" si="30"/>
        <v>6.0435419222000887E-6</v>
      </c>
      <c r="Y252" s="7">
        <f t="shared" si="35"/>
        <v>0.99994409723722</v>
      </c>
      <c r="Z252" s="7">
        <f t="shared" si="31"/>
        <v>0.93541434669348533</v>
      </c>
      <c r="AA252" t="str">
        <f t="shared" si="32"/>
        <v>C</v>
      </c>
      <c r="AB252" t="str">
        <f t="shared" si="33"/>
        <v>Y</v>
      </c>
      <c r="AC252" t="str">
        <f t="shared" si="34"/>
        <v>CY</v>
      </c>
    </row>
    <row r="253" spans="1:29" x14ac:dyDescent="0.25">
      <c r="A253" t="s">
        <v>1348</v>
      </c>
      <c r="B253" t="s">
        <v>2883</v>
      </c>
      <c r="C253" s="4" t="s">
        <v>3057</v>
      </c>
      <c r="D253" s="4" t="s">
        <v>3057</v>
      </c>
      <c r="E253" s="4" t="s">
        <v>3057</v>
      </c>
      <c r="F253" s="4" t="s">
        <v>3057</v>
      </c>
      <c r="G253" s="4">
        <v>1</v>
      </c>
      <c r="H253" s="4">
        <v>1</v>
      </c>
      <c r="I253" s="4" t="s">
        <v>3057</v>
      </c>
      <c r="J253" s="4" t="s">
        <v>3057</v>
      </c>
      <c r="K253" s="4">
        <v>1</v>
      </c>
      <c r="L253" s="4" t="s">
        <v>3057</v>
      </c>
      <c r="M253" s="4">
        <v>1</v>
      </c>
      <c r="N253" s="4" t="s">
        <v>3057</v>
      </c>
      <c r="O253" s="4" t="s">
        <v>3057</v>
      </c>
      <c r="P253" s="4" t="s">
        <v>3057</v>
      </c>
      <c r="Q253" s="4" t="s">
        <v>3057</v>
      </c>
      <c r="R253" s="4" t="s">
        <v>3057</v>
      </c>
      <c r="S253" s="4" t="s">
        <v>3057</v>
      </c>
      <c r="T253" s="4" t="s">
        <v>3057</v>
      </c>
      <c r="U253" s="4">
        <f t="shared" si="27"/>
        <v>4</v>
      </c>
      <c r="V253" s="5">
        <f t="shared" si="28"/>
        <v>1</v>
      </c>
      <c r="W253" s="5">
        <f t="shared" si="29"/>
        <v>3.3333333333333333E-2</v>
      </c>
      <c r="X253" s="7">
        <f t="shared" si="30"/>
        <v>6.0435419222000887E-6</v>
      </c>
      <c r="Y253" s="7">
        <f t="shared" si="35"/>
        <v>0.99995014077914224</v>
      </c>
      <c r="Z253" s="7">
        <f t="shared" si="31"/>
        <v>0</v>
      </c>
      <c r="AA253" t="str">
        <f t="shared" si="32"/>
        <v>C</v>
      </c>
      <c r="AB253" t="str">
        <f t="shared" si="33"/>
        <v>X</v>
      </c>
      <c r="AC253" t="str">
        <f t="shared" si="34"/>
        <v>CX</v>
      </c>
    </row>
    <row r="254" spans="1:29" x14ac:dyDescent="0.25">
      <c r="A254" t="s">
        <v>1521</v>
      </c>
      <c r="B254" t="s">
        <v>2887</v>
      </c>
      <c r="C254" s="4" t="s">
        <v>3057</v>
      </c>
      <c r="D254" s="4" t="s">
        <v>3057</v>
      </c>
      <c r="E254" s="4" t="s">
        <v>3057</v>
      </c>
      <c r="F254" s="4" t="s">
        <v>3057</v>
      </c>
      <c r="G254" s="4" t="s">
        <v>3057</v>
      </c>
      <c r="H254" s="4">
        <v>3.9999999999999991</v>
      </c>
      <c r="I254" s="4" t="s">
        <v>3057</v>
      </c>
      <c r="J254" s="4" t="s">
        <v>3057</v>
      </c>
      <c r="K254" s="4" t="s">
        <v>3057</v>
      </c>
      <c r="L254" s="4" t="s">
        <v>3057</v>
      </c>
      <c r="M254" s="4">
        <v>0</v>
      </c>
      <c r="N254" s="4" t="s">
        <v>3057</v>
      </c>
      <c r="O254" s="4" t="s">
        <v>3057</v>
      </c>
      <c r="P254" s="4" t="s">
        <v>3057</v>
      </c>
      <c r="Q254" s="4" t="s">
        <v>3057</v>
      </c>
      <c r="R254" s="4" t="s">
        <v>3057</v>
      </c>
      <c r="S254" s="4" t="s">
        <v>3057</v>
      </c>
      <c r="T254" s="4" t="s">
        <v>3057</v>
      </c>
      <c r="U254" s="4">
        <f t="shared" si="27"/>
        <v>3.9999999999999991</v>
      </c>
      <c r="V254" s="5">
        <f t="shared" si="28"/>
        <v>1.9999999999999996</v>
      </c>
      <c r="W254" s="5">
        <f t="shared" si="29"/>
        <v>6.6666666666666652E-2</v>
      </c>
      <c r="X254" s="7">
        <f t="shared" si="30"/>
        <v>6.043541922200087E-6</v>
      </c>
      <c r="Y254" s="7">
        <f t="shared" si="35"/>
        <v>0.99995618432106448</v>
      </c>
      <c r="Z254" s="7">
        <f t="shared" si="31"/>
        <v>1</v>
      </c>
      <c r="AA254" t="str">
        <f t="shared" si="32"/>
        <v>C</v>
      </c>
      <c r="AB254" t="str">
        <f t="shared" si="33"/>
        <v>Y</v>
      </c>
      <c r="AC254" t="str">
        <f t="shared" si="34"/>
        <v>CY</v>
      </c>
    </row>
    <row r="255" spans="1:29" x14ac:dyDescent="0.25">
      <c r="A255" t="s">
        <v>1705</v>
      </c>
      <c r="B255" t="s">
        <v>2911</v>
      </c>
      <c r="C255" s="4" t="s">
        <v>3057</v>
      </c>
      <c r="D255" s="4" t="s">
        <v>3057</v>
      </c>
      <c r="E255" s="4" t="s">
        <v>3057</v>
      </c>
      <c r="F255" s="4" t="s">
        <v>3057</v>
      </c>
      <c r="G255" s="4" t="s">
        <v>3057</v>
      </c>
      <c r="H255" s="4" t="s">
        <v>3057</v>
      </c>
      <c r="I255" s="4" t="s">
        <v>3057</v>
      </c>
      <c r="J255" s="4">
        <v>1</v>
      </c>
      <c r="K255" s="4" t="s">
        <v>3057</v>
      </c>
      <c r="L255" s="4" t="s">
        <v>3057</v>
      </c>
      <c r="M255" s="4">
        <v>0</v>
      </c>
      <c r="N255" s="4" t="s">
        <v>3057</v>
      </c>
      <c r="O255" s="4" t="s">
        <v>3057</v>
      </c>
      <c r="P255" s="4">
        <v>2.0000000000000009</v>
      </c>
      <c r="Q255" s="4" t="s">
        <v>3057</v>
      </c>
      <c r="R255" s="4" t="s">
        <v>3057</v>
      </c>
      <c r="S255" s="4" t="s">
        <v>3057</v>
      </c>
      <c r="T255" s="4" t="s">
        <v>3057</v>
      </c>
      <c r="U255" s="4">
        <f t="shared" si="27"/>
        <v>3.0000000000000009</v>
      </c>
      <c r="V255" s="5">
        <f t="shared" si="28"/>
        <v>1.0000000000000002</v>
      </c>
      <c r="W255" s="5">
        <f t="shared" si="29"/>
        <v>3.333333333333334E-2</v>
      </c>
      <c r="X255" s="7">
        <f t="shared" si="30"/>
        <v>4.5326564416500678E-6</v>
      </c>
      <c r="Y255" s="7">
        <f t="shared" si="35"/>
        <v>0.9999607169775061</v>
      </c>
      <c r="Z255" s="7">
        <f t="shared" si="31"/>
        <v>0.81649658092772615</v>
      </c>
      <c r="AA255" t="str">
        <f t="shared" si="32"/>
        <v>C</v>
      </c>
      <c r="AB255" t="str">
        <f t="shared" si="33"/>
        <v>Y</v>
      </c>
      <c r="AC255" t="str">
        <f t="shared" si="34"/>
        <v>CY</v>
      </c>
    </row>
    <row r="256" spans="1:29" x14ac:dyDescent="0.25">
      <c r="A256" t="s">
        <v>2517</v>
      </c>
      <c r="B256" t="s">
        <v>2801</v>
      </c>
      <c r="C256" s="4" t="s">
        <v>3057</v>
      </c>
      <c r="D256" s="4" t="s">
        <v>3057</v>
      </c>
      <c r="E256" s="4" t="s">
        <v>3057</v>
      </c>
      <c r="F256" s="4" t="s">
        <v>3057</v>
      </c>
      <c r="G256" s="4" t="s">
        <v>3057</v>
      </c>
      <c r="H256" s="4" t="s">
        <v>3057</v>
      </c>
      <c r="I256" s="4" t="s">
        <v>3057</v>
      </c>
      <c r="J256" s="4" t="s">
        <v>3057</v>
      </c>
      <c r="K256" s="4" t="s">
        <v>3057</v>
      </c>
      <c r="L256" s="4" t="s">
        <v>3057</v>
      </c>
      <c r="M256" s="4">
        <v>0</v>
      </c>
      <c r="N256" s="4" t="s">
        <v>3057</v>
      </c>
      <c r="O256" s="4" t="s">
        <v>3057</v>
      </c>
      <c r="P256" s="4" t="s">
        <v>3057</v>
      </c>
      <c r="Q256" s="4" t="s">
        <v>3057</v>
      </c>
      <c r="R256" s="4" t="s">
        <v>3057</v>
      </c>
      <c r="S256" s="4" t="s">
        <v>3057</v>
      </c>
      <c r="T256" s="4">
        <v>2</v>
      </c>
      <c r="U256" s="4">
        <f t="shared" si="27"/>
        <v>2</v>
      </c>
      <c r="V256" s="5">
        <f t="shared" si="28"/>
        <v>1</v>
      </c>
      <c r="W256" s="5">
        <f t="shared" si="29"/>
        <v>3.3333333333333333E-2</v>
      </c>
      <c r="X256" s="7">
        <f t="shared" si="30"/>
        <v>3.0217709611000444E-6</v>
      </c>
      <c r="Y256" s="7">
        <f t="shared" si="35"/>
        <v>0.99996373874846722</v>
      </c>
      <c r="Z256" s="7">
        <f t="shared" si="31"/>
        <v>1</v>
      </c>
      <c r="AA256" t="str">
        <f t="shared" si="32"/>
        <v>C</v>
      </c>
      <c r="AB256" t="str">
        <f t="shared" si="33"/>
        <v>Y</v>
      </c>
      <c r="AC256" t="str">
        <f t="shared" si="34"/>
        <v>CY</v>
      </c>
    </row>
    <row r="257" spans="1:29" x14ac:dyDescent="0.25">
      <c r="A257" t="s">
        <v>1931</v>
      </c>
      <c r="B257" t="s">
        <v>2807</v>
      </c>
      <c r="C257" s="4" t="s">
        <v>3057</v>
      </c>
      <c r="D257" s="4" t="s">
        <v>3057</v>
      </c>
      <c r="E257" s="4" t="s">
        <v>3057</v>
      </c>
      <c r="F257" s="4" t="s">
        <v>3057</v>
      </c>
      <c r="G257" s="4" t="s">
        <v>3057</v>
      </c>
      <c r="H257" s="4" t="s">
        <v>3057</v>
      </c>
      <c r="I257" s="4" t="s">
        <v>3057</v>
      </c>
      <c r="J257" s="4" t="s">
        <v>3057</v>
      </c>
      <c r="K257" s="4" t="s">
        <v>3057</v>
      </c>
      <c r="L257" s="4" t="s">
        <v>3057</v>
      </c>
      <c r="M257" s="4">
        <v>1</v>
      </c>
      <c r="N257" s="4" t="s">
        <v>3057</v>
      </c>
      <c r="O257" s="4" t="s">
        <v>3057</v>
      </c>
      <c r="P257" s="4" t="s">
        <v>3057</v>
      </c>
      <c r="Q257" s="4" t="s">
        <v>3057</v>
      </c>
      <c r="R257" s="4" t="s">
        <v>3057</v>
      </c>
      <c r="S257" s="4" t="s">
        <v>3057</v>
      </c>
      <c r="T257" s="4">
        <v>1</v>
      </c>
      <c r="U257" s="4">
        <f t="shared" si="27"/>
        <v>2</v>
      </c>
      <c r="V257" s="5">
        <f t="shared" si="28"/>
        <v>1</v>
      </c>
      <c r="W257" s="5">
        <f t="shared" si="29"/>
        <v>3.3333333333333333E-2</v>
      </c>
      <c r="X257" s="7">
        <f t="shared" si="30"/>
        <v>3.0217709611000444E-6</v>
      </c>
      <c r="Y257" s="7">
        <f t="shared" si="35"/>
        <v>0.99996676051942834</v>
      </c>
      <c r="Z257" s="7">
        <f t="shared" si="31"/>
        <v>0</v>
      </c>
      <c r="AA257" t="str">
        <f t="shared" si="32"/>
        <v>C</v>
      </c>
      <c r="AB257" t="str">
        <f t="shared" si="33"/>
        <v>X</v>
      </c>
      <c r="AC257" t="str">
        <f t="shared" si="34"/>
        <v>CX</v>
      </c>
    </row>
    <row r="258" spans="1:29" x14ac:dyDescent="0.25">
      <c r="A258" t="s">
        <v>1972</v>
      </c>
      <c r="B258" t="s">
        <v>2889</v>
      </c>
      <c r="C258" s="4" t="s">
        <v>3057</v>
      </c>
      <c r="D258" s="4" t="s">
        <v>3057</v>
      </c>
      <c r="E258" s="4" t="s">
        <v>3057</v>
      </c>
      <c r="F258" s="4" t="s">
        <v>3057</v>
      </c>
      <c r="G258" s="4" t="s">
        <v>3057</v>
      </c>
      <c r="H258" s="4" t="s">
        <v>3057</v>
      </c>
      <c r="I258" s="4" t="s">
        <v>3057</v>
      </c>
      <c r="J258" s="4" t="s">
        <v>3057</v>
      </c>
      <c r="K258" s="4" t="s">
        <v>3057</v>
      </c>
      <c r="L258" s="4" t="s">
        <v>3057</v>
      </c>
      <c r="M258" s="4">
        <v>0</v>
      </c>
      <c r="N258" s="4">
        <v>2</v>
      </c>
      <c r="O258" s="4" t="s">
        <v>3057</v>
      </c>
      <c r="P258" s="4" t="s">
        <v>3057</v>
      </c>
      <c r="Q258" s="4" t="s">
        <v>3057</v>
      </c>
      <c r="R258" s="4" t="s">
        <v>3057</v>
      </c>
      <c r="S258" s="4" t="s">
        <v>3057</v>
      </c>
      <c r="T258" s="4" t="s">
        <v>3057</v>
      </c>
      <c r="U258" s="4">
        <f t="shared" ref="U258:U321" si="36">SUM(C258:T258)</f>
        <v>2</v>
      </c>
      <c r="V258" s="5">
        <f t="shared" ref="V258:V321" si="37">AVERAGE(C258:T258)</f>
        <v>1</v>
      </c>
      <c r="W258" s="5">
        <f t="shared" ref="W258:W321" si="38">V258/30</f>
        <v>3.3333333333333333E-2</v>
      </c>
      <c r="X258" s="7">
        <f t="shared" si="30"/>
        <v>3.0217709611000444E-6</v>
      </c>
      <c r="Y258" s="7">
        <f t="shared" si="35"/>
        <v>0.99996978229038946</v>
      </c>
      <c r="Z258" s="7">
        <f t="shared" si="31"/>
        <v>1</v>
      </c>
      <c r="AA258" t="str">
        <f t="shared" si="32"/>
        <v>C</v>
      </c>
      <c r="AB258" t="str">
        <f t="shared" si="33"/>
        <v>Y</v>
      </c>
      <c r="AC258" t="str">
        <f t="shared" si="34"/>
        <v>CY</v>
      </c>
    </row>
    <row r="259" spans="1:29" x14ac:dyDescent="0.25">
      <c r="A259" t="s">
        <v>1701</v>
      </c>
      <c r="B259" t="s">
        <v>2921</v>
      </c>
      <c r="C259" s="4" t="s">
        <v>3057</v>
      </c>
      <c r="D259" s="4" t="s">
        <v>3057</v>
      </c>
      <c r="E259" s="4" t="s">
        <v>3057</v>
      </c>
      <c r="F259" s="4" t="s">
        <v>3057</v>
      </c>
      <c r="G259" s="4" t="s">
        <v>3057</v>
      </c>
      <c r="H259" s="4" t="s">
        <v>3057</v>
      </c>
      <c r="I259" s="4" t="s">
        <v>3057</v>
      </c>
      <c r="J259" s="4">
        <v>1</v>
      </c>
      <c r="K259" s="4" t="s">
        <v>3057</v>
      </c>
      <c r="L259" s="4" t="s">
        <v>3057</v>
      </c>
      <c r="M259" s="4">
        <v>0</v>
      </c>
      <c r="N259" s="4" t="s">
        <v>3057</v>
      </c>
      <c r="O259" s="4" t="s">
        <v>3057</v>
      </c>
      <c r="P259" s="4">
        <v>1</v>
      </c>
      <c r="Q259" s="4" t="s">
        <v>3057</v>
      </c>
      <c r="R259" s="4" t="s">
        <v>3057</v>
      </c>
      <c r="S259" s="4" t="s">
        <v>3057</v>
      </c>
      <c r="T259" s="4" t="s">
        <v>3057</v>
      </c>
      <c r="U259" s="4">
        <f t="shared" si="36"/>
        <v>2</v>
      </c>
      <c r="V259" s="5">
        <f t="shared" si="37"/>
        <v>0.66666666666666663</v>
      </c>
      <c r="W259" s="5">
        <f t="shared" si="38"/>
        <v>2.222222222222222E-2</v>
      </c>
      <c r="X259" s="7">
        <f t="shared" ref="X259:X322" si="39">U259/SUM($U$2:$U$410)</f>
        <v>3.0217709611000444E-6</v>
      </c>
      <c r="Y259" s="7">
        <f t="shared" si="35"/>
        <v>0.99997280406135058</v>
      </c>
      <c r="Z259" s="7">
        <f t="shared" ref="Z259:Z322" si="40">_xlfn.STDEV.P(C259:T259)/AVERAGE(C259:T259)</f>
        <v>0.70710678118654757</v>
      </c>
      <c r="AA259" t="str">
        <f t="shared" ref="AA259:AA322" si="41">IF(Y259&lt;=0.7,"A",IF(Y259&lt;=0.9,"B","C"))</f>
        <v>C</v>
      </c>
      <c r="AB259" t="str">
        <f t="shared" ref="AB259:AB322" si="42">IF(Z259&lt;=0.5,"X",IF(Z259&lt;=1,"Y","Z"))</f>
        <v>Y</v>
      </c>
      <c r="AC259" t="str">
        <f t="shared" ref="AC259:AC322" si="43">AA259&amp;AB259</f>
        <v>CY</v>
      </c>
    </row>
    <row r="260" spans="1:29" x14ac:dyDescent="0.25">
      <c r="A260" t="s">
        <v>2182</v>
      </c>
      <c r="B260" t="s">
        <v>2977</v>
      </c>
      <c r="C260" s="4" t="s">
        <v>3057</v>
      </c>
      <c r="D260" s="4" t="s">
        <v>3057</v>
      </c>
      <c r="E260" s="4" t="s">
        <v>3057</v>
      </c>
      <c r="F260" s="4" t="s">
        <v>3057</v>
      </c>
      <c r="G260" s="4" t="s">
        <v>3057</v>
      </c>
      <c r="H260" s="4" t="s">
        <v>3057</v>
      </c>
      <c r="I260" s="4" t="s">
        <v>3057</v>
      </c>
      <c r="J260" s="4" t="s">
        <v>3057</v>
      </c>
      <c r="K260" s="4" t="s">
        <v>3057</v>
      </c>
      <c r="L260" s="4" t="s">
        <v>3057</v>
      </c>
      <c r="M260" s="4">
        <v>0</v>
      </c>
      <c r="N260" s="4" t="s">
        <v>3057</v>
      </c>
      <c r="O260" s="4" t="s">
        <v>3057</v>
      </c>
      <c r="P260" s="4" t="s">
        <v>3057</v>
      </c>
      <c r="Q260" s="4">
        <v>2</v>
      </c>
      <c r="R260" s="4" t="s">
        <v>3057</v>
      </c>
      <c r="S260" s="4" t="s">
        <v>3057</v>
      </c>
      <c r="T260" s="4" t="s">
        <v>3057</v>
      </c>
      <c r="U260" s="4">
        <f t="shared" si="36"/>
        <v>2</v>
      </c>
      <c r="V260" s="5">
        <f t="shared" si="37"/>
        <v>1</v>
      </c>
      <c r="W260" s="5">
        <f t="shared" si="38"/>
        <v>3.3333333333333333E-2</v>
      </c>
      <c r="X260" s="7">
        <f t="shared" si="39"/>
        <v>3.0217709611000444E-6</v>
      </c>
      <c r="Y260" s="7">
        <f t="shared" si="35"/>
        <v>0.9999758258323117</v>
      </c>
      <c r="Z260" s="7">
        <f t="shared" si="40"/>
        <v>1</v>
      </c>
      <c r="AA260" t="str">
        <f t="shared" si="41"/>
        <v>C</v>
      </c>
      <c r="AB260" t="str">
        <f t="shared" si="42"/>
        <v>Y</v>
      </c>
      <c r="AC260" t="str">
        <f t="shared" si="43"/>
        <v>CY</v>
      </c>
    </row>
    <row r="261" spans="1:29" x14ac:dyDescent="0.25">
      <c r="A261" t="s">
        <v>941</v>
      </c>
      <c r="B261" t="s">
        <v>2993</v>
      </c>
      <c r="C261" s="4" t="s">
        <v>3057</v>
      </c>
      <c r="D261" s="4" t="s">
        <v>3057</v>
      </c>
      <c r="E261" s="4" t="s">
        <v>3057</v>
      </c>
      <c r="F261" s="4">
        <v>2</v>
      </c>
      <c r="G261" s="4" t="s">
        <v>3057</v>
      </c>
      <c r="H261" s="4" t="s">
        <v>3057</v>
      </c>
      <c r="I261" s="4" t="s">
        <v>3057</v>
      </c>
      <c r="J261" s="4" t="s">
        <v>3057</v>
      </c>
      <c r="K261" s="4" t="s">
        <v>3057</v>
      </c>
      <c r="L261" s="4" t="s">
        <v>3057</v>
      </c>
      <c r="M261" s="4">
        <v>0</v>
      </c>
      <c r="N261" s="4" t="s">
        <v>3057</v>
      </c>
      <c r="O261" s="4" t="s">
        <v>3057</v>
      </c>
      <c r="P261" s="4" t="s">
        <v>3057</v>
      </c>
      <c r="Q261" s="4" t="s">
        <v>3057</v>
      </c>
      <c r="R261" s="4" t="s">
        <v>3057</v>
      </c>
      <c r="S261" s="4" t="s">
        <v>3057</v>
      </c>
      <c r="T261" s="4" t="s">
        <v>3057</v>
      </c>
      <c r="U261" s="4">
        <f t="shared" si="36"/>
        <v>2</v>
      </c>
      <c r="V261" s="5">
        <f t="shared" si="37"/>
        <v>1</v>
      </c>
      <c r="W261" s="5">
        <f t="shared" si="38"/>
        <v>3.3333333333333333E-2</v>
      </c>
      <c r="X261" s="7">
        <f t="shared" si="39"/>
        <v>3.0217709611000444E-6</v>
      </c>
      <c r="Y261" s="7">
        <f t="shared" si="35"/>
        <v>0.99997884760327282</v>
      </c>
      <c r="Z261" s="7">
        <f t="shared" si="40"/>
        <v>1</v>
      </c>
      <c r="AA261" t="str">
        <f t="shared" si="41"/>
        <v>C</v>
      </c>
      <c r="AB261" t="str">
        <f t="shared" si="42"/>
        <v>Y</v>
      </c>
      <c r="AC261" t="str">
        <f t="shared" si="43"/>
        <v>CY</v>
      </c>
    </row>
    <row r="262" spans="1:29" x14ac:dyDescent="0.25">
      <c r="A262" t="s">
        <v>2026</v>
      </c>
      <c r="B262" t="s">
        <v>3034</v>
      </c>
      <c r="C262" s="4" t="s">
        <v>3057</v>
      </c>
      <c r="D262" s="4" t="s">
        <v>3057</v>
      </c>
      <c r="E262" s="4" t="s">
        <v>3057</v>
      </c>
      <c r="F262" s="4" t="s">
        <v>3057</v>
      </c>
      <c r="G262" s="4" t="s">
        <v>3057</v>
      </c>
      <c r="H262" s="4" t="s">
        <v>3057</v>
      </c>
      <c r="I262" s="4" t="s">
        <v>3057</v>
      </c>
      <c r="J262" s="4" t="s">
        <v>3057</v>
      </c>
      <c r="K262" s="4" t="s">
        <v>3057</v>
      </c>
      <c r="L262" s="4" t="s">
        <v>3057</v>
      </c>
      <c r="M262" s="4">
        <v>0</v>
      </c>
      <c r="N262" s="4" t="s">
        <v>3057</v>
      </c>
      <c r="O262" s="4">
        <v>2</v>
      </c>
      <c r="P262" s="4" t="s">
        <v>3057</v>
      </c>
      <c r="Q262" s="4" t="s">
        <v>3057</v>
      </c>
      <c r="R262" s="4" t="s">
        <v>3057</v>
      </c>
      <c r="S262" s="4" t="s">
        <v>3057</v>
      </c>
      <c r="T262" s="4" t="s">
        <v>3057</v>
      </c>
      <c r="U262" s="4">
        <f t="shared" si="36"/>
        <v>2</v>
      </c>
      <c r="V262" s="5">
        <f t="shared" si="37"/>
        <v>1</v>
      </c>
      <c r="W262" s="5">
        <f t="shared" si="38"/>
        <v>3.3333333333333333E-2</v>
      </c>
      <c r="X262" s="7">
        <f t="shared" si="39"/>
        <v>3.0217709611000444E-6</v>
      </c>
      <c r="Y262" s="7">
        <f t="shared" si="35"/>
        <v>0.99998186937423394</v>
      </c>
      <c r="Z262" s="7">
        <f t="shared" si="40"/>
        <v>1</v>
      </c>
      <c r="AA262" t="str">
        <f t="shared" si="41"/>
        <v>C</v>
      </c>
      <c r="AB262" t="str">
        <f t="shared" si="42"/>
        <v>Y</v>
      </c>
      <c r="AC262" t="str">
        <f t="shared" si="43"/>
        <v>CY</v>
      </c>
    </row>
    <row r="263" spans="1:29" x14ac:dyDescent="0.25">
      <c r="A263" t="s">
        <v>928</v>
      </c>
      <c r="B263" t="s">
        <v>2868</v>
      </c>
      <c r="C263" s="4" t="s">
        <v>3057</v>
      </c>
      <c r="D263" s="4" t="s">
        <v>3057</v>
      </c>
      <c r="E263" s="4" t="s">
        <v>3057</v>
      </c>
      <c r="F263" s="4">
        <v>0.99999999999999978</v>
      </c>
      <c r="G263" s="4" t="s">
        <v>3057</v>
      </c>
      <c r="H263" s="4" t="s">
        <v>3057</v>
      </c>
      <c r="I263" s="4" t="s">
        <v>3057</v>
      </c>
      <c r="J263" s="4" t="s">
        <v>3057</v>
      </c>
      <c r="K263" s="4" t="s">
        <v>3057</v>
      </c>
      <c r="L263" s="4" t="s">
        <v>3057</v>
      </c>
      <c r="M263" s="4">
        <v>0</v>
      </c>
      <c r="N263" s="4" t="s">
        <v>3057</v>
      </c>
      <c r="O263" s="4" t="s">
        <v>3057</v>
      </c>
      <c r="P263" s="4" t="s">
        <v>3057</v>
      </c>
      <c r="Q263" s="4">
        <v>1</v>
      </c>
      <c r="R263" s="4" t="s">
        <v>3057</v>
      </c>
      <c r="S263" s="4" t="s">
        <v>3057</v>
      </c>
      <c r="T263" s="4" t="s">
        <v>3057</v>
      </c>
      <c r="U263" s="4">
        <f t="shared" si="36"/>
        <v>1.9999999999999998</v>
      </c>
      <c r="V263" s="5">
        <f t="shared" si="37"/>
        <v>0.66666666666666663</v>
      </c>
      <c r="W263" s="5">
        <f t="shared" si="38"/>
        <v>2.222222222222222E-2</v>
      </c>
      <c r="X263" s="7">
        <f t="shared" si="39"/>
        <v>3.0217709611000439E-6</v>
      </c>
      <c r="Y263" s="7">
        <f t="shared" ref="Y263:Y326" si="44">X263+Y262</f>
        <v>0.99998489114519507</v>
      </c>
      <c r="Z263" s="7">
        <f t="shared" si="40"/>
        <v>0.70710678118654735</v>
      </c>
      <c r="AA263" t="str">
        <f t="shared" si="41"/>
        <v>C</v>
      </c>
      <c r="AB263" t="str">
        <f t="shared" si="42"/>
        <v>Y</v>
      </c>
      <c r="AC263" t="str">
        <f t="shared" si="43"/>
        <v>CY</v>
      </c>
    </row>
    <row r="264" spans="1:29" x14ac:dyDescent="0.25">
      <c r="A264" t="s">
        <v>2183</v>
      </c>
      <c r="B264" t="s">
        <v>2978</v>
      </c>
      <c r="C264" s="4" t="s">
        <v>3057</v>
      </c>
      <c r="D264" s="4" t="s">
        <v>3057</v>
      </c>
      <c r="E264" s="4" t="s">
        <v>3057</v>
      </c>
      <c r="F264" s="4" t="s">
        <v>3057</v>
      </c>
      <c r="G264" s="4" t="s">
        <v>3057</v>
      </c>
      <c r="H264" s="4" t="s">
        <v>3057</v>
      </c>
      <c r="I264" s="4" t="s">
        <v>3057</v>
      </c>
      <c r="J264" s="4" t="s">
        <v>3057</v>
      </c>
      <c r="K264" s="4" t="s">
        <v>3057</v>
      </c>
      <c r="L264" s="4" t="s">
        <v>3057</v>
      </c>
      <c r="M264" s="4">
        <v>0</v>
      </c>
      <c r="N264" s="4" t="s">
        <v>3057</v>
      </c>
      <c r="O264" s="4" t="s">
        <v>3057</v>
      </c>
      <c r="P264" s="4" t="s">
        <v>3057</v>
      </c>
      <c r="Q264" s="4">
        <v>1.9999999999999998</v>
      </c>
      <c r="R264" s="4" t="s">
        <v>3057</v>
      </c>
      <c r="S264" s="4" t="s">
        <v>3057</v>
      </c>
      <c r="T264" s="4" t="s">
        <v>3057</v>
      </c>
      <c r="U264" s="4">
        <f t="shared" si="36"/>
        <v>1.9999999999999998</v>
      </c>
      <c r="V264" s="5">
        <f t="shared" si="37"/>
        <v>0.99999999999999989</v>
      </c>
      <c r="W264" s="5">
        <f t="shared" si="38"/>
        <v>3.3333333333333333E-2</v>
      </c>
      <c r="X264" s="7">
        <f t="shared" si="39"/>
        <v>3.0217709611000439E-6</v>
      </c>
      <c r="Y264" s="7">
        <f t="shared" si="44"/>
        <v>0.99998791291615619</v>
      </c>
      <c r="Z264" s="7">
        <f t="shared" si="40"/>
        <v>1</v>
      </c>
      <c r="AA264" t="str">
        <f t="shared" si="41"/>
        <v>C</v>
      </c>
      <c r="AB264" t="str">
        <f t="shared" si="42"/>
        <v>Y</v>
      </c>
      <c r="AC264" t="str">
        <f t="shared" si="43"/>
        <v>CY</v>
      </c>
    </row>
    <row r="265" spans="1:29" x14ac:dyDescent="0.25">
      <c r="A265" t="s">
        <v>2184</v>
      </c>
      <c r="B265" t="s">
        <v>2979</v>
      </c>
      <c r="C265" s="4" t="s">
        <v>3057</v>
      </c>
      <c r="D265" s="4" t="s">
        <v>3057</v>
      </c>
      <c r="E265" s="4" t="s">
        <v>3057</v>
      </c>
      <c r="F265" s="4" t="s">
        <v>3057</v>
      </c>
      <c r="G265" s="4" t="s">
        <v>3057</v>
      </c>
      <c r="H265" s="4" t="s">
        <v>3057</v>
      </c>
      <c r="I265" s="4" t="s">
        <v>3057</v>
      </c>
      <c r="J265" s="4" t="s">
        <v>3057</v>
      </c>
      <c r="K265" s="4" t="s">
        <v>3057</v>
      </c>
      <c r="L265" s="4" t="s">
        <v>3057</v>
      </c>
      <c r="M265" s="4">
        <v>0</v>
      </c>
      <c r="N265" s="4" t="s">
        <v>3057</v>
      </c>
      <c r="O265" s="4" t="s">
        <v>3057</v>
      </c>
      <c r="P265" s="4" t="s">
        <v>3057</v>
      </c>
      <c r="Q265" s="4">
        <v>1.9999999999999998</v>
      </c>
      <c r="R265" s="4" t="s">
        <v>3057</v>
      </c>
      <c r="S265" s="4" t="s">
        <v>3057</v>
      </c>
      <c r="T265" s="4" t="s">
        <v>3057</v>
      </c>
      <c r="U265" s="4">
        <f t="shared" si="36"/>
        <v>1.9999999999999998</v>
      </c>
      <c r="V265" s="5">
        <f t="shared" si="37"/>
        <v>0.99999999999999989</v>
      </c>
      <c r="W265" s="5">
        <f t="shared" si="38"/>
        <v>3.3333333333333333E-2</v>
      </c>
      <c r="X265" s="7">
        <f t="shared" si="39"/>
        <v>3.0217709611000439E-6</v>
      </c>
      <c r="Y265" s="7">
        <f t="shared" si="44"/>
        <v>0.99999093468711731</v>
      </c>
      <c r="Z265" s="7">
        <f t="shared" si="40"/>
        <v>1</v>
      </c>
      <c r="AA265" t="str">
        <f t="shared" si="41"/>
        <v>C</v>
      </c>
      <c r="AB265" t="str">
        <f t="shared" si="42"/>
        <v>Y</v>
      </c>
      <c r="AC265" t="str">
        <f t="shared" si="43"/>
        <v>CY</v>
      </c>
    </row>
    <row r="266" spans="1:29" x14ac:dyDescent="0.25">
      <c r="A266" t="s">
        <v>2129</v>
      </c>
      <c r="B266" t="s">
        <v>2992</v>
      </c>
      <c r="C266" s="4" t="s">
        <v>3057</v>
      </c>
      <c r="D266" s="4" t="s">
        <v>3057</v>
      </c>
      <c r="E266" s="4" t="s">
        <v>3057</v>
      </c>
      <c r="F266" s="4" t="s">
        <v>3057</v>
      </c>
      <c r="G266" s="4" t="s">
        <v>3057</v>
      </c>
      <c r="H266" s="4" t="s">
        <v>3057</v>
      </c>
      <c r="I266" s="4" t="s">
        <v>3057</v>
      </c>
      <c r="J266" s="4" t="s">
        <v>3057</v>
      </c>
      <c r="K266" s="4" t="s">
        <v>3057</v>
      </c>
      <c r="L266" s="4" t="s">
        <v>3057</v>
      </c>
      <c r="M266" s="4">
        <v>0</v>
      </c>
      <c r="N266" s="4" t="s">
        <v>3057</v>
      </c>
      <c r="O266" s="4" t="s">
        <v>3057</v>
      </c>
      <c r="P266" s="4">
        <v>1.0000000000000004</v>
      </c>
      <c r="Q266" s="4" t="s">
        <v>3057</v>
      </c>
      <c r="R266" s="4" t="s">
        <v>3057</v>
      </c>
      <c r="S266" s="4" t="s">
        <v>3057</v>
      </c>
      <c r="T266" s="4" t="s">
        <v>3057</v>
      </c>
      <c r="U266" s="4">
        <f t="shared" si="36"/>
        <v>1.0000000000000004</v>
      </c>
      <c r="V266" s="5">
        <f t="shared" si="37"/>
        <v>0.50000000000000022</v>
      </c>
      <c r="W266" s="5">
        <f t="shared" si="38"/>
        <v>1.6666666666666673E-2</v>
      </c>
      <c r="X266" s="7">
        <f t="shared" si="39"/>
        <v>1.5108854805500228E-6</v>
      </c>
      <c r="Y266" s="7">
        <f t="shared" si="44"/>
        <v>0.99999244557259781</v>
      </c>
      <c r="Z266" s="7">
        <f t="shared" si="40"/>
        <v>1</v>
      </c>
      <c r="AA266" t="str">
        <f t="shared" si="41"/>
        <v>C</v>
      </c>
      <c r="AB266" t="str">
        <f t="shared" si="42"/>
        <v>Y</v>
      </c>
      <c r="AC266" t="str">
        <f t="shared" si="43"/>
        <v>CY</v>
      </c>
    </row>
    <row r="267" spans="1:29" x14ac:dyDescent="0.25">
      <c r="A267" t="s">
        <v>2130</v>
      </c>
      <c r="B267" t="s">
        <v>2893</v>
      </c>
      <c r="C267" s="4" t="s">
        <v>3057</v>
      </c>
      <c r="D267" s="4" t="s">
        <v>3057</v>
      </c>
      <c r="E267" s="4" t="s">
        <v>3057</v>
      </c>
      <c r="F267" s="4" t="s">
        <v>3057</v>
      </c>
      <c r="G267" s="4" t="s">
        <v>3057</v>
      </c>
      <c r="H267" s="4" t="s">
        <v>3057</v>
      </c>
      <c r="I267" s="4" t="s">
        <v>3057</v>
      </c>
      <c r="J267" s="4" t="s">
        <v>3057</v>
      </c>
      <c r="K267" s="4" t="s">
        <v>3057</v>
      </c>
      <c r="L267" s="4" t="s">
        <v>3057</v>
      </c>
      <c r="M267" s="4">
        <v>0</v>
      </c>
      <c r="N267" s="4" t="s">
        <v>3057</v>
      </c>
      <c r="O267" s="4" t="s">
        <v>3057</v>
      </c>
      <c r="P267" s="4">
        <v>1</v>
      </c>
      <c r="Q267" s="4" t="s">
        <v>3057</v>
      </c>
      <c r="R267" s="4" t="s">
        <v>3057</v>
      </c>
      <c r="S267" s="4" t="s">
        <v>3057</v>
      </c>
      <c r="T267" s="4" t="s">
        <v>3057</v>
      </c>
      <c r="U267" s="4">
        <f t="shared" si="36"/>
        <v>1</v>
      </c>
      <c r="V267" s="5">
        <f t="shared" si="37"/>
        <v>0.5</v>
      </c>
      <c r="W267" s="5">
        <f t="shared" si="38"/>
        <v>1.6666666666666666E-2</v>
      </c>
      <c r="X267" s="7">
        <f t="shared" si="39"/>
        <v>1.5108854805500222E-6</v>
      </c>
      <c r="Y267" s="7">
        <f t="shared" si="44"/>
        <v>0.99999395645807831</v>
      </c>
      <c r="Z267" s="7">
        <f t="shared" si="40"/>
        <v>1</v>
      </c>
      <c r="AA267" t="str">
        <f t="shared" si="41"/>
        <v>C</v>
      </c>
      <c r="AB267" t="str">
        <f t="shared" si="42"/>
        <v>Y</v>
      </c>
      <c r="AC267" t="str">
        <f t="shared" si="43"/>
        <v>CY</v>
      </c>
    </row>
    <row r="268" spans="1:29" x14ac:dyDescent="0.25">
      <c r="A268" t="s">
        <v>2127</v>
      </c>
      <c r="B268" t="s">
        <v>2935</v>
      </c>
      <c r="C268" s="4" t="s">
        <v>3057</v>
      </c>
      <c r="D268" s="4" t="s">
        <v>3057</v>
      </c>
      <c r="E268" s="4" t="s">
        <v>3057</v>
      </c>
      <c r="F268" s="4" t="s">
        <v>3057</v>
      </c>
      <c r="G268" s="4" t="s">
        <v>3057</v>
      </c>
      <c r="H268" s="4" t="s">
        <v>3057</v>
      </c>
      <c r="I268" s="4" t="s">
        <v>3057</v>
      </c>
      <c r="J268" s="4" t="s">
        <v>3057</v>
      </c>
      <c r="K268" s="4" t="s">
        <v>3057</v>
      </c>
      <c r="L268" s="4" t="s">
        <v>3057</v>
      </c>
      <c r="M268" s="4">
        <v>0</v>
      </c>
      <c r="N268" s="4" t="s">
        <v>3057</v>
      </c>
      <c r="O268" s="4" t="s">
        <v>3057</v>
      </c>
      <c r="P268" s="4">
        <v>1</v>
      </c>
      <c r="Q268" s="4" t="s">
        <v>3057</v>
      </c>
      <c r="R268" s="4" t="s">
        <v>3057</v>
      </c>
      <c r="S268" s="4" t="s">
        <v>3057</v>
      </c>
      <c r="T268" s="4" t="s">
        <v>3057</v>
      </c>
      <c r="U268" s="4">
        <f t="shared" si="36"/>
        <v>1</v>
      </c>
      <c r="V268" s="5">
        <f t="shared" si="37"/>
        <v>0.5</v>
      </c>
      <c r="W268" s="5">
        <f t="shared" si="38"/>
        <v>1.6666666666666666E-2</v>
      </c>
      <c r="X268" s="7">
        <f t="shared" si="39"/>
        <v>1.5108854805500222E-6</v>
      </c>
      <c r="Y268" s="7">
        <f t="shared" si="44"/>
        <v>0.99999546734355882</v>
      </c>
      <c r="Z268" s="7">
        <f t="shared" si="40"/>
        <v>1</v>
      </c>
      <c r="AA268" t="str">
        <f t="shared" si="41"/>
        <v>C</v>
      </c>
      <c r="AB268" t="str">
        <f t="shared" si="42"/>
        <v>Y</v>
      </c>
      <c r="AC268" t="str">
        <f t="shared" si="43"/>
        <v>CY</v>
      </c>
    </row>
    <row r="269" spans="1:29" x14ac:dyDescent="0.25">
      <c r="A269" t="s">
        <v>2185</v>
      </c>
      <c r="B269" t="s">
        <v>2980</v>
      </c>
      <c r="C269" s="4" t="s">
        <v>3057</v>
      </c>
      <c r="D269" s="4" t="s">
        <v>3057</v>
      </c>
      <c r="E269" s="4" t="s">
        <v>3057</v>
      </c>
      <c r="F269" s="4" t="s">
        <v>3057</v>
      </c>
      <c r="G269" s="4" t="s">
        <v>3057</v>
      </c>
      <c r="H269" s="4" t="s">
        <v>3057</v>
      </c>
      <c r="I269" s="4" t="s">
        <v>3057</v>
      </c>
      <c r="J269" s="4" t="s">
        <v>3057</v>
      </c>
      <c r="K269" s="4" t="s">
        <v>3057</v>
      </c>
      <c r="L269" s="4" t="s">
        <v>3057</v>
      </c>
      <c r="M269" s="4">
        <v>0</v>
      </c>
      <c r="N269" s="4" t="s">
        <v>3057</v>
      </c>
      <c r="O269" s="4" t="s">
        <v>3057</v>
      </c>
      <c r="P269" s="4" t="s">
        <v>3057</v>
      </c>
      <c r="Q269" s="4">
        <v>1</v>
      </c>
      <c r="R269" s="4" t="s">
        <v>3057</v>
      </c>
      <c r="S269" s="4" t="s">
        <v>3057</v>
      </c>
      <c r="T269" s="4" t="s">
        <v>3057</v>
      </c>
      <c r="U269" s="4">
        <f t="shared" si="36"/>
        <v>1</v>
      </c>
      <c r="V269" s="5">
        <f t="shared" si="37"/>
        <v>0.5</v>
      </c>
      <c r="W269" s="5">
        <f t="shared" si="38"/>
        <v>1.6666666666666666E-2</v>
      </c>
      <c r="X269" s="7">
        <f t="shared" si="39"/>
        <v>1.5108854805500222E-6</v>
      </c>
      <c r="Y269" s="7">
        <f t="shared" si="44"/>
        <v>0.99999697822903932</v>
      </c>
      <c r="Z269" s="7">
        <f t="shared" si="40"/>
        <v>1</v>
      </c>
      <c r="AA269" t="str">
        <f t="shared" si="41"/>
        <v>C</v>
      </c>
      <c r="AB269" t="str">
        <f t="shared" si="42"/>
        <v>Y</v>
      </c>
      <c r="AC269" t="str">
        <f t="shared" si="43"/>
        <v>CY</v>
      </c>
    </row>
    <row r="270" spans="1:29" x14ac:dyDescent="0.25">
      <c r="A270" t="s">
        <v>942</v>
      </c>
      <c r="B270" t="s">
        <v>2994</v>
      </c>
      <c r="C270" s="4" t="s">
        <v>3057</v>
      </c>
      <c r="D270" s="4" t="s">
        <v>3057</v>
      </c>
      <c r="E270" s="4" t="s">
        <v>3057</v>
      </c>
      <c r="F270" s="4">
        <v>1</v>
      </c>
      <c r="G270" s="4" t="s">
        <v>3057</v>
      </c>
      <c r="H270" s="4" t="s">
        <v>3057</v>
      </c>
      <c r="I270" s="4" t="s">
        <v>3057</v>
      </c>
      <c r="J270" s="4" t="s">
        <v>3057</v>
      </c>
      <c r="K270" s="4" t="s">
        <v>3057</v>
      </c>
      <c r="L270" s="4" t="s">
        <v>3057</v>
      </c>
      <c r="M270" s="4">
        <v>0</v>
      </c>
      <c r="N270" s="4" t="s">
        <v>3057</v>
      </c>
      <c r="O270" s="4" t="s">
        <v>3057</v>
      </c>
      <c r="P270" s="4" t="s">
        <v>3057</v>
      </c>
      <c r="Q270" s="4" t="s">
        <v>3057</v>
      </c>
      <c r="R270" s="4" t="s">
        <v>3057</v>
      </c>
      <c r="S270" s="4" t="s">
        <v>3057</v>
      </c>
      <c r="T270" s="4" t="s">
        <v>3057</v>
      </c>
      <c r="U270" s="4">
        <f t="shared" si="36"/>
        <v>1</v>
      </c>
      <c r="V270" s="5">
        <f t="shared" si="37"/>
        <v>0.5</v>
      </c>
      <c r="W270" s="5">
        <f t="shared" si="38"/>
        <v>1.6666666666666666E-2</v>
      </c>
      <c r="X270" s="7">
        <f t="shared" si="39"/>
        <v>1.5108854805500222E-6</v>
      </c>
      <c r="Y270" s="7">
        <f t="shared" si="44"/>
        <v>0.99999848911451983</v>
      </c>
      <c r="Z270" s="7">
        <f t="shared" si="40"/>
        <v>1</v>
      </c>
      <c r="AA270" t="str">
        <f t="shared" si="41"/>
        <v>C</v>
      </c>
      <c r="AB270" t="str">
        <f t="shared" si="42"/>
        <v>Y</v>
      </c>
      <c r="AC270" t="str">
        <f t="shared" si="43"/>
        <v>CY</v>
      </c>
    </row>
    <row r="271" spans="1:29" x14ac:dyDescent="0.25">
      <c r="A271" t="s">
        <v>1782</v>
      </c>
      <c r="B271" t="s">
        <v>3031</v>
      </c>
      <c r="C271" s="4" t="s">
        <v>3057</v>
      </c>
      <c r="D271" s="4" t="s">
        <v>3057</v>
      </c>
      <c r="E271" s="4" t="s">
        <v>3057</v>
      </c>
      <c r="F271" s="4" t="s">
        <v>3057</v>
      </c>
      <c r="G271" s="4" t="s">
        <v>3057</v>
      </c>
      <c r="H271" s="4" t="s">
        <v>3057</v>
      </c>
      <c r="I271" s="4" t="s">
        <v>3057</v>
      </c>
      <c r="J271" s="4" t="s">
        <v>3057</v>
      </c>
      <c r="K271" s="4">
        <v>1</v>
      </c>
      <c r="L271" s="4" t="s">
        <v>3057</v>
      </c>
      <c r="M271" s="4">
        <v>0</v>
      </c>
      <c r="N271" s="4" t="s">
        <v>3057</v>
      </c>
      <c r="O271" s="4" t="s">
        <v>3057</v>
      </c>
      <c r="P271" s="4" t="s">
        <v>3057</v>
      </c>
      <c r="Q271" s="4" t="s">
        <v>3057</v>
      </c>
      <c r="R271" s="4" t="s">
        <v>3057</v>
      </c>
      <c r="S271" s="4" t="s">
        <v>3057</v>
      </c>
      <c r="T271" s="4" t="s">
        <v>3057</v>
      </c>
      <c r="U271" s="4">
        <f t="shared" si="36"/>
        <v>1</v>
      </c>
      <c r="V271" s="5">
        <f t="shared" si="37"/>
        <v>0.5</v>
      </c>
      <c r="W271" s="5">
        <f t="shared" si="38"/>
        <v>1.6666666666666666E-2</v>
      </c>
      <c r="X271" s="7">
        <f t="shared" si="39"/>
        <v>1.5108854805500222E-6</v>
      </c>
      <c r="Y271" s="7">
        <f t="shared" si="44"/>
        <v>1.0000000000000004</v>
      </c>
      <c r="Z271" s="7">
        <f t="shared" si="40"/>
        <v>1</v>
      </c>
      <c r="AA271" t="str">
        <f t="shared" si="41"/>
        <v>C</v>
      </c>
      <c r="AB271" t="str">
        <f t="shared" si="42"/>
        <v>Y</v>
      </c>
      <c r="AC271" t="str">
        <f t="shared" si="43"/>
        <v>CY</v>
      </c>
    </row>
    <row r="272" spans="1:29" x14ac:dyDescent="0.25">
      <c r="A272" t="s">
        <v>2566</v>
      </c>
      <c r="B272" t="s">
        <v>2567</v>
      </c>
      <c r="C272" s="4" t="s">
        <v>3057</v>
      </c>
      <c r="D272" s="4" t="s">
        <v>3057</v>
      </c>
      <c r="E272" s="4" t="s">
        <v>3057</v>
      </c>
      <c r="F272" s="4" t="s">
        <v>3057</v>
      </c>
      <c r="G272" s="4" t="s">
        <v>3057</v>
      </c>
      <c r="H272" s="4" t="s">
        <v>3057</v>
      </c>
      <c r="I272" s="4" t="s">
        <v>3057</v>
      </c>
      <c r="J272" s="4" t="s">
        <v>3057</v>
      </c>
      <c r="K272" s="4" t="s">
        <v>3057</v>
      </c>
      <c r="L272" s="4" t="s">
        <v>3057</v>
      </c>
      <c r="M272" s="4">
        <v>0</v>
      </c>
      <c r="N272" s="4" t="s">
        <v>3057</v>
      </c>
      <c r="O272" s="4" t="s">
        <v>3057</v>
      </c>
      <c r="P272" s="4" t="s">
        <v>3057</v>
      </c>
      <c r="Q272" s="4" t="s">
        <v>3057</v>
      </c>
      <c r="R272" s="4" t="s">
        <v>3057</v>
      </c>
      <c r="S272" s="4" t="s">
        <v>3057</v>
      </c>
      <c r="T272" s="4" t="s">
        <v>3057</v>
      </c>
      <c r="U272" s="4">
        <f t="shared" si="36"/>
        <v>0</v>
      </c>
      <c r="V272" s="5">
        <f t="shared" si="37"/>
        <v>0</v>
      </c>
      <c r="W272" s="5">
        <f t="shared" si="38"/>
        <v>0</v>
      </c>
      <c r="X272" s="7">
        <f t="shared" si="39"/>
        <v>0</v>
      </c>
      <c r="Y272" s="7">
        <f t="shared" si="44"/>
        <v>1.0000000000000004</v>
      </c>
      <c r="Z272" s="7" t="e">
        <f t="shared" si="40"/>
        <v>#DIV/0!</v>
      </c>
      <c r="AA272" t="str">
        <f t="shared" si="41"/>
        <v>C</v>
      </c>
      <c r="AB272" t="e">
        <f t="shared" si="42"/>
        <v>#DIV/0!</v>
      </c>
      <c r="AC272" t="e">
        <f t="shared" si="43"/>
        <v>#DIV/0!</v>
      </c>
    </row>
    <row r="273" spans="1:29" x14ac:dyDescent="0.25">
      <c r="A273" t="s">
        <v>2572</v>
      </c>
      <c r="B273" t="s">
        <v>2573</v>
      </c>
      <c r="C273" s="4" t="s">
        <v>3057</v>
      </c>
      <c r="D273" s="4" t="s">
        <v>3057</v>
      </c>
      <c r="E273" s="4" t="s">
        <v>3057</v>
      </c>
      <c r="F273" s="4" t="s">
        <v>3057</v>
      </c>
      <c r="G273" s="4" t="s">
        <v>3057</v>
      </c>
      <c r="H273" s="4" t="s">
        <v>3057</v>
      </c>
      <c r="I273" s="4" t="s">
        <v>3057</v>
      </c>
      <c r="J273" s="4" t="s">
        <v>3057</v>
      </c>
      <c r="K273" s="4" t="s">
        <v>3057</v>
      </c>
      <c r="L273" s="4" t="s">
        <v>3057</v>
      </c>
      <c r="M273" s="4">
        <v>0</v>
      </c>
      <c r="N273" s="4" t="s">
        <v>3057</v>
      </c>
      <c r="O273" s="4" t="s">
        <v>3057</v>
      </c>
      <c r="P273" s="4" t="s">
        <v>3057</v>
      </c>
      <c r="Q273" s="4" t="s">
        <v>3057</v>
      </c>
      <c r="R273" s="4" t="s">
        <v>3057</v>
      </c>
      <c r="S273" s="4" t="s">
        <v>3057</v>
      </c>
      <c r="T273" s="4" t="s">
        <v>3057</v>
      </c>
      <c r="U273" s="4">
        <f t="shared" si="36"/>
        <v>0</v>
      </c>
      <c r="V273" s="5">
        <f t="shared" si="37"/>
        <v>0</v>
      </c>
      <c r="W273" s="5">
        <f t="shared" si="38"/>
        <v>0</v>
      </c>
      <c r="X273" s="7">
        <f t="shared" si="39"/>
        <v>0</v>
      </c>
      <c r="Y273" s="7">
        <f t="shared" si="44"/>
        <v>1.0000000000000004</v>
      </c>
      <c r="Z273" s="7" t="e">
        <f t="shared" si="40"/>
        <v>#DIV/0!</v>
      </c>
      <c r="AA273" t="str">
        <f t="shared" si="41"/>
        <v>C</v>
      </c>
      <c r="AB273" t="e">
        <f t="shared" si="42"/>
        <v>#DIV/0!</v>
      </c>
      <c r="AC273" t="e">
        <f t="shared" si="43"/>
        <v>#DIV/0!</v>
      </c>
    </row>
    <row r="274" spans="1:29" x14ac:dyDescent="0.25">
      <c r="A274" t="s">
        <v>2575</v>
      </c>
      <c r="B274" t="s">
        <v>2576</v>
      </c>
      <c r="C274" s="4" t="s">
        <v>3057</v>
      </c>
      <c r="D274" s="4" t="s">
        <v>3057</v>
      </c>
      <c r="E274" s="4" t="s">
        <v>3057</v>
      </c>
      <c r="F274" s="4" t="s">
        <v>3057</v>
      </c>
      <c r="G274" s="4" t="s">
        <v>3057</v>
      </c>
      <c r="H274" s="4" t="s">
        <v>3057</v>
      </c>
      <c r="I274" s="4" t="s">
        <v>3057</v>
      </c>
      <c r="J274" s="4" t="s">
        <v>3057</v>
      </c>
      <c r="K274" s="4" t="s">
        <v>3057</v>
      </c>
      <c r="L274" s="4" t="s">
        <v>3057</v>
      </c>
      <c r="M274" s="4">
        <v>0</v>
      </c>
      <c r="N274" s="4" t="s">
        <v>3057</v>
      </c>
      <c r="O274" s="4" t="s">
        <v>3057</v>
      </c>
      <c r="P274" s="4" t="s">
        <v>3057</v>
      </c>
      <c r="Q274" s="4" t="s">
        <v>3057</v>
      </c>
      <c r="R274" s="4" t="s">
        <v>3057</v>
      </c>
      <c r="S274" s="4" t="s">
        <v>3057</v>
      </c>
      <c r="T274" s="4" t="s">
        <v>3057</v>
      </c>
      <c r="U274" s="4">
        <f t="shared" si="36"/>
        <v>0</v>
      </c>
      <c r="V274" s="5">
        <f t="shared" si="37"/>
        <v>0</v>
      </c>
      <c r="W274" s="5">
        <f t="shared" si="38"/>
        <v>0</v>
      </c>
      <c r="X274" s="7">
        <f t="shared" si="39"/>
        <v>0</v>
      </c>
      <c r="Y274" s="7">
        <f t="shared" si="44"/>
        <v>1.0000000000000004</v>
      </c>
      <c r="Z274" s="7" t="e">
        <f t="shared" si="40"/>
        <v>#DIV/0!</v>
      </c>
      <c r="AA274" t="str">
        <f t="shared" si="41"/>
        <v>C</v>
      </c>
      <c r="AB274" t="e">
        <f t="shared" si="42"/>
        <v>#DIV/0!</v>
      </c>
      <c r="AC274" t="e">
        <f t="shared" si="43"/>
        <v>#DIV/0!</v>
      </c>
    </row>
    <row r="275" spans="1:29" x14ac:dyDescent="0.25">
      <c r="A275" t="s">
        <v>2604</v>
      </c>
      <c r="B275" t="s">
        <v>2605</v>
      </c>
      <c r="C275" s="4" t="s">
        <v>3057</v>
      </c>
      <c r="D275" s="4" t="s">
        <v>3057</v>
      </c>
      <c r="E275" s="4" t="s">
        <v>3057</v>
      </c>
      <c r="F275" s="4" t="s">
        <v>3057</v>
      </c>
      <c r="G275" s="4" t="s">
        <v>3057</v>
      </c>
      <c r="H275" s="4" t="s">
        <v>3057</v>
      </c>
      <c r="I275" s="4" t="s">
        <v>3057</v>
      </c>
      <c r="J275" s="4" t="s">
        <v>3057</v>
      </c>
      <c r="K275" s="4" t="s">
        <v>3057</v>
      </c>
      <c r="L275" s="4" t="s">
        <v>3057</v>
      </c>
      <c r="M275" s="4">
        <v>0</v>
      </c>
      <c r="N275" s="4" t="s">
        <v>3057</v>
      </c>
      <c r="O275" s="4" t="s">
        <v>3057</v>
      </c>
      <c r="P275" s="4" t="s">
        <v>3057</v>
      </c>
      <c r="Q275" s="4" t="s">
        <v>3057</v>
      </c>
      <c r="R275" s="4" t="s">
        <v>3057</v>
      </c>
      <c r="S275" s="4" t="s">
        <v>3057</v>
      </c>
      <c r="T275" s="4" t="s">
        <v>3057</v>
      </c>
      <c r="U275" s="4">
        <f t="shared" si="36"/>
        <v>0</v>
      </c>
      <c r="V275" s="5">
        <f t="shared" si="37"/>
        <v>0</v>
      </c>
      <c r="W275" s="5">
        <f t="shared" si="38"/>
        <v>0</v>
      </c>
      <c r="X275" s="7">
        <f t="shared" si="39"/>
        <v>0</v>
      </c>
      <c r="Y275" s="7">
        <f t="shared" si="44"/>
        <v>1.0000000000000004</v>
      </c>
      <c r="Z275" s="7" t="e">
        <f t="shared" si="40"/>
        <v>#DIV/0!</v>
      </c>
      <c r="AA275" t="str">
        <f t="shared" si="41"/>
        <v>C</v>
      </c>
      <c r="AB275" t="e">
        <f t="shared" si="42"/>
        <v>#DIV/0!</v>
      </c>
      <c r="AC275" t="e">
        <f t="shared" si="43"/>
        <v>#DIV/0!</v>
      </c>
    </row>
    <row r="276" spans="1:29" x14ac:dyDescent="0.25">
      <c r="A276" t="s">
        <v>2623</v>
      </c>
      <c r="B276" t="s">
        <v>2624</v>
      </c>
      <c r="C276" s="4" t="s">
        <v>3057</v>
      </c>
      <c r="D276" s="4" t="s">
        <v>3057</v>
      </c>
      <c r="E276" s="4" t="s">
        <v>3057</v>
      </c>
      <c r="F276" s="4" t="s">
        <v>3057</v>
      </c>
      <c r="G276" s="4" t="s">
        <v>3057</v>
      </c>
      <c r="H276" s="4" t="s">
        <v>3057</v>
      </c>
      <c r="I276" s="4" t="s">
        <v>3057</v>
      </c>
      <c r="J276" s="4" t="s">
        <v>3057</v>
      </c>
      <c r="K276" s="4" t="s">
        <v>3057</v>
      </c>
      <c r="L276" s="4" t="s">
        <v>3057</v>
      </c>
      <c r="M276" s="4">
        <v>0</v>
      </c>
      <c r="N276" s="4" t="s">
        <v>3057</v>
      </c>
      <c r="O276" s="4" t="s">
        <v>3057</v>
      </c>
      <c r="P276" s="4" t="s">
        <v>3057</v>
      </c>
      <c r="Q276" s="4" t="s">
        <v>3057</v>
      </c>
      <c r="R276" s="4" t="s">
        <v>3057</v>
      </c>
      <c r="S276" s="4" t="s">
        <v>3057</v>
      </c>
      <c r="T276" s="4" t="s">
        <v>3057</v>
      </c>
      <c r="U276" s="4">
        <f t="shared" si="36"/>
        <v>0</v>
      </c>
      <c r="V276" s="5">
        <f t="shared" si="37"/>
        <v>0</v>
      </c>
      <c r="W276" s="5">
        <f t="shared" si="38"/>
        <v>0</v>
      </c>
      <c r="X276" s="7">
        <f t="shared" si="39"/>
        <v>0</v>
      </c>
      <c r="Y276" s="7">
        <f t="shared" si="44"/>
        <v>1.0000000000000004</v>
      </c>
      <c r="Z276" s="7" t="e">
        <f t="shared" si="40"/>
        <v>#DIV/0!</v>
      </c>
      <c r="AA276" t="str">
        <f t="shared" si="41"/>
        <v>C</v>
      </c>
      <c r="AB276" t="e">
        <f t="shared" si="42"/>
        <v>#DIV/0!</v>
      </c>
      <c r="AC276" t="e">
        <f t="shared" si="43"/>
        <v>#DIV/0!</v>
      </c>
    </row>
    <row r="277" spans="1:29" x14ac:dyDescent="0.25">
      <c r="A277" t="s">
        <v>2625</v>
      </c>
      <c r="B277" t="s">
        <v>2626</v>
      </c>
      <c r="C277" s="4" t="s">
        <v>3057</v>
      </c>
      <c r="D277" s="4" t="s">
        <v>3057</v>
      </c>
      <c r="E277" s="4" t="s">
        <v>3057</v>
      </c>
      <c r="F277" s="4" t="s">
        <v>3057</v>
      </c>
      <c r="G277" s="4" t="s">
        <v>3057</v>
      </c>
      <c r="H277" s="4" t="s">
        <v>3057</v>
      </c>
      <c r="I277" s="4" t="s">
        <v>3057</v>
      </c>
      <c r="J277" s="4" t="s">
        <v>3057</v>
      </c>
      <c r="K277" s="4" t="s">
        <v>3057</v>
      </c>
      <c r="L277" s="4" t="s">
        <v>3057</v>
      </c>
      <c r="M277" s="4">
        <v>0</v>
      </c>
      <c r="N277" s="4" t="s">
        <v>3057</v>
      </c>
      <c r="O277" s="4" t="s">
        <v>3057</v>
      </c>
      <c r="P277" s="4" t="s">
        <v>3057</v>
      </c>
      <c r="Q277" s="4" t="s">
        <v>3057</v>
      </c>
      <c r="R277" s="4" t="s">
        <v>3057</v>
      </c>
      <c r="S277" s="4" t="s">
        <v>3057</v>
      </c>
      <c r="T277" s="4" t="s">
        <v>3057</v>
      </c>
      <c r="U277" s="4">
        <f t="shared" si="36"/>
        <v>0</v>
      </c>
      <c r="V277" s="5">
        <f t="shared" si="37"/>
        <v>0</v>
      </c>
      <c r="W277" s="5">
        <f t="shared" si="38"/>
        <v>0</v>
      </c>
      <c r="X277" s="7">
        <f t="shared" si="39"/>
        <v>0</v>
      </c>
      <c r="Y277" s="7">
        <f t="shared" si="44"/>
        <v>1.0000000000000004</v>
      </c>
      <c r="Z277" s="7" t="e">
        <f t="shared" si="40"/>
        <v>#DIV/0!</v>
      </c>
      <c r="AA277" t="str">
        <f t="shared" si="41"/>
        <v>C</v>
      </c>
      <c r="AB277" t="e">
        <f t="shared" si="42"/>
        <v>#DIV/0!</v>
      </c>
      <c r="AC277" t="e">
        <f t="shared" si="43"/>
        <v>#DIV/0!</v>
      </c>
    </row>
    <row r="278" spans="1:29" x14ac:dyDescent="0.25">
      <c r="A278" t="s">
        <v>2627</v>
      </c>
      <c r="B278" t="s">
        <v>2628</v>
      </c>
      <c r="C278" s="4" t="s">
        <v>3057</v>
      </c>
      <c r="D278" s="4" t="s">
        <v>3057</v>
      </c>
      <c r="E278" s="4" t="s">
        <v>3057</v>
      </c>
      <c r="F278" s="4" t="s">
        <v>3057</v>
      </c>
      <c r="G278" s="4" t="s">
        <v>3057</v>
      </c>
      <c r="H278" s="4" t="s">
        <v>3057</v>
      </c>
      <c r="I278" s="4" t="s">
        <v>3057</v>
      </c>
      <c r="J278" s="4" t="s">
        <v>3057</v>
      </c>
      <c r="K278" s="4" t="s">
        <v>3057</v>
      </c>
      <c r="L278" s="4" t="s">
        <v>3057</v>
      </c>
      <c r="M278" s="4">
        <v>0</v>
      </c>
      <c r="N278" s="4" t="s">
        <v>3057</v>
      </c>
      <c r="O278" s="4" t="s">
        <v>3057</v>
      </c>
      <c r="P278" s="4" t="s">
        <v>3057</v>
      </c>
      <c r="Q278" s="4" t="s">
        <v>3057</v>
      </c>
      <c r="R278" s="4" t="s">
        <v>3057</v>
      </c>
      <c r="S278" s="4" t="s">
        <v>3057</v>
      </c>
      <c r="T278" s="4" t="s">
        <v>3057</v>
      </c>
      <c r="U278" s="4">
        <f t="shared" si="36"/>
        <v>0</v>
      </c>
      <c r="V278" s="5">
        <f t="shared" si="37"/>
        <v>0</v>
      </c>
      <c r="W278" s="5">
        <f t="shared" si="38"/>
        <v>0</v>
      </c>
      <c r="X278" s="7">
        <f t="shared" si="39"/>
        <v>0</v>
      </c>
      <c r="Y278" s="7">
        <f t="shared" si="44"/>
        <v>1.0000000000000004</v>
      </c>
      <c r="Z278" s="7" t="e">
        <f t="shared" si="40"/>
        <v>#DIV/0!</v>
      </c>
      <c r="AA278" t="str">
        <f t="shared" si="41"/>
        <v>C</v>
      </c>
      <c r="AB278" t="e">
        <f t="shared" si="42"/>
        <v>#DIV/0!</v>
      </c>
      <c r="AC278" t="e">
        <f t="shared" si="43"/>
        <v>#DIV/0!</v>
      </c>
    </row>
    <row r="279" spans="1:29" x14ac:dyDescent="0.25">
      <c r="A279" t="s">
        <v>2629</v>
      </c>
      <c r="B279" t="s">
        <v>2630</v>
      </c>
      <c r="C279" s="4" t="s">
        <v>3057</v>
      </c>
      <c r="D279" s="4" t="s">
        <v>3057</v>
      </c>
      <c r="E279" s="4" t="s">
        <v>3057</v>
      </c>
      <c r="F279" s="4" t="s">
        <v>3057</v>
      </c>
      <c r="G279" s="4" t="s">
        <v>3057</v>
      </c>
      <c r="H279" s="4" t="s">
        <v>3057</v>
      </c>
      <c r="I279" s="4" t="s">
        <v>3057</v>
      </c>
      <c r="J279" s="4" t="s">
        <v>3057</v>
      </c>
      <c r="K279" s="4" t="s">
        <v>3057</v>
      </c>
      <c r="L279" s="4" t="s">
        <v>3057</v>
      </c>
      <c r="M279" s="4">
        <v>0</v>
      </c>
      <c r="N279" s="4" t="s">
        <v>3057</v>
      </c>
      <c r="O279" s="4" t="s">
        <v>3057</v>
      </c>
      <c r="P279" s="4" t="s">
        <v>3057</v>
      </c>
      <c r="Q279" s="4" t="s">
        <v>3057</v>
      </c>
      <c r="R279" s="4" t="s">
        <v>3057</v>
      </c>
      <c r="S279" s="4" t="s">
        <v>3057</v>
      </c>
      <c r="T279" s="4" t="s">
        <v>3057</v>
      </c>
      <c r="U279" s="4">
        <f t="shared" si="36"/>
        <v>0</v>
      </c>
      <c r="V279" s="5">
        <f t="shared" si="37"/>
        <v>0</v>
      </c>
      <c r="W279" s="5">
        <f t="shared" si="38"/>
        <v>0</v>
      </c>
      <c r="X279" s="7">
        <f t="shared" si="39"/>
        <v>0</v>
      </c>
      <c r="Y279" s="7">
        <f t="shared" si="44"/>
        <v>1.0000000000000004</v>
      </c>
      <c r="Z279" s="7" t="e">
        <f t="shared" si="40"/>
        <v>#DIV/0!</v>
      </c>
      <c r="AA279" t="str">
        <f t="shared" si="41"/>
        <v>C</v>
      </c>
      <c r="AB279" t="e">
        <f t="shared" si="42"/>
        <v>#DIV/0!</v>
      </c>
      <c r="AC279" t="e">
        <f t="shared" si="43"/>
        <v>#DIV/0!</v>
      </c>
    </row>
    <row r="280" spans="1:29" x14ac:dyDescent="0.25">
      <c r="A280" t="s">
        <v>2632</v>
      </c>
      <c r="B280" t="s">
        <v>2633</v>
      </c>
      <c r="C280" s="4" t="s">
        <v>3057</v>
      </c>
      <c r="D280" s="4" t="s">
        <v>3057</v>
      </c>
      <c r="E280" s="4" t="s">
        <v>3057</v>
      </c>
      <c r="F280" s="4" t="s">
        <v>3057</v>
      </c>
      <c r="G280" s="4" t="s">
        <v>3057</v>
      </c>
      <c r="H280" s="4" t="s">
        <v>3057</v>
      </c>
      <c r="I280" s="4" t="s">
        <v>3057</v>
      </c>
      <c r="J280" s="4" t="s">
        <v>3057</v>
      </c>
      <c r="K280" s="4" t="s">
        <v>3057</v>
      </c>
      <c r="L280" s="4" t="s">
        <v>3057</v>
      </c>
      <c r="M280" s="4">
        <v>0</v>
      </c>
      <c r="N280" s="4" t="s">
        <v>3057</v>
      </c>
      <c r="O280" s="4" t="s">
        <v>3057</v>
      </c>
      <c r="P280" s="4" t="s">
        <v>3057</v>
      </c>
      <c r="Q280" s="4" t="s">
        <v>3057</v>
      </c>
      <c r="R280" s="4" t="s">
        <v>3057</v>
      </c>
      <c r="S280" s="4" t="s">
        <v>3057</v>
      </c>
      <c r="T280" s="4" t="s">
        <v>3057</v>
      </c>
      <c r="U280" s="4">
        <f t="shared" si="36"/>
        <v>0</v>
      </c>
      <c r="V280" s="5">
        <f t="shared" si="37"/>
        <v>0</v>
      </c>
      <c r="W280" s="5">
        <f t="shared" si="38"/>
        <v>0</v>
      </c>
      <c r="X280" s="7">
        <f t="shared" si="39"/>
        <v>0</v>
      </c>
      <c r="Y280" s="7">
        <f t="shared" si="44"/>
        <v>1.0000000000000004</v>
      </c>
      <c r="Z280" s="7" t="e">
        <f t="shared" si="40"/>
        <v>#DIV/0!</v>
      </c>
      <c r="AA280" t="str">
        <f t="shared" si="41"/>
        <v>C</v>
      </c>
      <c r="AB280" t="e">
        <f t="shared" si="42"/>
        <v>#DIV/0!</v>
      </c>
      <c r="AC280" t="e">
        <f t="shared" si="43"/>
        <v>#DIV/0!</v>
      </c>
    </row>
    <row r="281" spans="1:29" x14ac:dyDescent="0.25">
      <c r="A281" t="s">
        <v>2635</v>
      </c>
      <c r="B281" t="s">
        <v>2636</v>
      </c>
      <c r="C281" s="4" t="s">
        <v>3057</v>
      </c>
      <c r="D281" s="4" t="s">
        <v>3057</v>
      </c>
      <c r="E281" s="4" t="s">
        <v>3057</v>
      </c>
      <c r="F281" s="4" t="s">
        <v>3057</v>
      </c>
      <c r="G281" s="4" t="s">
        <v>3057</v>
      </c>
      <c r="H281" s="4" t="s">
        <v>3057</v>
      </c>
      <c r="I281" s="4" t="s">
        <v>3057</v>
      </c>
      <c r="J281" s="4" t="s">
        <v>3057</v>
      </c>
      <c r="K281" s="4" t="s">
        <v>3057</v>
      </c>
      <c r="L281" s="4" t="s">
        <v>3057</v>
      </c>
      <c r="M281" s="4">
        <v>0</v>
      </c>
      <c r="N281" s="4" t="s">
        <v>3057</v>
      </c>
      <c r="O281" s="4" t="s">
        <v>3057</v>
      </c>
      <c r="P281" s="4" t="s">
        <v>3057</v>
      </c>
      <c r="Q281" s="4" t="s">
        <v>3057</v>
      </c>
      <c r="R281" s="4" t="s">
        <v>3057</v>
      </c>
      <c r="S281" s="4" t="s">
        <v>3057</v>
      </c>
      <c r="T281" s="4" t="s">
        <v>3057</v>
      </c>
      <c r="U281" s="4">
        <f t="shared" si="36"/>
        <v>0</v>
      </c>
      <c r="V281" s="5">
        <f t="shared" si="37"/>
        <v>0</v>
      </c>
      <c r="W281" s="5">
        <f t="shared" si="38"/>
        <v>0</v>
      </c>
      <c r="X281" s="7">
        <f t="shared" si="39"/>
        <v>0</v>
      </c>
      <c r="Y281" s="7">
        <f t="shared" si="44"/>
        <v>1.0000000000000004</v>
      </c>
      <c r="Z281" s="7" t="e">
        <f t="shared" si="40"/>
        <v>#DIV/0!</v>
      </c>
      <c r="AA281" t="str">
        <f t="shared" si="41"/>
        <v>C</v>
      </c>
      <c r="AB281" t="e">
        <f t="shared" si="42"/>
        <v>#DIV/0!</v>
      </c>
      <c r="AC281" t="e">
        <f t="shared" si="43"/>
        <v>#DIV/0!</v>
      </c>
    </row>
    <row r="282" spans="1:29" x14ac:dyDescent="0.25">
      <c r="A282" t="s">
        <v>2638</v>
      </c>
      <c r="B282" t="s">
        <v>2639</v>
      </c>
      <c r="C282" s="4" t="s">
        <v>3057</v>
      </c>
      <c r="D282" s="4" t="s">
        <v>3057</v>
      </c>
      <c r="E282" s="4" t="s">
        <v>3057</v>
      </c>
      <c r="F282" s="4" t="s">
        <v>3057</v>
      </c>
      <c r="G282" s="4" t="s">
        <v>3057</v>
      </c>
      <c r="H282" s="4" t="s">
        <v>3057</v>
      </c>
      <c r="I282" s="4" t="s">
        <v>3057</v>
      </c>
      <c r="J282" s="4" t="s">
        <v>3057</v>
      </c>
      <c r="K282" s="4" t="s">
        <v>3057</v>
      </c>
      <c r="L282" s="4" t="s">
        <v>3057</v>
      </c>
      <c r="M282" s="4">
        <v>0</v>
      </c>
      <c r="N282" s="4" t="s">
        <v>3057</v>
      </c>
      <c r="O282" s="4" t="s">
        <v>3057</v>
      </c>
      <c r="P282" s="4" t="s">
        <v>3057</v>
      </c>
      <c r="Q282" s="4" t="s">
        <v>3057</v>
      </c>
      <c r="R282" s="4" t="s">
        <v>3057</v>
      </c>
      <c r="S282" s="4" t="s">
        <v>3057</v>
      </c>
      <c r="T282" s="4" t="s">
        <v>3057</v>
      </c>
      <c r="U282" s="4">
        <f t="shared" si="36"/>
        <v>0</v>
      </c>
      <c r="V282" s="5">
        <f t="shared" si="37"/>
        <v>0</v>
      </c>
      <c r="W282" s="5">
        <f t="shared" si="38"/>
        <v>0</v>
      </c>
      <c r="X282" s="7">
        <f t="shared" si="39"/>
        <v>0</v>
      </c>
      <c r="Y282" s="7">
        <f t="shared" si="44"/>
        <v>1.0000000000000004</v>
      </c>
      <c r="Z282" s="7" t="e">
        <f t="shared" si="40"/>
        <v>#DIV/0!</v>
      </c>
      <c r="AA282" t="str">
        <f t="shared" si="41"/>
        <v>C</v>
      </c>
      <c r="AB282" t="e">
        <f t="shared" si="42"/>
        <v>#DIV/0!</v>
      </c>
      <c r="AC282" t="e">
        <f t="shared" si="43"/>
        <v>#DIV/0!</v>
      </c>
    </row>
    <row r="283" spans="1:29" x14ac:dyDescent="0.25">
      <c r="A283" t="s">
        <v>2646</v>
      </c>
      <c r="B283" t="s">
        <v>2647</v>
      </c>
      <c r="C283" s="4" t="s">
        <v>3057</v>
      </c>
      <c r="D283" s="4" t="s">
        <v>3057</v>
      </c>
      <c r="E283" s="4" t="s">
        <v>3057</v>
      </c>
      <c r="F283" s="4" t="s">
        <v>3057</v>
      </c>
      <c r="G283" s="4" t="s">
        <v>3057</v>
      </c>
      <c r="H283" s="4" t="s">
        <v>3057</v>
      </c>
      <c r="I283" s="4" t="s">
        <v>3057</v>
      </c>
      <c r="J283" s="4" t="s">
        <v>3057</v>
      </c>
      <c r="K283" s="4" t="s">
        <v>3057</v>
      </c>
      <c r="L283" s="4" t="s">
        <v>3057</v>
      </c>
      <c r="M283" s="4">
        <v>0</v>
      </c>
      <c r="N283" s="4" t="s">
        <v>3057</v>
      </c>
      <c r="O283" s="4" t="s">
        <v>3057</v>
      </c>
      <c r="P283" s="4" t="s">
        <v>3057</v>
      </c>
      <c r="Q283" s="4" t="s">
        <v>3057</v>
      </c>
      <c r="R283" s="4" t="s">
        <v>3057</v>
      </c>
      <c r="S283" s="4" t="s">
        <v>3057</v>
      </c>
      <c r="T283" s="4" t="s">
        <v>3057</v>
      </c>
      <c r="U283" s="4">
        <f t="shared" si="36"/>
        <v>0</v>
      </c>
      <c r="V283" s="5">
        <f t="shared" si="37"/>
        <v>0</v>
      </c>
      <c r="W283" s="5">
        <f t="shared" si="38"/>
        <v>0</v>
      </c>
      <c r="X283" s="7">
        <f t="shared" si="39"/>
        <v>0</v>
      </c>
      <c r="Y283" s="7">
        <f t="shared" si="44"/>
        <v>1.0000000000000004</v>
      </c>
      <c r="Z283" s="7" t="e">
        <f t="shared" si="40"/>
        <v>#DIV/0!</v>
      </c>
      <c r="AA283" t="str">
        <f t="shared" si="41"/>
        <v>C</v>
      </c>
      <c r="AB283" t="e">
        <f t="shared" si="42"/>
        <v>#DIV/0!</v>
      </c>
      <c r="AC283" t="e">
        <f t="shared" si="43"/>
        <v>#DIV/0!</v>
      </c>
    </row>
    <row r="284" spans="1:29" x14ac:dyDescent="0.25">
      <c r="A284" t="s">
        <v>2648</v>
      </c>
      <c r="B284" t="s">
        <v>2649</v>
      </c>
      <c r="C284" s="4" t="s">
        <v>3057</v>
      </c>
      <c r="D284" s="4" t="s">
        <v>3057</v>
      </c>
      <c r="E284" s="4" t="s">
        <v>3057</v>
      </c>
      <c r="F284" s="4" t="s">
        <v>3057</v>
      </c>
      <c r="G284" s="4" t="s">
        <v>3057</v>
      </c>
      <c r="H284" s="4" t="s">
        <v>3057</v>
      </c>
      <c r="I284" s="4" t="s">
        <v>3057</v>
      </c>
      <c r="J284" s="4" t="s">
        <v>3057</v>
      </c>
      <c r="K284" s="4" t="s">
        <v>3057</v>
      </c>
      <c r="L284" s="4" t="s">
        <v>3057</v>
      </c>
      <c r="M284" s="4">
        <v>0</v>
      </c>
      <c r="N284" s="4" t="s">
        <v>3057</v>
      </c>
      <c r="O284" s="4" t="s">
        <v>3057</v>
      </c>
      <c r="P284" s="4" t="s">
        <v>3057</v>
      </c>
      <c r="Q284" s="4" t="s">
        <v>3057</v>
      </c>
      <c r="R284" s="4" t="s">
        <v>3057</v>
      </c>
      <c r="S284" s="4" t="s">
        <v>3057</v>
      </c>
      <c r="T284" s="4" t="s">
        <v>3057</v>
      </c>
      <c r="U284" s="4">
        <f t="shared" si="36"/>
        <v>0</v>
      </c>
      <c r="V284" s="5">
        <f t="shared" si="37"/>
        <v>0</v>
      </c>
      <c r="W284" s="5">
        <f t="shared" si="38"/>
        <v>0</v>
      </c>
      <c r="X284" s="7">
        <f t="shared" si="39"/>
        <v>0</v>
      </c>
      <c r="Y284" s="7">
        <f t="shared" si="44"/>
        <v>1.0000000000000004</v>
      </c>
      <c r="Z284" s="7" t="e">
        <f t="shared" si="40"/>
        <v>#DIV/0!</v>
      </c>
      <c r="AA284" t="str">
        <f t="shared" si="41"/>
        <v>C</v>
      </c>
      <c r="AB284" t="e">
        <f t="shared" si="42"/>
        <v>#DIV/0!</v>
      </c>
      <c r="AC284" t="e">
        <f t="shared" si="43"/>
        <v>#DIV/0!</v>
      </c>
    </row>
    <row r="285" spans="1:29" x14ac:dyDescent="0.25">
      <c r="A285" t="s">
        <v>2650</v>
      </c>
      <c r="B285" t="s">
        <v>2651</v>
      </c>
      <c r="C285" s="4" t="s">
        <v>3057</v>
      </c>
      <c r="D285" s="4" t="s">
        <v>3057</v>
      </c>
      <c r="E285" s="4" t="s">
        <v>3057</v>
      </c>
      <c r="F285" s="4" t="s">
        <v>3057</v>
      </c>
      <c r="G285" s="4" t="s">
        <v>3057</v>
      </c>
      <c r="H285" s="4" t="s">
        <v>3057</v>
      </c>
      <c r="I285" s="4" t="s">
        <v>3057</v>
      </c>
      <c r="J285" s="4" t="s">
        <v>3057</v>
      </c>
      <c r="K285" s="4" t="s">
        <v>3057</v>
      </c>
      <c r="L285" s="4" t="s">
        <v>3057</v>
      </c>
      <c r="M285" s="4">
        <v>0</v>
      </c>
      <c r="N285" s="4" t="s">
        <v>3057</v>
      </c>
      <c r="O285" s="4" t="s">
        <v>3057</v>
      </c>
      <c r="P285" s="4" t="s">
        <v>3057</v>
      </c>
      <c r="Q285" s="4" t="s">
        <v>3057</v>
      </c>
      <c r="R285" s="4" t="s">
        <v>3057</v>
      </c>
      <c r="S285" s="4" t="s">
        <v>3057</v>
      </c>
      <c r="T285" s="4" t="s">
        <v>3057</v>
      </c>
      <c r="U285" s="4">
        <f t="shared" si="36"/>
        <v>0</v>
      </c>
      <c r="V285" s="5">
        <f t="shared" si="37"/>
        <v>0</v>
      </c>
      <c r="W285" s="5">
        <f t="shared" si="38"/>
        <v>0</v>
      </c>
      <c r="X285" s="7">
        <f t="shared" si="39"/>
        <v>0</v>
      </c>
      <c r="Y285" s="7">
        <f t="shared" si="44"/>
        <v>1.0000000000000004</v>
      </c>
      <c r="Z285" s="7" t="e">
        <f t="shared" si="40"/>
        <v>#DIV/0!</v>
      </c>
      <c r="AA285" t="str">
        <f t="shared" si="41"/>
        <v>C</v>
      </c>
      <c r="AB285" t="e">
        <f t="shared" si="42"/>
        <v>#DIV/0!</v>
      </c>
      <c r="AC285" t="e">
        <f t="shared" si="43"/>
        <v>#DIV/0!</v>
      </c>
    </row>
    <row r="286" spans="1:29" x14ac:dyDescent="0.25">
      <c r="A286" t="s">
        <v>2652</v>
      </c>
      <c r="B286" t="s">
        <v>2653</v>
      </c>
      <c r="C286" s="4" t="s">
        <v>3057</v>
      </c>
      <c r="D286" s="4" t="s">
        <v>3057</v>
      </c>
      <c r="E286" s="4" t="s">
        <v>3057</v>
      </c>
      <c r="F286" s="4" t="s">
        <v>3057</v>
      </c>
      <c r="G286" s="4" t="s">
        <v>3057</v>
      </c>
      <c r="H286" s="4" t="s">
        <v>3057</v>
      </c>
      <c r="I286" s="4" t="s">
        <v>3057</v>
      </c>
      <c r="J286" s="4" t="s">
        <v>3057</v>
      </c>
      <c r="K286" s="4" t="s">
        <v>3057</v>
      </c>
      <c r="L286" s="4" t="s">
        <v>3057</v>
      </c>
      <c r="M286" s="4">
        <v>0</v>
      </c>
      <c r="N286" s="4" t="s">
        <v>3057</v>
      </c>
      <c r="O286" s="4" t="s">
        <v>3057</v>
      </c>
      <c r="P286" s="4" t="s">
        <v>3057</v>
      </c>
      <c r="Q286" s="4" t="s">
        <v>3057</v>
      </c>
      <c r="R286" s="4" t="s">
        <v>3057</v>
      </c>
      <c r="S286" s="4" t="s">
        <v>3057</v>
      </c>
      <c r="T286" s="4" t="s">
        <v>3057</v>
      </c>
      <c r="U286" s="4">
        <f t="shared" si="36"/>
        <v>0</v>
      </c>
      <c r="V286" s="5">
        <f t="shared" si="37"/>
        <v>0</v>
      </c>
      <c r="W286" s="5">
        <f t="shared" si="38"/>
        <v>0</v>
      </c>
      <c r="X286" s="7">
        <f t="shared" si="39"/>
        <v>0</v>
      </c>
      <c r="Y286" s="7">
        <f t="shared" si="44"/>
        <v>1.0000000000000004</v>
      </c>
      <c r="Z286" s="7" t="e">
        <f t="shared" si="40"/>
        <v>#DIV/0!</v>
      </c>
      <c r="AA286" t="str">
        <f t="shared" si="41"/>
        <v>C</v>
      </c>
      <c r="AB286" t="e">
        <f t="shared" si="42"/>
        <v>#DIV/0!</v>
      </c>
      <c r="AC286" t="e">
        <f t="shared" si="43"/>
        <v>#DIV/0!</v>
      </c>
    </row>
    <row r="287" spans="1:29" x14ac:dyDescent="0.25">
      <c r="A287" t="s">
        <v>2676</v>
      </c>
      <c r="B287" t="s">
        <v>2677</v>
      </c>
      <c r="C287" s="4" t="s">
        <v>3057</v>
      </c>
      <c r="D287" s="4" t="s">
        <v>3057</v>
      </c>
      <c r="E287" s="4" t="s">
        <v>3057</v>
      </c>
      <c r="F287" s="4" t="s">
        <v>3057</v>
      </c>
      <c r="G287" s="4" t="s">
        <v>3057</v>
      </c>
      <c r="H287" s="4" t="s">
        <v>3057</v>
      </c>
      <c r="I287" s="4" t="s">
        <v>3057</v>
      </c>
      <c r="J287" s="4" t="s">
        <v>3057</v>
      </c>
      <c r="K287" s="4" t="s">
        <v>3057</v>
      </c>
      <c r="L287" s="4" t="s">
        <v>3057</v>
      </c>
      <c r="M287" s="4">
        <v>0</v>
      </c>
      <c r="N287" s="4" t="s">
        <v>3057</v>
      </c>
      <c r="O287" s="4" t="s">
        <v>3057</v>
      </c>
      <c r="P287" s="4" t="s">
        <v>3057</v>
      </c>
      <c r="Q287" s="4" t="s">
        <v>3057</v>
      </c>
      <c r="R287" s="4" t="s">
        <v>3057</v>
      </c>
      <c r="S287" s="4" t="s">
        <v>3057</v>
      </c>
      <c r="T287" s="4" t="s">
        <v>3057</v>
      </c>
      <c r="U287" s="4">
        <f t="shared" si="36"/>
        <v>0</v>
      </c>
      <c r="V287" s="5">
        <f t="shared" si="37"/>
        <v>0</v>
      </c>
      <c r="W287" s="5">
        <f t="shared" si="38"/>
        <v>0</v>
      </c>
      <c r="X287" s="7">
        <f t="shared" si="39"/>
        <v>0</v>
      </c>
      <c r="Y287" s="7">
        <f t="shared" si="44"/>
        <v>1.0000000000000004</v>
      </c>
      <c r="Z287" s="7" t="e">
        <f t="shared" si="40"/>
        <v>#DIV/0!</v>
      </c>
      <c r="AA287" t="str">
        <f t="shared" si="41"/>
        <v>C</v>
      </c>
      <c r="AB287" t="e">
        <f t="shared" si="42"/>
        <v>#DIV/0!</v>
      </c>
      <c r="AC287" t="e">
        <f t="shared" si="43"/>
        <v>#DIV/0!</v>
      </c>
    </row>
    <row r="288" spans="1:29" x14ac:dyDescent="0.25">
      <c r="A288" t="s">
        <v>2678</v>
      </c>
      <c r="B288" t="s">
        <v>2679</v>
      </c>
      <c r="C288" s="4" t="s">
        <v>3057</v>
      </c>
      <c r="D288" s="4" t="s">
        <v>3057</v>
      </c>
      <c r="E288" s="4" t="s">
        <v>3057</v>
      </c>
      <c r="F288" s="4" t="s">
        <v>3057</v>
      </c>
      <c r="G288" s="4" t="s">
        <v>3057</v>
      </c>
      <c r="H288" s="4" t="s">
        <v>3057</v>
      </c>
      <c r="I288" s="4" t="s">
        <v>3057</v>
      </c>
      <c r="J288" s="4" t="s">
        <v>3057</v>
      </c>
      <c r="K288" s="4" t="s">
        <v>3057</v>
      </c>
      <c r="L288" s="4" t="s">
        <v>3057</v>
      </c>
      <c r="M288" s="4">
        <v>0</v>
      </c>
      <c r="N288" s="4" t="s">
        <v>3057</v>
      </c>
      <c r="O288" s="4" t="s">
        <v>3057</v>
      </c>
      <c r="P288" s="4" t="s">
        <v>3057</v>
      </c>
      <c r="Q288" s="4" t="s">
        <v>3057</v>
      </c>
      <c r="R288" s="4" t="s">
        <v>3057</v>
      </c>
      <c r="S288" s="4" t="s">
        <v>3057</v>
      </c>
      <c r="T288" s="4" t="s">
        <v>3057</v>
      </c>
      <c r="U288" s="4">
        <f t="shared" si="36"/>
        <v>0</v>
      </c>
      <c r="V288" s="5">
        <f t="shared" si="37"/>
        <v>0</v>
      </c>
      <c r="W288" s="5">
        <f t="shared" si="38"/>
        <v>0</v>
      </c>
      <c r="X288" s="7">
        <f t="shared" si="39"/>
        <v>0</v>
      </c>
      <c r="Y288" s="7">
        <f t="shared" si="44"/>
        <v>1.0000000000000004</v>
      </c>
      <c r="Z288" s="7" t="e">
        <f t="shared" si="40"/>
        <v>#DIV/0!</v>
      </c>
      <c r="AA288" t="str">
        <f t="shared" si="41"/>
        <v>C</v>
      </c>
      <c r="AB288" t="e">
        <f t="shared" si="42"/>
        <v>#DIV/0!</v>
      </c>
      <c r="AC288" t="e">
        <f t="shared" si="43"/>
        <v>#DIV/0!</v>
      </c>
    </row>
    <row r="289" spans="1:29" x14ac:dyDescent="0.25">
      <c r="A289" t="s">
        <v>2680</v>
      </c>
      <c r="B289" t="s">
        <v>2681</v>
      </c>
      <c r="C289" s="4" t="s">
        <v>3057</v>
      </c>
      <c r="D289" s="4" t="s">
        <v>3057</v>
      </c>
      <c r="E289" s="4" t="s">
        <v>3057</v>
      </c>
      <c r="F289" s="4" t="s">
        <v>3057</v>
      </c>
      <c r="G289" s="4" t="s">
        <v>3057</v>
      </c>
      <c r="H289" s="4" t="s">
        <v>3057</v>
      </c>
      <c r="I289" s="4" t="s">
        <v>3057</v>
      </c>
      <c r="J289" s="4" t="s">
        <v>3057</v>
      </c>
      <c r="K289" s="4" t="s">
        <v>3057</v>
      </c>
      <c r="L289" s="4" t="s">
        <v>3057</v>
      </c>
      <c r="M289" s="4">
        <v>0</v>
      </c>
      <c r="N289" s="4" t="s">
        <v>3057</v>
      </c>
      <c r="O289" s="4" t="s">
        <v>3057</v>
      </c>
      <c r="P289" s="4" t="s">
        <v>3057</v>
      </c>
      <c r="Q289" s="4" t="s">
        <v>3057</v>
      </c>
      <c r="R289" s="4" t="s">
        <v>3057</v>
      </c>
      <c r="S289" s="4" t="s">
        <v>3057</v>
      </c>
      <c r="T289" s="4" t="s">
        <v>3057</v>
      </c>
      <c r="U289" s="4">
        <f t="shared" si="36"/>
        <v>0</v>
      </c>
      <c r="V289" s="5">
        <f t="shared" si="37"/>
        <v>0</v>
      </c>
      <c r="W289" s="5">
        <f t="shared" si="38"/>
        <v>0</v>
      </c>
      <c r="X289" s="7">
        <f t="shared" si="39"/>
        <v>0</v>
      </c>
      <c r="Y289" s="7">
        <f t="shared" si="44"/>
        <v>1.0000000000000004</v>
      </c>
      <c r="Z289" s="7" t="e">
        <f t="shared" si="40"/>
        <v>#DIV/0!</v>
      </c>
      <c r="AA289" t="str">
        <f t="shared" si="41"/>
        <v>C</v>
      </c>
      <c r="AB289" t="e">
        <f t="shared" si="42"/>
        <v>#DIV/0!</v>
      </c>
      <c r="AC289" t="e">
        <f t="shared" si="43"/>
        <v>#DIV/0!</v>
      </c>
    </row>
    <row r="290" spans="1:29" x14ac:dyDescent="0.25">
      <c r="A290" t="s">
        <v>2682</v>
      </c>
      <c r="B290" t="s">
        <v>2683</v>
      </c>
      <c r="C290" s="4" t="s">
        <v>3057</v>
      </c>
      <c r="D290" s="4" t="s">
        <v>3057</v>
      </c>
      <c r="E290" s="4" t="s">
        <v>3057</v>
      </c>
      <c r="F290" s="4" t="s">
        <v>3057</v>
      </c>
      <c r="G290" s="4" t="s">
        <v>3057</v>
      </c>
      <c r="H290" s="4" t="s">
        <v>3057</v>
      </c>
      <c r="I290" s="4" t="s">
        <v>3057</v>
      </c>
      <c r="J290" s="4" t="s">
        <v>3057</v>
      </c>
      <c r="K290" s="4" t="s">
        <v>3057</v>
      </c>
      <c r="L290" s="4" t="s">
        <v>3057</v>
      </c>
      <c r="M290" s="4">
        <v>0</v>
      </c>
      <c r="N290" s="4" t="s">
        <v>3057</v>
      </c>
      <c r="O290" s="4" t="s">
        <v>3057</v>
      </c>
      <c r="P290" s="4" t="s">
        <v>3057</v>
      </c>
      <c r="Q290" s="4" t="s">
        <v>3057</v>
      </c>
      <c r="R290" s="4" t="s">
        <v>3057</v>
      </c>
      <c r="S290" s="4" t="s">
        <v>3057</v>
      </c>
      <c r="T290" s="4" t="s">
        <v>3057</v>
      </c>
      <c r="U290" s="4">
        <f t="shared" si="36"/>
        <v>0</v>
      </c>
      <c r="V290" s="5">
        <f t="shared" si="37"/>
        <v>0</v>
      </c>
      <c r="W290" s="5">
        <f t="shared" si="38"/>
        <v>0</v>
      </c>
      <c r="X290" s="7">
        <f t="shared" si="39"/>
        <v>0</v>
      </c>
      <c r="Y290" s="7">
        <f t="shared" si="44"/>
        <v>1.0000000000000004</v>
      </c>
      <c r="Z290" s="7" t="e">
        <f t="shared" si="40"/>
        <v>#DIV/0!</v>
      </c>
      <c r="AA290" t="str">
        <f t="shared" si="41"/>
        <v>C</v>
      </c>
      <c r="AB290" t="e">
        <f t="shared" si="42"/>
        <v>#DIV/0!</v>
      </c>
      <c r="AC290" t="e">
        <f t="shared" si="43"/>
        <v>#DIV/0!</v>
      </c>
    </row>
    <row r="291" spans="1:29" x14ac:dyDescent="0.25">
      <c r="A291" t="s">
        <v>2687</v>
      </c>
      <c r="B291" t="s">
        <v>2688</v>
      </c>
      <c r="C291" s="4" t="s">
        <v>3057</v>
      </c>
      <c r="D291" s="4" t="s">
        <v>3057</v>
      </c>
      <c r="E291" s="4" t="s">
        <v>3057</v>
      </c>
      <c r="F291" s="4" t="s">
        <v>3057</v>
      </c>
      <c r="G291" s="4" t="s">
        <v>3057</v>
      </c>
      <c r="H291" s="4" t="s">
        <v>3057</v>
      </c>
      <c r="I291" s="4" t="s">
        <v>3057</v>
      </c>
      <c r="J291" s="4" t="s">
        <v>3057</v>
      </c>
      <c r="K291" s="4" t="s">
        <v>3057</v>
      </c>
      <c r="L291" s="4" t="s">
        <v>3057</v>
      </c>
      <c r="M291" s="4">
        <v>0</v>
      </c>
      <c r="N291" s="4" t="s">
        <v>3057</v>
      </c>
      <c r="O291" s="4" t="s">
        <v>3057</v>
      </c>
      <c r="P291" s="4" t="s">
        <v>3057</v>
      </c>
      <c r="Q291" s="4" t="s">
        <v>3057</v>
      </c>
      <c r="R291" s="4" t="s">
        <v>3057</v>
      </c>
      <c r="S291" s="4" t="s">
        <v>3057</v>
      </c>
      <c r="T291" s="4" t="s">
        <v>3057</v>
      </c>
      <c r="U291" s="4">
        <f t="shared" si="36"/>
        <v>0</v>
      </c>
      <c r="V291" s="5">
        <f t="shared" si="37"/>
        <v>0</v>
      </c>
      <c r="W291" s="5">
        <f t="shared" si="38"/>
        <v>0</v>
      </c>
      <c r="X291" s="7">
        <f t="shared" si="39"/>
        <v>0</v>
      </c>
      <c r="Y291" s="7">
        <f t="shared" si="44"/>
        <v>1.0000000000000004</v>
      </c>
      <c r="Z291" s="7" t="e">
        <f t="shared" si="40"/>
        <v>#DIV/0!</v>
      </c>
      <c r="AA291" t="str">
        <f t="shared" si="41"/>
        <v>C</v>
      </c>
      <c r="AB291" t="e">
        <f t="shared" si="42"/>
        <v>#DIV/0!</v>
      </c>
      <c r="AC291" t="e">
        <f t="shared" si="43"/>
        <v>#DIV/0!</v>
      </c>
    </row>
    <row r="292" spans="1:29" x14ac:dyDescent="0.25">
      <c r="A292" t="s">
        <v>2701</v>
      </c>
      <c r="B292" t="s">
        <v>2702</v>
      </c>
      <c r="C292" s="4" t="s">
        <v>3057</v>
      </c>
      <c r="D292" s="4" t="s">
        <v>3057</v>
      </c>
      <c r="E292" s="4" t="s">
        <v>3057</v>
      </c>
      <c r="F292" s="4" t="s">
        <v>3057</v>
      </c>
      <c r="G292" s="4" t="s">
        <v>3057</v>
      </c>
      <c r="H292" s="4" t="s">
        <v>3057</v>
      </c>
      <c r="I292" s="4" t="s">
        <v>3057</v>
      </c>
      <c r="J292" s="4" t="s">
        <v>3057</v>
      </c>
      <c r="K292" s="4" t="s">
        <v>3057</v>
      </c>
      <c r="L292" s="4" t="s">
        <v>3057</v>
      </c>
      <c r="M292" s="4">
        <v>0</v>
      </c>
      <c r="N292" s="4" t="s">
        <v>3057</v>
      </c>
      <c r="O292" s="4" t="s">
        <v>3057</v>
      </c>
      <c r="P292" s="4" t="s">
        <v>3057</v>
      </c>
      <c r="Q292" s="4" t="s">
        <v>3057</v>
      </c>
      <c r="R292" s="4" t="s">
        <v>3057</v>
      </c>
      <c r="S292" s="4" t="s">
        <v>3057</v>
      </c>
      <c r="T292" s="4" t="s">
        <v>3057</v>
      </c>
      <c r="U292" s="4">
        <f t="shared" si="36"/>
        <v>0</v>
      </c>
      <c r="V292" s="5">
        <f t="shared" si="37"/>
        <v>0</v>
      </c>
      <c r="W292" s="5">
        <f t="shared" si="38"/>
        <v>0</v>
      </c>
      <c r="X292" s="7">
        <f t="shared" si="39"/>
        <v>0</v>
      </c>
      <c r="Y292" s="7">
        <f t="shared" si="44"/>
        <v>1.0000000000000004</v>
      </c>
      <c r="Z292" s="7" t="e">
        <f t="shared" si="40"/>
        <v>#DIV/0!</v>
      </c>
      <c r="AA292" t="str">
        <f t="shared" si="41"/>
        <v>C</v>
      </c>
      <c r="AB292" t="e">
        <f t="shared" si="42"/>
        <v>#DIV/0!</v>
      </c>
      <c r="AC292" t="e">
        <f t="shared" si="43"/>
        <v>#DIV/0!</v>
      </c>
    </row>
    <row r="293" spans="1:29" x14ac:dyDescent="0.25">
      <c r="A293" t="s">
        <v>2703</v>
      </c>
      <c r="B293" t="s">
        <v>2704</v>
      </c>
      <c r="C293" s="4" t="s">
        <v>3057</v>
      </c>
      <c r="D293" s="4" t="s">
        <v>3057</v>
      </c>
      <c r="E293" s="4" t="s">
        <v>3057</v>
      </c>
      <c r="F293" s="4" t="s">
        <v>3057</v>
      </c>
      <c r="G293" s="4" t="s">
        <v>3057</v>
      </c>
      <c r="H293" s="4" t="s">
        <v>3057</v>
      </c>
      <c r="I293" s="4" t="s">
        <v>3057</v>
      </c>
      <c r="J293" s="4" t="s">
        <v>3057</v>
      </c>
      <c r="K293" s="4" t="s">
        <v>3057</v>
      </c>
      <c r="L293" s="4" t="s">
        <v>3057</v>
      </c>
      <c r="M293" s="4">
        <v>0</v>
      </c>
      <c r="N293" s="4" t="s">
        <v>3057</v>
      </c>
      <c r="O293" s="4" t="s">
        <v>3057</v>
      </c>
      <c r="P293" s="4" t="s">
        <v>3057</v>
      </c>
      <c r="Q293" s="4" t="s">
        <v>3057</v>
      </c>
      <c r="R293" s="4" t="s">
        <v>3057</v>
      </c>
      <c r="S293" s="4" t="s">
        <v>3057</v>
      </c>
      <c r="T293" s="4" t="s">
        <v>3057</v>
      </c>
      <c r="U293" s="4">
        <f t="shared" si="36"/>
        <v>0</v>
      </c>
      <c r="V293" s="5">
        <f t="shared" si="37"/>
        <v>0</v>
      </c>
      <c r="W293" s="5">
        <f t="shared" si="38"/>
        <v>0</v>
      </c>
      <c r="X293" s="7">
        <f t="shared" si="39"/>
        <v>0</v>
      </c>
      <c r="Y293" s="7">
        <f t="shared" si="44"/>
        <v>1.0000000000000004</v>
      </c>
      <c r="Z293" s="7" t="e">
        <f t="shared" si="40"/>
        <v>#DIV/0!</v>
      </c>
      <c r="AA293" t="str">
        <f t="shared" si="41"/>
        <v>C</v>
      </c>
      <c r="AB293" t="e">
        <f t="shared" si="42"/>
        <v>#DIV/0!</v>
      </c>
      <c r="AC293" t="e">
        <f t="shared" si="43"/>
        <v>#DIV/0!</v>
      </c>
    </row>
    <row r="294" spans="1:29" x14ac:dyDescent="0.25">
      <c r="A294" t="s">
        <v>2705</v>
      </c>
      <c r="B294" t="s">
        <v>2706</v>
      </c>
      <c r="C294" s="4" t="s">
        <v>3057</v>
      </c>
      <c r="D294" s="4" t="s">
        <v>3057</v>
      </c>
      <c r="E294" s="4" t="s">
        <v>3057</v>
      </c>
      <c r="F294" s="4" t="s">
        <v>3057</v>
      </c>
      <c r="G294" s="4" t="s">
        <v>3057</v>
      </c>
      <c r="H294" s="4" t="s">
        <v>3057</v>
      </c>
      <c r="I294" s="4" t="s">
        <v>3057</v>
      </c>
      <c r="J294" s="4" t="s">
        <v>3057</v>
      </c>
      <c r="K294" s="4" t="s">
        <v>3057</v>
      </c>
      <c r="L294" s="4" t="s">
        <v>3057</v>
      </c>
      <c r="M294" s="4">
        <v>0</v>
      </c>
      <c r="N294" s="4" t="s">
        <v>3057</v>
      </c>
      <c r="O294" s="4" t="s">
        <v>3057</v>
      </c>
      <c r="P294" s="4" t="s">
        <v>3057</v>
      </c>
      <c r="Q294" s="4" t="s">
        <v>3057</v>
      </c>
      <c r="R294" s="4" t="s">
        <v>3057</v>
      </c>
      <c r="S294" s="4" t="s">
        <v>3057</v>
      </c>
      <c r="T294" s="4" t="s">
        <v>3057</v>
      </c>
      <c r="U294" s="4">
        <f t="shared" si="36"/>
        <v>0</v>
      </c>
      <c r="V294" s="5">
        <f t="shared" si="37"/>
        <v>0</v>
      </c>
      <c r="W294" s="5">
        <f t="shared" si="38"/>
        <v>0</v>
      </c>
      <c r="X294" s="7">
        <f t="shared" si="39"/>
        <v>0</v>
      </c>
      <c r="Y294" s="7">
        <f t="shared" si="44"/>
        <v>1.0000000000000004</v>
      </c>
      <c r="Z294" s="7" t="e">
        <f t="shared" si="40"/>
        <v>#DIV/0!</v>
      </c>
      <c r="AA294" t="str">
        <f t="shared" si="41"/>
        <v>C</v>
      </c>
      <c r="AB294" t="e">
        <f t="shared" si="42"/>
        <v>#DIV/0!</v>
      </c>
      <c r="AC294" t="e">
        <f t="shared" si="43"/>
        <v>#DIV/0!</v>
      </c>
    </row>
    <row r="295" spans="1:29" x14ac:dyDescent="0.25">
      <c r="A295" t="s">
        <v>2720</v>
      </c>
      <c r="B295" t="s">
        <v>2721</v>
      </c>
      <c r="C295" s="4" t="s">
        <v>3057</v>
      </c>
      <c r="D295" s="4" t="s">
        <v>3057</v>
      </c>
      <c r="E295" s="4" t="s">
        <v>3057</v>
      </c>
      <c r="F295" s="4" t="s">
        <v>3057</v>
      </c>
      <c r="G295" s="4" t="s">
        <v>3057</v>
      </c>
      <c r="H295" s="4" t="s">
        <v>3057</v>
      </c>
      <c r="I295" s="4" t="s">
        <v>3057</v>
      </c>
      <c r="J295" s="4" t="s">
        <v>3057</v>
      </c>
      <c r="K295" s="4" t="s">
        <v>3057</v>
      </c>
      <c r="L295" s="4" t="s">
        <v>3057</v>
      </c>
      <c r="M295" s="4">
        <v>0</v>
      </c>
      <c r="N295" s="4" t="s">
        <v>3057</v>
      </c>
      <c r="O295" s="4" t="s">
        <v>3057</v>
      </c>
      <c r="P295" s="4" t="s">
        <v>3057</v>
      </c>
      <c r="Q295" s="4" t="s">
        <v>3057</v>
      </c>
      <c r="R295" s="4" t="s">
        <v>3057</v>
      </c>
      <c r="S295" s="4" t="s">
        <v>3057</v>
      </c>
      <c r="T295" s="4" t="s">
        <v>3057</v>
      </c>
      <c r="U295" s="4">
        <f t="shared" si="36"/>
        <v>0</v>
      </c>
      <c r="V295" s="5">
        <f t="shared" si="37"/>
        <v>0</v>
      </c>
      <c r="W295" s="5">
        <f t="shared" si="38"/>
        <v>0</v>
      </c>
      <c r="X295" s="7">
        <f t="shared" si="39"/>
        <v>0</v>
      </c>
      <c r="Y295" s="7">
        <f t="shared" si="44"/>
        <v>1.0000000000000004</v>
      </c>
      <c r="Z295" s="7" t="e">
        <f t="shared" si="40"/>
        <v>#DIV/0!</v>
      </c>
      <c r="AA295" t="str">
        <f t="shared" si="41"/>
        <v>C</v>
      </c>
      <c r="AB295" t="e">
        <f t="shared" si="42"/>
        <v>#DIV/0!</v>
      </c>
      <c r="AC295" t="e">
        <f t="shared" si="43"/>
        <v>#DIV/0!</v>
      </c>
    </row>
    <row r="296" spans="1:29" x14ac:dyDescent="0.25">
      <c r="A296" t="s">
        <v>2722</v>
      </c>
      <c r="B296" t="s">
        <v>2723</v>
      </c>
      <c r="C296" s="4" t="s">
        <v>3057</v>
      </c>
      <c r="D296" s="4" t="s">
        <v>3057</v>
      </c>
      <c r="E296" s="4" t="s">
        <v>3057</v>
      </c>
      <c r="F296" s="4" t="s">
        <v>3057</v>
      </c>
      <c r="G296" s="4" t="s">
        <v>3057</v>
      </c>
      <c r="H296" s="4" t="s">
        <v>3057</v>
      </c>
      <c r="I296" s="4" t="s">
        <v>3057</v>
      </c>
      <c r="J296" s="4" t="s">
        <v>3057</v>
      </c>
      <c r="K296" s="4" t="s">
        <v>3057</v>
      </c>
      <c r="L296" s="4" t="s">
        <v>3057</v>
      </c>
      <c r="M296" s="4">
        <v>0</v>
      </c>
      <c r="N296" s="4" t="s">
        <v>3057</v>
      </c>
      <c r="O296" s="4" t="s">
        <v>3057</v>
      </c>
      <c r="P296" s="4" t="s">
        <v>3057</v>
      </c>
      <c r="Q296" s="4" t="s">
        <v>3057</v>
      </c>
      <c r="R296" s="4" t="s">
        <v>3057</v>
      </c>
      <c r="S296" s="4" t="s">
        <v>3057</v>
      </c>
      <c r="T296" s="4" t="s">
        <v>3057</v>
      </c>
      <c r="U296" s="4">
        <f t="shared" si="36"/>
        <v>0</v>
      </c>
      <c r="V296" s="5">
        <f t="shared" si="37"/>
        <v>0</v>
      </c>
      <c r="W296" s="5">
        <f t="shared" si="38"/>
        <v>0</v>
      </c>
      <c r="X296" s="7">
        <f t="shared" si="39"/>
        <v>0</v>
      </c>
      <c r="Y296" s="7">
        <f t="shared" si="44"/>
        <v>1.0000000000000004</v>
      </c>
      <c r="Z296" s="7" t="e">
        <f t="shared" si="40"/>
        <v>#DIV/0!</v>
      </c>
      <c r="AA296" t="str">
        <f t="shared" si="41"/>
        <v>C</v>
      </c>
      <c r="AB296" t="e">
        <f t="shared" si="42"/>
        <v>#DIV/0!</v>
      </c>
      <c r="AC296" t="e">
        <f t="shared" si="43"/>
        <v>#DIV/0!</v>
      </c>
    </row>
    <row r="297" spans="1:29" x14ac:dyDescent="0.25">
      <c r="A297" t="s">
        <v>2724</v>
      </c>
      <c r="B297" t="s">
        <v>2725</v>
      </c>
      <c r="C297" s="4" t="s">
        <v>3057</v>
      </c>
      <c r="D297" s="4" t="s">
        <v>3057</v>
      </c>
      <c r="E297" s="4" t="s">
        <v>3057</v>
      </c>
      <c r="F297" s="4" t="s">
        <v>3057</v>
      </c>
      <c r="G297" s="4" t="s">
        <v>3057</v>
      </c>
      <c r="H297" s="4" t="s">
        <v>3057</v>
      </c>
      <c r="I297" s="4" t="s">
        <v>3057</v>
      </c>
      <c r="J297" s="4" t="s">
        <v>3057</v>
      </c>
      <c r="K297" s="4" t="s">
        <v>3057</v>
      </c>
      <c r="L297" s="4" t="s">
        <v>3057</v>
      </c>
      <c r="M297" s="4">
        <v>0</v>
      </c>
      <c r="N297" s="4" t="s">
        <v>3057</v>
      </c>
      <c r="O297" s="4" t="s">
        <v>3057</v>
      </c>
      <c r="P297" s="4" t="s">
        <v>3057</v>
      </c>
      <c r="Q297" s="4" t="s">
        <v>3057</v>
      </c>
      <c r="R297" s="4" t="s">
        <v>3057</v>
      </c>
      <c r="S297" s="4" t="s">
        <v>3057</v>
      </c>
      <c r="T297" s="4" t="s">
        <v>3057</v>
      </c>
      <c r="U297" s="4">
        <f t="shared" si="36"/>
        <v>0</v>
      </c>
      <c r="V297" s="5">
        <f t="shared" si="37"/>
        <v>0</v>
      </c>
      <c r="W297" s="5">
        <f t="shared" si="38"/>
        <v>0</v>
      </c>
      <c r="X297" s="7">
        <f t="shared" si="39"/>
        <v>0</v>
      </c>
      <c r="Y297" s="7">
        <f t="shared" si="44"/>
        <v>1.0000000000000004</v>
      </c>
      <c r="Z297" s="7" t="e">
        <f t="shared" si="40"/>
        <v>#DIV/0!</v>
      </c>
      <c r="AA297" t="str">
        <f t="shared" si="41"/>
        <v>C</v>
      </c>
      <c r="AB297" t="e">
        <f t="shared" si="42"/>
        <v>#DIV/0!</v>
      </c>
      <c r="AC297" t="e">
        <f t="shared" si="43"/>
        <v>#DIV/0!</v>
      </c>
    </row>
    <row r="298" spans="1:29" x14ac:dyDescent="0.25">
      <c r="A298" t="s">
        <v>2726</v>
      </c>
      <c r="B298" t="s">
        <v>2727</v>
      </c>
      <c r="C298" s="4" t="s">
        <v>3057</v>
      </c>
      <c r="D298" s="4" t="s">
        <v>3057</v>
      </c>
      <c r="E298" s="4" t="s">
        <v>3057</v>
      </c>
      <c r="F298" s="4" t="s">
        <v>3057</v>
      </c>
      <c r="G298" s="4" t="s">
        <v>3057</v>
      </c>
      <c r="H298" s="4" t="s">
        <v>3057</v>
      </c>
      <c r="I298" s="4" t="s">
        <v>3057</v>
      </c>
      <c r="J298" s="4" t="s">
        <v>3057</v>
      </c>
      <c r="K298" s="4" t="s">
        <v>3057</v>
      </c>
      <c r="L298" s="4" t="s">
        <v>3057</v>
      </c>
      <c r="M298" s="4">
        <v>0</v>
      </c>
      <c r="N298" s="4" t="s">
        <v>3057</v>
      </c>
      <c r="O298" s="4" t="s">
        <v>3057</v>
      </c>
      <c r="P298" s="4" t="s">
        <v>3057</v>
      </c>
      <c r="Q298" s="4" t="s">
        <v>3057</v>
      </c>
      <c r="R298" s="4" t="s">
        <v>3057</v>
      </c>
      <c r="S298" s="4" t="s">
        <v>3057</v>
      </c>
      <c r="T298" s="4" t="s">
        <v>3057</v>
      </c>
      <c r="U298" s="4">
        <f t="shared" si="36"/>
        <v>0</v>
      </c>
      <c r="V298" s="5">
        <f t="shared" si="37"/>
        <v>0</v>
      </c>
      <c r="W298" s="5">
        <f t="shared" si="38"/>
        <v>0</v>
      </c>
      <c r="X298" s="7">
        <f t="shared" si="39"/>
        <v>0</v>
      </c>
      <c r="Y298" s="7">
        <f t="shared" si="44"/>
        <v>1.0000000000000004</v>
      </c>
      <c r="Z298" s="7" t="e">
        <f t="shared" si="40"/>
        <v>#DIV/0!</v>
      </c>
      <c r="AA298" t="str">
        <f t="shared" si="41"/>
        <v>C</v>
      </c>
      <c r="AB298" t="e">
        <f t="shared" si="42"/>
        <v>#DIV/0!</v>
      </c>
      <c r="AC298" t="e">
        <f t="shared" si="43"/>
        <v>#DIV/0!</v>
      </c>
    </row>
    <row r="299" spans="1:29" x14ac:dyDescent="0.25">
      <c r="A299" t="s">
        <v>2728</v>
      </c>
      <c r="B299" t="s">
        <v>2729</v>
      </c>
      <c r="C299" s="4" t="s">
        <v>3057</v>
      </c>
      <c r="D299" s="4" t="s">
        <v>3057</v>
      </c>
      <c r="E299" s="4" t="s">
        <v>3057</v>
      </c>
      <c r="F299" s="4" t="s">
        <v>3057</v>
      </c>
      <c r="G299" s="4" t="s">
        <v>3057</v>
      </c>
      <c r="H299" s="4" t="s">
        <v>3057</v>
      </c>
      <c r="I299" s="4" t="s">
        <v>3057</v>
      </c>
      <c r="J299" s="4" t="s">
        <v>3057</v>
      </c>
      <c r="K299" s="4" t="s">
        <v>3057</v>
      </c>
      <c r="L299" s="4" t="s">
        <v>3057</v>
      </c>
      <c r="M299" s="4">
        <v>0</v>
      </c>
      <c r="N299" s="4" t="s">
        <v>3057</v>
      </c>
      <c r="O299" s="4" t="s">
        <v>3057</v>
      </c>
      <c r="P299" s="4" t="s">
        <v>3057</v>
      </c>
      <c r="Q299" s="4" t="s">
        <v>3057</v>
      </c>
      <c r="R299" s="4" t="s">
        <v>3057</v>
      </c>
      <c r="S299" s="4" t="s">
        <v>3057</v>
      </c>
      <c r="T299" s="4" t="s">
        <v>3057</v>
      </c>
      <c r="U299" s="4">
        <f t="shared" si="36"/>
        <v>0</v>
      </c>
      <c r="V299" s="5">
        <f t="shared" si="37"/>
        <v>0</v>
      </c>
      <c r="W299" s="5">
        <f t="shared" si="38"/>
        <v>0</v>
      </c>
      <c r="X299" s="7">
        <f t="shared" si="39"/>
        <v>0</v>
      </c>
      <c r="Y299" s="7">
        <f t="shared" si="44"/>
        <v>1.0000000000000004</v>
      </c>
      <c r="Z299" s="7" t="e">
        <f t="shared" si="40"/>
        <v>#DIV/0!</v>
      </c>
      <c r="AA299" t="str">
        <f t="shared" si="41"/>
        <v>C</v>
      </c>
      <c r="AB299" t="e">
        <f t="shared" si="42"/>
        <v>#DIV/0!</v>
      </c>
      <c r="AC299" t="e">
        <f t="shared" si="43"/>
        <v>#DIV/0!</v>
      </c>
    </row>
    <row r="300" spans="1:29" x14ac:dyDescent="0.25">
      <c r="A300" t="s">
        <v>2736</v>
      </c>
      <c r="B300" t="s">
        <v>2737</v>
      </c>
      <c r="C300" s="4" t="s">
        <v>3057</v>
      </c>
      <c r="D300" s="4" t="s">
        <v>3057</v>
      </c>
      <c r="E300" s="4" t="s">
        <v>3057</v>
      </c>
      <c r="F300" s="4" t="s">
        <v>3057</v>
      </c>
      <c r="G300" s="4" t="s">
        <v>3057</v>
      </c>
      <c r="H300" s="4" t="s">
        <v>3057</v>
      </c>
      <c r="I300" s="4" t="s">
        <v>3057</v>
      </c>
      <c r="J300" s="4" t="s">
        <v>3057</v>
      </c>
      <c r="K300" s="4" t="s">
        <v>3057</v>
      </c>
      <c r="L300" s="4" t="s">
        <v>3057</v>
      </c>
      <c r="M300" s="4">
        <v>0</v>
      </c>
      <c r="N300" s="4" t="s">
        <v>3057</v>
      </c>
      <c r="O300" s="4" t="s">
        <v>3057</v>
      </c>
      <c r="P300" s="4" t="s">
        <v>3057</v>
      </c>
      <c r="Q300" s="4" t="s">
        <v>3057</v>
      </c>
      <c r="R300" s="4" t="s">
        <v>3057</v>
      </c>
      <c r="S300" s="4" t="s">
        <v>3057</v>
      </c>
      <c r="T300" s="4" t="s">
        <v>3057</v>
      </c>
      <c r="U300" s="4">
        <f t="shared" si="36"/>
        <v>0</v>
      </c>
      <c r="V300" s="5">
        <f t="shared" si="37"/>
        <v>0</v>
      </c>
      <c r="W300" s="5">
        <f t="shared" si="38"/>
        <v>0</v>
      </c>
      <c r="X300" s="7">
        <f t="shared" si="39"/>
        <v>0</v>
      </c>
      <c r="Y300" s="7">
        <f t="shared" si="44"/>
        <v>1.0000000000000004</v>
      </c>
      <c r="Z300" s="7" t="e">
        <f t="shared" si="40"/>
        <v>#DIV/0!</v>
      </c>
      <c r="AA300" t="str">
        <f t="shared" si="41"/>
        <v>C</v>
      </c>
      <c r="AB300" t="e">
        <f t="shared" si="42"/>
        <v>#DIV/0!</v>
      </c>
      <c r="AC300" t="e">
        <f t="shared" si="43"/>
        <v>#DIV/0!</v>
      </c>
    </row>
    <row r="301" spans="1:29" x14ac:dyDescent="0.25">
      <c r="A301" t="s">
        <v>2741</v>
      </c>
      <c r="B301" t="s">
        <v>2742</v>
      </c>
      <c r="C301" s="4" t="s">
        <v>3057</v>
      </c>
      <c r="D301" s="4" t="s">
        <v>3057</v>
      </c>
      <c r="E301" s="4" t="s">
        <v>3057</v>
      </c>
      <c r="F301" s="4" t="s">
        <v>3057</v>
      </c>
      <c r="G301" s="4" t="s">
        <v>3057</v>
      </c>
      <c r="H301" s="4" t="s">
        <v>3057</v>
      </c>
      <c r="I301" s="4" t="s">
        <v>3057</v>
      </c>
      <c r="J301" s="4" t="s">
        <v>3057</v>
      </c>
      <c r="K301" s="4" t="s">
        <v>3057</v>
      </c>
      <c r="L301" s="4" t="s">
        <v>3057</v>
      </c>
      <c r="M301" s="4">
        <v>0</v>
      </c>
      <c r="N301" s="4" t="s">
        <v>3057</v>
      </c>
      <c r="O301" s="4" t="s">
        <v>3057</v>
      </c>
      <c r="P301" s="4" t="s">
        <v>3057</v>
      </c>
      <c r="Q301" s="4" t="s">
        <v>3057</v>
      </c>
      <c r="R301" s="4" t="s">
        <v>3057</v>
      </c>
      <c r="S301" s="4" t="s">
        <v>3057</v>
      </c>
      <c r="T301" s="4" t="s">
        <v>3057</v>
      </c>
      <c r="U301" s="4">
        <f t="shared" si="36"/>
        <v>0</v>
      </c>
      <c r="V301" s="5">
        <f t="shared" si="37"/>
        <v>0</v>
      </c>
      <c r="W301" s="5">
        <f t="shared" si="38"/>
        <v>0</v>
      </c>
      <c r="X301" s="7">
        <f t="shared" si="39"/>
        <v>0</v>
      </c>
      <c r="Y301" s="7">
        <f t="shared" si="44"/>
        <v>1.0000000000000004</v>
      </c>
      <c r="Z301" s="7" t="e">
        <f t="shared" si="40"/>
        <v>#DIV/0!</v>
      </c>
      <c r="AA301" t="str">
        <f t="shared" si="41"/>
        <v>C</v>
      </c>
      <c r="AB301" t="e">
        <f t="shared" si="42"/>
        <v>#DIV/0!</v>
      </c>
      <c r="AC301" t="e">
        <f t="shared" si="43"/>
        <v>#DIV/0!</v>
      </c>
    </row>
    <row r="302" spans="1:29" x14ac:dyDescent="0.25">
      <c r="A302" t="s">
        <v>2743</v>
      </c>
      <c r="B302" t="s">
        <v>2744</v>
      </c>
      <c r="C302" s="4" t="s">
        <v>3057</v>
      </c>
      <c r="D302" s="4" t="s">
        <v>3057</v>
      </c>
      <c r="E302" s="4" t="s">
        <v>3057</v>
      </c>
      <c r="F302" s="4" t="s">
        <v>3057</v>
      </c>
      <c r="G302" s="4" t="s">
        <v>3057</v>
      </c>
      <c r="H302" s="4" t="s">
        <v>3057</v>
      </c>
      <c r="I302" s="4" t="s">
        <v>3057</v>
      </c>
      <c r="J302" s="4" t="s">
        <v>3057</v>
      </c>
      <c r="K302" s="4" t="s">
        <v>3057</v>
      </c>
      <c r="L302" s="4" t="s">
        <v>3057</v>
      </c>
      <c r="M302" s="4">
        <v>0</v>
      </c>
      <c r="N302" s="4" t="s">
        <v>3057</v>
      </c>
      <c r="O302" s="4" t="s">
        <v>3057</v>
      </c>
      <c r="P302" s="4" t="s">
        <v>3057</v>
      </c>
      <c r="Q302" s="4" t="s">
        <v>3057</v>
      </c>
      <c r="R302" s="4" t="s">
        <v>3057</v>
      </c>
      <c r="S302" s="4" t="s">
        <v>3057</v>
      </c>
      <c r="T302" s="4" t="s">
        <v>3057</v>
      </c>
      <c r="U302" s="4">
        <f t="shared" si="36"/>
        <v>0</v>
      </c>
      <c r="V302" s="5">
        <f t="shared" si="37"/>
        <v>0</v>
      </c>
      <c r="W302" s="5">
        <f t="shared" si="38"/>
        <v>0</v>
      </c>
      <c r="X302" s="7">
        <f t="shared" si="39"/>
        <v>0</v>
      </c>
      <c r="Y302" s="7">
        <f t="shared" si="44"/>
        <v>1.0000000000000004</v>
      </c>
      <c r="Z302" s="7" t="e">
        <f t="shared" si="40"/>
        <v>#DIV/0!</v>
      </c>
      <c r="AA302" t="str">
        <f t="shared" si="41"/>
        <v>C</v>
      </c>
      <c r="AB302" t="e">
        <f t="shared" si="42"/>
        <v>#DIV/0!</v>
      </c>
      <c r="AC302" t="e">
        <f t="shared" si="43"/>
        <v>#DIV/0!</v>
      </c>
    </row>
    <row r="303" spans="1:29" x14ac:dyDescent="0.25">
      <c r="A303" t="s">
        <v>2745</v>
      </c>
      <c r="B303" t="s">
        <v>2746</v>
      </c>
      <c r="C303" s="4" t="s">
        <v>3057</v>
      </c>
      <c r="D303" s="4" t="s">
        <v>3057</v>
      </c>
      <c r="E303" s="4" t="s">
        <v>3057</v>
      </c>
      <c r="F303" s="4" t="s">
        <v>3057</v>
      </c>
      <c r="G303" s="4" t="s">
        <v>3057</v>
      </c>
      <c r="H303" s="4" t="s">
        <v>3057</v>
      </c>
      <c r="I303" s="4" t="s">
        <v>3057</v>
      </c>
      <c r="J303" s="4" t="s">
        <v>3057</v>
      </c>
      <c r="K303" s="4" t="s">
        <v>3057</v>
      </c>
      <c r="L303" s="4" t="s">
        <v>3057</v>
      </c>
      <c r="M303" s="4">
        <v>0</v>
      </c>
      <c r="N303" s="4" t="s">
        <v>3057</v>
      </c>
      <c r="O303" s="4" t="s">
        <v>3057</v>
      </c>
      <c r="P303" s="4" t="s">
        <v>3057</v>
      </c>
      <c r="Q303" s="4" t="s">
        <v>3057</v>
      </c>
      <c r="R303" s="4" t="s">
        <v>3057</v>
      </c>
      <c r="S303" s="4" t="s">
        <v>3057</v>
      </c>
      <c r="T303" s="4" t="s">
        <v>3057</v>
      </c>
      <c r="U303" s="4">
        <f t="shared" si="36"/>
        <v>0</v>
      </c>
      <c r="V303" s="5">
        <f t="shared" si="37"/>
        <v>0</v>
      </c>
      <c r="W303" s="5">
        <f t="shared" si="38"/>
        <v>0</v>
      </c>
      <c r="X303" s="7">
        <f t="shared" si="39"/>
        <v>0</v>
      </c>
      <c r="Y303" s="7">
        <f t="shared" si="44"/>
        <v>1.0000000000000004</v>
      </c>
      <c r="Z303" s="7" t="e">
        <f t="shared" si="40"/>
        <v>#DIV/0!</v>
      </c>
      <c r="AA303" t="str">
        <f t="shared" si="41"/>
        <v>C</v>
      </c>
      <c r="AB303" t="e">
        <f t="shared" si="42"/>
        <v>#DIV/0!</v>
      </c>
      <c r="AC303" t="e">
        <f t="shared" si="43"/>
        <v>#DIV/0!</v>
      </c>
    </row>
    <row r="304" spans="1:29" x14ac:dyDescent="0.25">
      <c r="A304" t="s">
        <v>2751</v>
      </c>
      <c r="B304" t="s">
        <v>2752</v>
      </c>
      <c r="C304" s="4" t="s">
        <v>3057</v>
      </c>
      <c r="D304" s="4" t="s">
        <v>3057</v>
      </c>
      <c r="E304" s="4" t="s">
        <v>3057</v>
      </c>
      <c r="F304" s="4" t="s">
        <v>3057</v>
      </c>
      <c r="G304" s="4" t="s">
        <v>3057</v>
      </c>
      <c r="H304" s="4" t="s">
        <v>3057</v>
      </c>
      <c r="I304" s="4" t="s">
        <v>3057</v>
      </c>
      <c r="J304" s="4" t="s">
        <v>3057</v>
      </c>
      <c r="K304" s="4" t="s">
        <v>3057</v>
      </c>
      <c r="L304" s="4" t="s">
        <v>3057</v>
      </c>
      <c r="M304" s="4">
        <v>0</v>
      </c>
      <c r="N304" s="4" t="s">
        <v>3057</v>
      </c>
      <c r="O304" s="4" t="s">
        <v>3057</v>
      </c>
      <c r="P304" s="4" t="s">
        <v>3057</v>
      </c>
      <c r="Q304" s="4" t="s">
        <v>3057</v>
      </c>
      <c r="R304" s="4" t="s">
        <v>3057</v>
      </c>
      <c r="S304" s="4" t="s">
        <v>3057</v>
      </c>
      <c r="T304" s="4" t="s">
        <v>3057</v>
      </c>
      <c r="U304" s="4">
        <f t="shared" si="36"/>
        <v>0</v>
      </c>
      <c r="V304" s="5">
        <f t="shared" si="37"/>
        <v>0</v>
      </c>
      <c r="W304" s="5">
        <f t="shared" si="38"/>
        <v>0</v>
      </c>
      <c r="X304" s="7">
        <f t="shared" si="39"/>
        <v>0</v>
      </c>
      <c r="Y304" s="7">
        <f t="shared" si="44"/>
        <v>1.0000000000000004</v>
      </c>
      <c r="Z304" s="7" t="e">
        <f t="shared" si="40"/>
        <v>#DIV/0!</v>
      </c>
      <c r="AA304" t="str">
        <f t="shared" si="41"/>
        <v>C</v>
      </c>
      <c r="AB304" t="e">
        <f t="shared" si="42"/>
        <v>#DIV/0!</v>
      </c>
      <c r="AC304" t="e">
        <f t="shared" si="43"/>
        <v>#DIV/0!</v>
      </c>
    </row>
    <row r="305" spans="1:29" x14ac:dyDescent="0.25">
      <c r="A305" t="s">
        <v>2758</v>
      </c>
      <c r="B305" t="s">
        <v>2759</v>
      </c>
      <c r="C305" s="4" t="s">
        <v>3057</v>
      </c>
      <c r="D305" s="4" t="s">
        <v>3057</v>
      </c>
      <c r="E305" s="4" t="s">
        <v>3057</v>
      </c>
      <c r="F305" s="4" t="s">
        <v>3057</v>
      </c>
      <c r="G305" s="4" t="s">
        <v>3057</v>
      </c>
      <c r="H305" s="4" t="s">
        <v>3057</v>
      </c>
      <c r="I305" s="4" t="s">
        <v>3057</v>
      </c>
      <c r="J305" s="4" t="s">
        <v>3057</v>
      </c>
      <c r="K305" s="4" t="s">
        <v>3057</v>
      </c>
      <c r="L305" s="4" t="s">
        <v>3057</v>
      </c>
      <c r="M305" s="4">
        <v>0</v>
      </c>
      <c r="N305" s="4" t="s">
        <v>3057</v>
      </c>
      <c r="O305" s="4" t="s">
        <v>3057</v>
      </c>
      <c r="P305" s="4" t="s">
        <v>3057</v>
      </c>
      <c r="Q305" s="4" t="s">
        <v>3057</v>
      </c>
      <c r="R305" s="4" t="s">
        <v>3057</v>
      </c>
      <c r="S305" s="4" t="s">
        <v>3057</v>
      </c>
      <c r="T305" s="4" t="s">
        <v>3057</v>
      </c>
      <c r="U305" s="4">
        <f t="shared" si="36"/>
        <v>0</v>
      </c>
      <c r="V305" s="5">
        <f t="shared" si="37"/>
        <v>0</v>
      </c>
      <c r="W305" s="5">
        <f t="shared" si="38"/>
        <v>0</v>
      </c>
      <c r="X305" s="7">
        <f t="shared" si="39"/>
        <v>0</v>
      </c>
      <c r="Y305" s="7">
        <f t="shared" si="44"/>
        <v>1.0000000000000004</v>
      </c>
      <c r="Z305" s="7" t="e">
        <f t="shared" si="40"/>
        <v>#DIV/0!</v>
      </c>
      <c r="AA305" t="str">
        <f t="shared" si="41"/>
        <v>C</v>
      </c>
      <c r="AB305" t="e">
        <f t="shared" si="42"/>
        <v>#DIV/0!</v>
      </c>
      <c r="AC305" t="e">
        <f t="shared" si="43"/>
        <v>#DIV/0!</v>
      </c>
    </row>
    <row r="306" spans="1:29" x14ac:dyDescent="0.25">
      <c r="A306" t="s">
        <v>2767</v>
      </c>
      <c r="B306" t="s">
        <v>2768</v>
      </c>
      <c r="C306" s="4" t="s">
        <v>3057</v>
      </c>
      <c r="D306" s="4" t="s">
        <v>3057</v>
      </c>
      <c r="E306" s="4" t="s">
        <v>3057</v>
      </c>
      <c r="F306" s="4" t="s">
        <v>3057</v>
      </c>
      <c r="G306" s="4" t="s">
        <v>3057</v>
      </c>
      <c r="H306" s="4" t="s">
        <v>3057</v>
      </c>
      <c r="I306" s="4" t="s">
        <v>3057</v>
      </c>
      <c r="J306" s="4" t="s">
        <v>3057</v>
      </c>
      <c r="K306" s="4" t="s">
        <v>3057</v>
      </c>
      <c r="L306" s="4" t="s">
        <v>3057</v>
      </c>
      <c r="M306" s="4">
        <v>0</v>
      </c>
      <c r="N306" s="4" t="s">
        <v>3057</v>
      </c>
      <c r="O306" s="4" t="s">
        <v>3057</v>
      </c>
      <c r="P306" s="4" t="s">
        <v>3057</v>
      </c>
      <c r="Q306" s="4" t="s">
        <v>3057</v>
      </c>
      <c r="R306" s="4" t="s">
        <v>3057</v>
      </c>
      <c r="S306" s="4" t="s">
        <v>3057</v>
      </c>
      <c r="T306" s="4" t="s">
        <v>3057</v>
      </c>
      <c r="U306" s="4">
        <f t="shared" si="36"/>
        <v>0</v>
      </c>
      <c r="V306" s="5">
        <f t="shared" si="37"/>
        <v>0</v>
      </c>
      <c r="W306" s="5">
        <f t="shared" si="38"/>
        <v>0</v>
      </c>
      <c r="X306" s="7">
        <f t="shared" si="39"/>
        <v>0</v>
      </c>
      <c r="Y306" s="7">
        <f t="shared" si="44"/>
        <v>1.0000000000000004</v>
      </c>
      <c r="Z306" s="7" t="e">
        <f t="shared" si="40"/>
        <v>#DIV/0!</v>
      </c>
      <c r="AA306" t="str">
        <f t="shared" si="41"/>
        <v>C</v>
      </c>
      <c r="AB306" t="e">
        <f t="shared" si="42"/>
        <v>#DIV/0!</v>
      </c>
      <c r="AC306" t="e">
        <f t="shared" si="43"/>
        <v>#DIV/0!</v>
      </c>
    </row>
    <row r="307" spans="1:29" x14ac:dyDescent="0.25">
      <c r="A307" t="s">
        <v>2769</v>
      </c>
      <c r="B307" t="s">
        <v>2770</v>
      </c>
      <c r="C307" s="4" t="s">
        <v>3057</v>
      </c>
      <c r="D307" s="4" t="s">
        <v>3057</v>
      </c>
      <c r="E307" s="4" t="s">
        <v>3057</v>
      </c>
      <c r="F307" s="4" t="s">
        <v>3057</v>
      </c>
      <c r="G307" s="4" t="s">
        <v>3057</v>
      </c>
      <c r="H307" s="4" t="s">
        <v>3057</v>
      </c>
      <c r="I307" s="4" t="s">
        <v>3057</v>
      </c>
      <c r="J307" s="4" t="s">
        <v>3057</v>
      </c>
      <c r="K307" s="4" t="s">
        <v>3057</v>
      </c>
      <c r="L307" s="4" t="s">
        <v>3057</v>
      </c>
      <c r="M307" s="4">
        <v>0</v>
      </c>
      <c r="N307" s="4" t="s">
        <v>3057</v>
      </c>
      <c r="O307" s="4" t="s">
        <v>3057</v>
      </c>
      <c r="P307" s="4" t="s">
        <v>3057</v>
      </c>
      <c r="Q307" s="4" t="s">
        <v>3057</v>
      </c>
      <c r="R307" s="4" t="s">
        <v>3057</v>
      </c>
      <c r="S307" s="4" t="s">
        <v>3057</v>
      </c>
      <c r="T307" s="4" t="s">
        <v>3057</v>
      </c>
      <c r="U307" s="4">
        <f t="shared" si="36"/>
        <v>0</v>
      </c>
      <c r="V307" s="5">
        <f t="shared" si="37"/>
        <v>0</v>
      </c>
      <c r="W307" s="5">
        <f t="shared" si="38"/>
        <v>0</v>
      </c>
      <c r="X307" s="7">
        <f t="shared" si="39"/>
        <v>0</v>
      </c>
      <c r="Y307" s="7">
        <f t="shared" si="44"/>
        <v>1.0000000000000004</v>
      </c>
      <c r="Z307" s="7" t="e">
        <f t="shared" si="40"/>
        <v>#DIV/0!</v>
      </c>
      <c r="AA307" t="str">
        <f t="shared" si="41"/>
        <v>C</v>
      </c>
      <c r="AB307" t="e">
        <f t="shared" si="42"/>
        <v>#DIV/0!</v>
      </c>
      <c r="AC307" t="e">
        <f t="shared" si="43"/>
        <v>#DIV/0!</v>
      </c>
    </row>
    <row r="308" spans="1:29" x14ac:dyDescent="0.25">
      <c r="A308" t="s">
        <v>2771</v>
      </c>
      <c r="B308" t="s">
        <v>2772</v>
      </c>
      <c r="C308" s="4" t="s">
        <v>3057</v>
      </c>
      <c r="D308" s="4" t="s">
        <v>3057</v>
      </c>
      <c r="E308" s="4" t="s">
        <v>3057</v>
      </c>
      <c r="F308" s="4" t="s">
        <v>3057</v>
      </c>
      <c r="G308" s="4" t="s">
        <v>3057</v>
      </c>
      <c r="H308" s="4" t="s">
        <v>3057</v>
      </c>
      <c r="I308" s="4" t="s">
        <v>3057</v>
      </c>
      <c r="J308" s="4" t="s">
        <v>3057</v>
      </c>
      <c r="K308" s="4" t="s">
        <v>3057</v>
      </c>
      <c r="L308" s="4" t="s">
        <v>3057</v>
      </c>
      <c r="M308" s="4">
        <v>0</v>
      </c>
      <c r="N308" s="4" t="s">
        <v>3057</v>
      </c>
      <c r="O308" s="4" t="s">
        <v>3057</v>
      </c>
      <c r="P308" s="4" t="s">
        <v>3057</v>
      </c>
      <c r="Q308" s="4" t="s">
        <v>3057</v>
      </c>
      <c r="R308" s="4" t="s">
        <v>3057</v>
      </c>
      <c r="S308" s="4" t="s">
        <v>3057</v>
      </c>
      <c r="T308" s="4" t="s">
        <v>3057</v>
      </c>
      <c r="U308" s="4">
        <f t="shared" si="36"/>
        <v>0</v>
      </c>
      <c r="V308" s="5">
        <f t="shared" si="37"/>
        <v>0</v>
      </c>
      <c r="W308" s="5">
        <f t="shared" si="38"/>
        <v>0</v>
      </c>
      <c r="X308" s="7">
        <f t="shared" si="39"/>
        <v>0</v>
      </c>
      <c r="Y308" s="7">
        <f t="shared" si="44"/>
        <v>1.0000000000000004</v>
      </c>
      <c r="Z308" s="7" t="e">
        <f t="shared" si="40"/>
        <v>#DIV/0!</v>
      </c>
      <c r="AA308" t="str">
        <f t="shared" si="41"/>
        <v>C</v>
      </c>
      <c r="AB308" t="e">
        <f t="shared" si="42"/>
        <v>#DIV/0!</v>
      </c>
      <c r="AC308" t="e">
        <f t="shared" si="43"/>
        <v>#DIV/0!</v>
      </c>
    </row>
    <row r="309" spans="1:29" x14ac:dyDescent="0.25">
      <c r="A309" t="s">
        <v>2780</v>
      </c>
      <c r="B309" t="s">
        <v>2781</v>
      </c>
      <c r="C309" s="4" t="s">
        <v>3057</v>
      </c>
      <c r="D309" s="4" t="s">
        <v>3057</v>
      </c>
      <c r="E309" s="4" t="s">
        <v>3057</v>
      </c>
      <c r="F309" s="4" t="s">
        <v>3057</v>
      </c>
      <c r="G309" s="4" t="s">
        <v>3057</v>
      </c>
      <c r="H309" s="4" t="s">
        <v>3057</v>
      </c>
      <c r="I309" s="4" t="s">
        <v>3057</v>
      </c>
      <c r="J309" s="4" t="s">
        <v>3057</v>
      </c>
      <c r="K309" s="4" t="s">
        <v>3057</v>
      </c>
      <c r="L309" s="4" t="s">
        <v>3057</v>
      </c>
      <c r="M309" s="4">
        <v>0</v>
      </c>
      <c r="N309" s="4" t="s">
        <v>3057</v>
      </c>
      <c r="O309" s="4" t="s">
        <v>3057</v>
      </c>
      <c r="P309" s="4" t="s">
        <v>3057</v>
      </c>
      <c r="Q309" s="4" t="s">
        <v>3057</v>
      </c>
      <c r="R309" s="4" t="s">
        <v>3057</v>
      </c>
      <c r="S309" s="4" t="s">
        <v>3057</v>
      </c>
      <c r="T309" s="4" t="s">
        <v>3057</v>
      </c>
      <c r="U309" s="4">
        <f t="shared" si="36"/>
        <v>0</v>
      </c>
      <c r="V309" s="5">
        <f t="shared" si="37"/>
        <v>0</v>
      </c>
      <c r="W309" s="5">
        <f t="shared" si="38"/>
        <v>0</v>
      </c>
      <c r="X309" s="7">
        <f t="shared" si="39"/>
        <v>0</v>
      </c>
      <c r="Y309" s="7">
        <f t="shared" si="44"/>
        <v>1.0000000000000004</v>
      </c>
      <c r="Z309" s="7" t="e">
        <f t="shared" si="40"/>
        <v>#DIV/0!</v>
      </c>
      <c r="AA309" t="str">
        <f t="shared" si="41"/>
        <v>C</v>
      </c>
      <c r="AB309" t="e">
        <f t="shared" si="42"/>
        <v>#DIV/0!</v>
      </c>
      <c r="AC309" t="e">
        <f t="shared" si="43"/>
        <v>#DIV/0!</v>
      </c>
    </row>
    <row r="310" spans="1:29" x14ac:dyDescent="0.25">
      <c r="A310" t="s">
        <v>2782</v>
      </c>
      <c r="B310" t="s">
        <v>2783</v>
      </c>
      <c r="C310" s="4" t="s">
        <v>3057</v>
      </c>
      <c r="D310" s="4" t="s">
        <v>3057</v>
      </c>
      <c r="E310" s="4" t="s">
        <v>3057</v>
      </c>
      <c r="F310" s="4" t="s">
        <v>3057</v>
      </c>
      <c r="G310" s="4" t="s">
        <v>3057</v>
      </c>
      <c r="H310" s="4" t="s">
        <v>3057</v>
      </c>
      <c r="I310" s="4" t="s">
        <v>3057</v>
      </c>
      <c r="J310" s="4" t="s">
        <v>3057</v>
      </c>
      <c r="K310" s="4" t="s">
        <v>3057</v>
      </c>
      <c r="L310" s="4" t="s">
        <v>3057</v>
      </c>
      <c r="M310" s="4">
        <v>0</v>
      </c>
      <c r="N310" s="4" t="s">
        <v>3057</v>
      </c>
      <c r="O310" s="4" t="s">
        <v>3057</v>
      </c>
      <c r="P310" s="4" t="s">
        <v>3057</v>
      </c>
      <c r="Q310" s="4" t="s">
        <v>3057</v>
      </c>
      <c r="R310" s="4" t="s">
        <v>3057</v>
      </c>
      <c r="S310" s="4" t="s">
        <v>3057</v>
      </c>
      <c r="T310" s="4" t="s">
        <v>3057</v>
      </c>
      <c r="U310" s="4">
        <f t="shared" si="36"/>
        <v>0</v>
      </c>
      <c r="V310" s="5">
        <f t="shared" si="37"/>
        <v>0</v>
      </c>
      <c r="W310" s="5">
        <f t="shared" si="38"/>
        <v>0</v>
      </c>
      <c r="X310" s="7">
        <f t="shared" si="39"/>
        <v>0</v>
      </c>
      <c r="Y310" s="7">
        <f t="shared" si="44"/>
        <v>1.0000000000000004</v>
      </c>
      <c r="Z310" s="7" t="e">
        <f t="shared" si="40"/>
        <v>#DIV/0!</v>
      </c>
      <c r="AA310" t="str">
        <f t="shared" si="41"/>
        <v>C</v>
      </c>
      <c r="AB310" t="e">
        <f t="shared" si="42"/>
        <v>#DIV/0!</v>
      </c>
      <c r="AC310" t="e">
        <f t="shared" si="43"/>
        <v>#DIV/0!</v>
      </c>
    </row>
    <row r="311" spans="1:29" x14ac:dyDescent="0.25">
      <c r="A311" t="s">
        <v>2786</v>
      </c>
      <c r="B311" t="s">
        <v>2787</v>
      </c>
      <c r="C311" s="4" t="s">
        <v>3057</v>
      </c>
      <c r="D311" s="4" t="s">
        <v>3057</v>
      </c>
      <c r="E311" s="4" t="s">
        <v>3057</v>
      </c>
      <c r="F311" s="4" t="s">
        <v>3057</v>
      </c>
      <c r="G311" s="4" t="s">
        <v>3057</v>
      </c>
      <c r="H311" s="4" t="s">
        <v>3057</v>
      </c>
      <c r="I311" s="4" t="s">
        <v>3057</v>
      </c>
      <c r="J311" s="4" t="s">
        <v>3057</v>
      </c>
      <c r="K311" s="4" t="s">
        <v>3057</v>
      </c>
      <c r="L311" s="4" t="s">
        <v>3057</v>
      </c>
      <c r="M311" s="4">
        <v>0</v>
      </c>
      <c r="N311" s="4" t="s">
        <v>3057</v>
      </c>
      <c r="O311" s="4" t="s">
        <v>3057</v>
      </c>
      <c r="P311" s="4" t="s">
        <v>3057</v>
      </c>
      <c r="Q311" s="4" t="s">
        <v>3057</v>
      </c>
      <c r="R311" s="4" t="s">
        <v>3057</v>
      </c>
      <c r="S311" s="4" t="s">
        <v>3057</v>
      </c>
      <c r="T311" s="4" t="s">
        <v>3057</v>
      </c>
      <c r="U311" s="4">
        <f t="shared" si="36"/>
        <v>0</v>
      </c>
      <c r="V311" s="5">
        <f t="shared" si="37"/>
        <v>0</v>
      </c>
      <c r="W311" s="5">
        <f t="shared" si="38"/>
        <v>0</v>
      </c>
      <c r="X311" s="7">
        <f t="shared" si="39"/>
        <v>0</v>
      </c>
      <c r="Y311" s="7">
        <f t="shared" si="44"/>
        <v>1.0000000000000004</v>
      </c>
      <c r="Z311" s="7" t="e">
        <f t="shared" si="40"/>
        <v>#DIV/0!</v>
      </c>
      <c r="AA311" t="str">
        <f t="shared" si="41"/>
        <v>C</v>
      </c>
      <c r="AB311" t="e">
        <f t="shared" si="42"/>
        <v>#DIV/0!</v>
      </c>
      <c r="AC311" t="e">
        <f t="shared" si="43"/>
        <v>#DIV/0!</v>
      </c>
    </row>
    <row r="312" spans="1:29" x14ac:dyDescent="0.25">
      <c r="A312" t="s">
        <v>2788</v>
      </c>
      <c r="B312" t="s">
        <v>2789</v>
      </c>
      <c r="C312" s="4" t="s">
        <v>3057</v>
      </c>
      <c r="D312" s="4" t="s">
        <v>3057</v>
      </c>
      <c r="E312" s="4" t="s">
        <v>3057</v>
      </c>
      <c r="F312" s="4" t="s">
        <v>3057</v>
      </c>
      <c r="G312" s="4" t="s">
        <v>3057</v>
      </c>
      <c r="H312" s="4" t="s">
        <v>3057</v>
      </c>
      <c r="I312" s="4" t="s">
        <v>3057</v>
      </c>
      <c r="J312" s="4" t="s">
        <v>3057</v>
      </c>
      <c r="K312" s="4" t="s">
        <v>3057</v>
      </c>
      <c r="L312" s="4" t="s">
        <v>3057</v>
      </c>
      <c r="M312" s="4">
        <v>0</v>
      </c>
      <c r="N312" s="4" t="s">
        <v>3057</v>
      </c>
      <c r="O312" s="4" t="s">
        <v>3057</v>
      </c>
      <c r="P312" s="4" t="s">
        <v>3057</v>
      </c>
      <c r="Q312" s="4" t="s">
        <v>3057</v>
      </c>
      <c r="R312" s="4" t="s">
        <v>3057</v>
      </c>
      <c r="S312" s="4" t="s">
        <v>3057</v>
      </c>
      <c r="T312" s="4" t="s">
        <v>3057</v>
      </c>
      <c r="U312" s="4">
        <f t="shared" si="36"/>
        <v>0</v>
      </c>
      <c r="V312" s="5">
        <f t="shared" si="37"/>
        <v>0</v>
      </c>
      <c r="W312" s="5">
        <f t="shared" si="38"/>
        <v>0</v>
      </c>
      <c r="X312" s="7">
        <f t="shared" si="39"/>
        <v>0</v>
      </c>
      <c r="Y312" s="7">
        <f t="shared" si="44"/>
        <v>1.0000000000000004</v>
      </c>
      <c r="Z312" s="7" t="e">
        <f t="shared" si="40"/>
        <v>#DIV/0!</v>
      </c>
      <c r="AA312" t="str">
        <f t="shared" si="41"/>
        <v>C</v>
      </c>
      <c r="AB312" t="e">
        <f t="shared" si="42"/>
        <v>#DIV/0!</v>
      </c>
      <c r="AC312" t="e">
        <f t="shared" si="43"/>
        <v>#DIV/0!</v>
      </c>
    </row>
    <row r="313" spans="1:29" x14ac:dyDescent="0.25">
      <c r="A313" t="s">
        <v>2790</v>
      </c>
      <c r="B313" t="s">
        <v>2791</v>
      </c>
      <c r="C313" s="4" t="s">
        <v>3057</v>
      </c>
      <c r="D313" s="4" t="s">
        <v>3057</v>
      </c>
      <c r="E313" s="4" t="s">
        <v>3057</v>
      </c>
      <c r="F313" s="4" t="s">
        <v>3057</v>
      </c>
      <c r="G313" s="4" t="s">
        <v>3057</v>
      </c>
      <c r="H313" s="4" t="s">
        <v>3057</v>
      </c>
      <c r="I313" s="4" t="s">
        <v>3057</v>
      </c>
      <c r="J313" s="4" t="s">
        <v>3057</v>
      </c>
      <c r="K313" s="4" t="s">
        <v>3057</v>
      </c>
      <c r="L313" s="4" t="s">
        <v>3057</v>
      </c>
      <c r="M313" s="4">
        <v>0</v>
      </c>
      <c r="N313" s="4" t="s">
        <v>3057</v>
      </c>
      <c r="O313" s="4" t="s">
        <v>3057</v>
      </c>
      <c r="P313" s="4" t="s">
        <v>3057</v>
      </c>
      <c r="Q313" s="4" t="s">
        <v>3057</v>
      </c>
      <c r="R313" s="4" t="s">
        <v>3057</v>
      </c>
      <c r="S313" s="4" t="s">
        <v>3057</v>
      </c>
      <c r="T313" s="4" t="s">
        <v>3057</v>
      </c>
      <c r="U313" s="4">
        <f t="shared" si="36"/>
        <v>0</v>
      </c>
      <c r="V313" s="5">
        <f t="shared" si="37"/>
        <v>0</v>
      </c>
      <c r="W313" s="5">
        <f t="shared" si="38"/>
        <v>0</v>
      </c>
      <c r="X313" s="7">
        <f t="shared" si="39"/>
        <v>0</v>
      </c>
      <c r="Y313" s="7">
        <f t="shared" si="44"/>
        <v>1.0000000000000004</v>
      </c>
      <c r="Z313" s="7" t="e">
        <f t="shared" si="40"/>
        <v>#DIV/0!</v>
      </c>
      <c r="AA313" t="str">
        <f t="shared" si="41"/>
        <v>C</v>
      </c>
      <c r="AB313" t="e">
        <f t="shared" si="42"/>
        <v>#DIV/0!</v>
      </c>
      <c r="AC313" t="e">
        <f t="shared" si="43"/>
        <v>#DIV/0!</v>
      </c>
    </row>
    <row r="314" spans="1:29" x14ac:dyDescent="0.25">
      <c r="A314" t="s">
        <v>2792</v>
      </c>
      <c r="B314" t="s">
        <v>2793</v>
      </c>
      <c r="C314" s="4" t="s">
        <v>3057</v>
      </c>
      <c r="D314" s="4" t="s">
        <v>3057</v>
      </c>
      <c r="E314" s="4" t="s">
        <v>3057</v>
      </c>
      <c r="F314" s="4" t="s">
        <v>3057</v>
      </c>
      <c r="G314" s="4" t="s">
        <v>3057</v>
      </c>
      <c r="H314" s="4" t="s">
        <v>3057</v>
      </c>
      <c r="I314" s="4" t="s">
        <v>3057</v>
      </c>
      <c r="J314" s="4" t="s">
        <v>3057</v>
      </c>
      <c r="K314" s="4" t="s">
        <v>3057</v>
      </c>
      <c r="L314" s="4" t="s">
        <v>3057</v>
      </c>
      <c r="M314" s="4">
        <v>0</v>
      </c>
      <c r="N314" s="4" t="s">
        <v>3057</v>
      </c>
      <c r="O314" s="4" t="s">
        <v>3057</v>
      </c>
      <c r="P314" s="4" t="s">
        <v>3057</v>
      </c>
      <c r="Q314" s="4" t="s">
        <v>3057</v>
      </c>
      <c r="R314" s="4" t="s">
        <v>3057</v>
      </c>
      <c r="S314" s="4" t="s">
        <v>3057</v>
      </c>
      <c r="T314" s="4" t="s">
        <v>3057</v>
      </c>
      <c r="U314" s="4">
        <f t="shared" si="36"/>
        <v>0</v>
      </c>
      <c r="V314" s="5">
        <f t="shared" si="37"/>
        <v>0</v>
      </c>
      <c r="W314" s="5">
        <f t="shared" si="38"/>
        <v>0</v>
      </c>
      <c r="X314" s="7">
        <f t="shared" si="39"/>
        <v>0</v>
      </c>
      <c r="Y314" s="7">
        <f t="shared" si="44"/>
        <v>1.0000000000000004</v>
      </c>
      <c r="Z314" s="7" t="e">
        <f t="shared" si="40"/>
        <v>#DIV/0!</v>
      </c>
      <c r="AA314" t="str">
        <f t="shared" si="41"/>
        <v>C</v>
      </c>
      <c r="AB314" t="e">
        <f t="shared" si="42"/>
        <v>#DIV/0!</v>
      </c>
      <c r="AC314" t="e">
        <f t="shared" si="43"/>
        <v>#DIV/0!</v>
      </c>
    </row>
    <row r="315" spans="1:29" x14ac:dyDescent="0.25">
      <c r="A315" t="s">
        <v>2794</v>
      </c>
      <c r="B315" t="s">
        <v>2795</v>
      </c>
      <c r="C315" s="4" t="s">
        <v>3057</v>
      </c>
      <c r="D315" s="4" t="s">
        <v>3057</v>
      </c>
      <c r="E315" s="4" t="s">
        <v>3057</v>
      </c>
      <c r="F315" s="4" t="s">
        <v>3057</v>
      </c>
      <c r="G315" s="4" t="s">
        <v>3057</v>
      </c>
      <c r="H315" s="4" t="s">
        <v>3057</v>
      </c>
      <c r="I315" s="4" t="s">
        <v>3057</v>
      </c>
      <c r="J315" s="4" t="s">
        <v>3057</v>
      </c>
      <c r="K315" s="4" t="s">
        <v>3057</v>
      </c>
      <c r="L315" s="4" t="s">
        <v>3057</v>
      </c>
      <c r="M315" s="4">
        <v>0</v>
      </c>
      <c r="N315" s="4" t="s">
        <v>3057</v>
      </c>
      <c r="O315" s="4" t="s">
        <v>3057</v>
      </c>
      <c r="P315" s="4" t="s">
        <v>3057</v>
      </c>
      <c r="Q315" s="4" t="s">
        <v>3057</v>
      </c>
      <c r="R315" s="4" t="s">
        <v>3057</v>
      </c>
      <c r="S315" s="4" t="s">
        <v>3057</v>
      </c>
      <c r="T315" s="4" t="s">
        <v>3057</v>
      </c>
      <c r="U315" s="4">
        <f t="shared" si="36"/>
        <v>0</v>
      </c>
      <c r="V315" s="5">
        <f t="shared" si="37"/>
        <v>0</v>
      </c>
      <c r="W315" s="5">
        <f t="shared" si="38"/>
        <v>0</v>
      </c>
      <c r="X315" s="7">
        <f t="shared" si="39"/>
        <v>0</v>
      </c>
      <c r="Y315" s="7">
        <f t="shared" si="44"/>
        <v>1.0000000000000004</v>
      </c>
      <c r="Z315" s="7" t="e">
        <f t="shared" si="40"/>
        <v>#DIV/0!</v>
      </c>
      <c r="AA315" t="str">
        <f t="shared" si="41"/>
        <v>C</v>
      </c>
      <c r="AB315" t="e">
        <f t="shared" si="42"/>
        <v>#DIV/0!</v>
      </c>
      <c r="AC315" t="e">
        <f t="shared" si="43"/>
        <v>#DIV/0!</v>
      </c>
    </row>
    <row r="316" spans="1:29" x14ac:dyDescent="0.25">
      <c r="A316" t="s">
        <v>2796</v>
      </c>
      <c r="B316" t="s">
        <v>2797</v>
      </c>
      <c r="C316" s="4" t="s">
        <v>3057</v>
      </c>
      <c r="D316" s="4" t="s">
        <v>3057</v>
      </c>
      <c r="E316" s="4" t="s">
        <v>3057</v>
      </c>
      <c r="F316" s="4" t="s">
        <v>3057</v>
      </c>
      <c r="G316" s="4" t="s">
        <v>3057</v>
      </c>
      <c r="H316" s="4" t="s">
        <v>3057</v>
      </c>
      <c r="I316" s="4" t="s">
        <v>3057</v>
      </c>
      <c r="J316" s="4" t="s">
        <v>3057</v>
      </c>
      <c r="K316" s="4" t="s">
        <v>3057</v>
      </c>
      <c r="L316" s="4" t="s">
        <v>3057</v>
      </c>
      <c r="M316" s="4">
        <v>0</v>
      </c>
      <c r="N316" s="4" t="s">
        <v>3057</v>
      </c>
      <c r="O316" s="4" t="s">
        <v>3057</v>
      </c>
      <c r="P316" s="4" t="s">
        <v>3057</v>
      </c>
      <c r="Q316" s="4" t="s">
        <v>3057</v>
      </c>
      <c r="R316" s="4" t="s">
        <v>3057</v>
      </c>
      <c r="S316" s="4" t="s">
        <v>3057</v>
      </c>
      <c r="T316" s="4" t="s">
        <v>3057</v>
      </c>
      <c r="U316" s="4">
        <f t="shared" si="36"/>
        <v>0</v>
      </c>
      <c r="V316" s="5">
        <f t="shared" si="37"/>
        <v>0</v>
      </c>
      <c r="W316" s="5">
        <f t="shared" si="38"/>
        <v>0</v>
      </c>
      <c r="X316" s="7">
        <f t="shared" si="39"/>
        <v>0</v>
      </c>
      <c r="Y316" s="7">
        <f t="shared" si="44"/>
        <v>1.0000000000000004</v>
      </c>
      <c r="Z316" s="7" t="e">
        <f t="shared" si="40"/>
        <v>#DIV/0!</v>
      </c>
      <c r="AA316" t="str">
        <f t="shared" si="41"/>
        <v>C</v>
      </c>
      <c r="AB316" t="e">
        <f t="shared" si="42"/>
        <v>#DIV/0!</v>
      </c>
      <c r="AC316" t="e">
        <f t="shared" si="43"/>
        <v>#DIV/0!</v>
      </c>
    </row>
    <row r="317" spans="1:29" x14ac:dyDescent="0.25">
      <c r="A317" t="s">
        <v>2798</v>
      </c>
      <c r="B317" t="s">
        <v>2799</v>
      </c>
      <c r="C317" s="4" t="s">
        <v>3057</v>
      </c>
      <c r="D317" s="4" t="s">
        <v>3057</v>
      </c>
      <c r="E317" s="4" t="s">
        <v>3057</v>
      </c>
      <c r="F317" s="4" t="s">
        <v>3057</v>
      </c>
      <c r="G317" s="4" t="s">
        <v>3057</v>
      </c>
      <c r="H317" s="4" t="s">
        <v>3057</v>
      </c>
      <c r="I317" s="4" t="s">
        <v>3057</v>
      </c>
      <c r="J317" s="4" t="s">
        <v>3057</v>
      </c>
      <c r="K317" s="4" t="s">
        <v>3057</v>
      </c>
      <c r="L317" s="4" t="s">
        <v>3057</v>
      </c>
      <c r="M317" s="4">
        <v>0</v>
      </c>
      <c r="N317" s="4" t="s">
        <v>3057</v>
      </c>
      <c r="O317" s="4" t="s">
        <v>3057</v>
      </c>
      <c r="P317" s="4" t="s">
        <v>3057</v>
      </c>
      <c r="Q317" s="4" t="s">
        <v>3057</v>
      </c>
      <c r="R317" s="4" t="s">
        <v>3057</v>
      </c>
      <c r="S317" s="4" t="s">
        <v>3057</v>
      </c>
      <c r="T317" s="4" t="s">
        <v>3057</v>
      </c>
      <c r="U317" s="4">
        <f t="shared" si="36"/>
        <v>0</v>
      </c>
      <c r="V317" s="5">
        <f t="shared" si="37"/>
        <v>0</v>
      </c>
      <c r="W317" s="5">
        <f t="shared" si="38"/>
        <v>0</v>
      </c>
      <c r="X317" s="7">
        <f t="shared" si="39"/>
        <v>0</v>
      </c>
      <c r="Y317" s="7">
        <f t="shared" si="44"/>
        <v>1.0000000000000004</v>
      </c>
      <c r="Z317" s="7" t="e">
        <f t="shared" si="40"/>
        <v>#DIV/0!</v>
      </c>
      <c r="AA317" t="str">
        <f t="shared" si="41"/>
        <v>C</v>
      </c>
      <c r="AB317" t="e">
        <f t="shared" si="42"/>
        <v>#DIV/0!</v>
      </c>
      <c r="AC317" t="e">
        <f t="shared" si="43"/>
        <v>#DIV/0!</v>
      </c>
    </row>
    <row r="318" spans="1:29" x14ac:dyDescent="0.25">
      <c r="A318" t="s">
        <v>2808</v>
      </c>
      <c r="B318" t="s">
        <v>2809</v>
      </c>
      <c r="C318" s="4" t="s">
        <v>3057</v>
      </c>
      <c r="D318" s="4" t="s">
        <v>3057</v>
      </c>
      <c r="E318" s="4" t="s">
        <v>3057</v>
      </c>
      <c r="F318" s="4" t="s">
        <v>3057</v>
      </c>
      <c r="G318" s="4" t="s">
        <v>3057</v>
      </c>
      <c r="H318" s="4" t="s">
        <v>3057</v>
      </c>
      <c r="I318" s="4" t="s">
        <v>3057</v>
      </c>
      <c r="J318" s="4" t="s">
        <v>3057</v>
      </c>
      <c r="K318" s="4" t="s">
        <v>3057</v>
      </c>
      <c r="L318" s="4" t="s">
        <v>3057</v>
      </c>
      <c r="M318" s="4">
        <v>0</v>
      </c>
      <c r="N318" s="4" t="s">
        <v>3057</v>
      </c>
      <c r="O318" s="4" t="s">
        <v>3057</v>
      </c>
      <c r="P318" s="4" t="s">
        <v>3057</v>
      </c>
      <c r="Q318" s="4" t="s">
        <v>3057</v>
      </c>
      <c r="R318" s="4" t="s">
        <v>3057</v>
      </c>
      <c r="S318" s="4" t="s">
        <v>3057</v>
      </c>
      <c r="T318" s="4" t="s">
        <v>3057</v>
      </c>
      <c r="U318" s="4">
        <f t="shared" si="36"/>
        <v>0</v>
      </c>
      <c r="V318" s="5">
        <f t="shared" si="37"/>
        <v>0</v>
      </c>
      <c r="W318" s="5">
        <f t="shared" si="38"/>
        <v>0</v>
      </c>
      <c r="X318" s="7">
        <f t="shared" si="39"/>
        <v>0</v>
      </c>
      <c r="Y318" s="7">
        <f t="shared" si="44"/>
        <v>1.0000000000000004</v>
      </c>
      <c r="Z318" s="7" t="e">
        <f t="shared" si="40"/>
        <v>#DIV/0!</v>
      </c>
      <c r="AA318" t="str">
        <f t="shared" si="41"/>
        <v>C</v>
      </c>
      <c r="AB318" t="e">
        <f t="shared" si="42"/>
        <v>#DIV/0!</v>
      </c>
      <c r="AC318" t="e">
        <f t="shared" si="43"/>
        <v>#DIV/0!</v>
      </c>
    </row>
    <row r="319" spans="1:29" x14ac:dyDescent="0.25">
      <c r="A319" t="s">
        <v>2810</v>
      </c>
      <c r="B319" t="s">
        <v>2811</v>
      </c>
      <c r="C319" s="4" t="s">
        <v>3057</v>
      </c>
      <c r="D319" s="4" t="s">
        <v>3057</v>
      </c>
      <c r="E319" s="4" t="s">
        <v>3057</v>
      </c>
      <c r="F319" s="4" t="s">
        <v>3057</v>
      </c>
      <c r="G319" s="4" t="s">
        <v>3057</v>
      </c>
      <c r="H319" s="4" t="s">
        <v>3057</v>
      </c>
      <c r="I319" s="4" t="s">
        <v>3057</v>
      </c>
      <c r="J319" s="4" t="s">
        <v>3057</v>
      </c>
      <c r="K319" s="4" t="s">
        <v>3057</v>
      </c>
      <c r="L319" s="4" t="s">
        <v>3057</v>
      </c>
      <c r="M319" s="4">
        <v>0</v>
      </c>
      <c r="N319" s="4" t="s">
        <v>3057</v>
      </c>
      <c r="O319" s="4" t="s">
        <v>3057</v>
      </c>
      <c r="P319" s="4" t="s">
        <v>3057</v>
      </c>
      <c r="Q319" s="4" t="s">
        <v>3057</v>
      </c>
      <c r="R319" s="4" t="s">
        <v>3057</v>
      </c>
      <c r="S319" s="4" t="s">
        <v>3057</v>
      </c>
      <c r="T319" s="4" t="s">
        <v>3057</v>
      </c>
      <c r="U319" s="4">
        <f t="shared" si="36"/>
        <v>0</v>
      </c>
      <c r="V319" s="5">
        <f t="shared" si="37"/>
        <v>0</v>
      </c>
      <c r="W319" s="5">
        <f t="shared" si="38"/>
        <v>0</v>
      </c>
      <c r="X319" s="7">
        <f t="shared" si="39"/>
        <v>0</v>
      </c>
      <c r="Y319" s="7">
        <f t="shared" si="44"/>
        <v>1.0000000000000004</v>
      </c>
      <c r="Z319" s="7" t="e">
        <f t="shared" si="40"/>
        <v>#DIV/0!</v>
      </c>
      <c r="AA319" t="str">
        <f t="shared" si="41"/>
        <v>C</v>
      </c>
      <c r="AB319" t="e">
        <f t="shared" si="42"/>
        <v>#DIV/0!</v>
      </c>
      <c r="AC319" t="e">
        <f t="shared" si="43"/>
        <v>#DIV/0!</v>
      </c>
    </row>
    <row r="320" spans="1:29" x14ac:dyDescent="0.25">
      <c r="A320" t="s">
        <v>2812</v>
      </c>
      <c r="B320" t="s">
        <v>2813</v>
      </c>
      <c r="C320" s="4" t="s">
        <v>3057</v>
      </c>
      <c r="D320" s="4" t="s">
        <v>3057</v>
      </c>
      <c r="E320" s="4" t="s">
        <v>3057</v>
      </c>
      <c r="F320" s="4" t="s">
        <v>3057</v>
      </c>
      <c r="G320" s="4" t="s">
        <v>3057</v>
      </c>
      <c r="H320" s="4" t="s">
        <v>3057</v>
      </c>
      <c r="I320" s="4" t="s">
        <v>3057</v>
      </c>
      <c r="J320" s="4" t="s">
        <v>3057</v>
      </c>
      <c r="K320" s="4" t="s">
        <v>3057</v>
      </c>
      <c r="L320" s="4" t="s">
        <v>3057</v>
      </c>
      <c r="M320" s="4">
        <v>0</v>
      </c>
      <c r="N320" s="4" t="s">
        <v>3057</v>
      </c>
      <c r="O320" s="4" t="s">
        <v>3057</v>
      </c>
      <c r="P320" s="4" t="s">
        <v>3057</v>
      </c>
      <c r="Q320" s="4" t="s">
        <v>3057</v>
      </c>
      <c r="R320" s="4" t="s">
        <v>3057</v>
      </c>
      <c r="S320" s="4" t="s">
        <v>3057</v>
      </c>
      <c r="T320" s="4" t="s">
        <v>3057</v>
      </c>
      <c r="U320" s="4">
        <f t="shared" si="36"/>
        <v>0</v>
      </c>
      <c r="V320" s="5">
        <f t="shared" si="37"/>
        <v>0</v>
      </c>
      <c r="W320" s="5">
        <f t="shared" si="38"/>
        <v>0</v>
      </c>
      <c r="X320" s="7">
        <f t="shared" si="39"/>
        <v>0</v>
      </c>
      <c r="Y320" s="7">
        <f t="shared" si="44"/>
        <v>1.0000000000000004</v>
      </c>
      <c r="Z320" s="7" t="e">
        <f t="shared" si="40"/>
        <v>#DIV/0!</v>
      </c>
      <c r="AA320" t="str">
        <f t="shared" si="41"/>
        <v>C</v>
      </c>
      <c r="AB320" t="e">
        <f t="shared" si="42"/>
        <v>#DIV/0!</v>
      </c>
      <c r="AC320" t="e">
        <f t="shared" si="43"/>
        <v>#DIV/0!</v>
      </c>
    </row>
    <row r="321" spans="1:29" x14ac:dyDescent="0.25">
      <c r="A321" t="s">
        <v>2814</v>
      </c>
      <c r="B321" t="s">
        <v>2815</v>
      </c>
      <c r="C321" s="4" t="s">
        <v>3057</v>
      </c>
      <c r="D321" s="4" t="s">
        <v>3057</v>
      </c>
      <c r="E321" s="4" t="s">
        <v>3057</v>
      </c>
      <c r="F321" s="4" t="s">
        <v>3057</v>
      </c>
      <c r="G321" s="4" t="s">
        <v>3057</v>
      </c>
      <c r="H321" s="4" t="s">
        <v>3057</v>
      </c>
      <c r="I321" s="4" t="s">
        <v>3057</v>
      </c>
      <c r="J321" s="4" t="s">
        <v>3057</v>
      </c>
      <c r="K321" s="4" t="s">
        <v>3057</v>
      </c>
      <c r="L321" s="4" t="s">
        <v>3057</v>
      </c>
      <c r="M321" s="4">
        <v>0</v>
      </c>
      <c r="N321" s="4" t="s">
        <v>3057</v>
      </c>
      <c r="O321" s="4" t="s">
        <v>3057</v>
      </c>
      <c r="P321" s="4" t="s">
        <v>3057</v>
      </c>
      <c r="Q321" s="4" t="s">
        <v>3057</v>
      </c>
      <c r="R321" s="4" t="s">
        <v>3057</v>
      </c>
      <c r="S321" s="4" t="s">
        <v>3057</v>
      </c>
      <c r="T321" s="4" t="s">
        <v>3057</v>
      </c>
      <c r="U321" s="4">
        <f t="shared" si="36"/>
        <v>0</v>
      </c>
      <c r="V321" s="5">
        <f t="shared" si="37"/>
        <v>0</v>
      </c>
      <c r="W321" s="5">
        <f t="shared" si="38"/>
        <v>0</v>
      </c>
      <c r="X321" s="7">
        <f t="shared" si="39"/>
        <v>0</v>
      </c>
      <c r="Y321" s="7">
        <f t="shared" si="44"/>
        <v>1.0000000000000004</v>
      </c>
      <c r="Z321" s="7" t="e">
        <f t="shared" si="40"/>
        <v>#DIV/0!</v>
      </c>
      <c r="AA321" t="str">
        <f t="shared" si="41"/>
        <v>C</v>
      </c>
      <c r="AB321" t="e">
        <f t="shared" si="42"/>
        <v>#DIV/0!</v>
      </c>
      <c r="AC321" t="e">
        <f t="shared" si="43"/>
        <v>#DIV/0!</v>
      </c>
    </row>
    <row r="322" spans="1:29" x14ac:dyDescent="0.25">
      <c r="A322" t="s">
        <v>2816</v>
      </c>
      <c r="B322" t="s">
        <v>2817</v>
      </c>
      <c r="C322" s="4" t="s">
        <v>3057</v>
      </c>
      <c r="D322" s="4" t="s">
        <v>3057</v>
      </c>
      <c r="E322" s="4" t="s">
        <v>3057</v>
      </c>
      <c r="F322" s="4" t="s">
        <v>3057</v>
      </c>
      <c r="G322" s="4" t="s">
        <v>3057</v>
      </c>
      <c r="H322" s="4" t="s">
        <v>3057</v>
      </c>
      <c r="I322" s="4" t="s">
        <v>3057</v>
      </c>
      <c r="J322" s="4" t="s">
        <v>3057</v>
      </c>
      <c r="K322" s="4" t="s">
        <v>3057</v>
      </c>
      <c r="L322" s="4" t="s">
        <v>3057</v>
      </c>
      <c r="M322" s="4">
        <v>0</v>
      </c>
      <c r="N322" s="4" t="s">
        <v>3057</v>
      </c>
      <c r="O322" s="4" t="s">
        <v>3057</v>
      </c>
      <c r="P322" s="4" t="s">
        <v>3057</v>
      </c>
      <c r="Q322" s="4" t="s">
        <v>3057</v>
      </c>
      <c r="R322" s="4" t="s">
        <v>3057</v>
      </c>
      <c r="S322" s="4" t="s">
        <v>3057</v>
      </c>
      <c r="T322" s="4" t="s">
        <v>3057</v>
      </c>
      <c r="U322" s="4">
        <f t="shared" ref="U322:U385" si="45">SUM(C322:T322)</f>
        <v>0</v>
      </c>
      <c r="V322" s="5">
        <f t="shared" ref="V322:V385" si="46">AVERAGE(C322:T322)</f>
        <v>0</v>
      </c>
      <c r="W322" s="5">
        <f t="shared" ref="W322:W385" si="47">V322/30</f>
        <v>0</v>
      </c>
      <c r="X322" s="7">
        <f t="shared" si="39"/>
        <v>0</v>
      </c>
      <c r="Y322" s="7">
        <f t="shared" si="44"/>
        <v>1.0000000000000004</v>
      </c>
      <c r="Z322" s="7" t="e">
        <f t="shared" si="40"/>
        <v>#DIV/0!</v>
      </c>
      <c r="AA322" t="str">
        <f t="shared" si="41"/>
        <v>C</v>
      </c>
      <c r="AB322" t="e">
        <f t="shared" si="42"/>
        <v>#DIV/0!</v>
      </c>
      <c r="AC322" t="e">
        <f t="shared" si="43"/>
        <v>#DIV/0!</v>
      </c>
    </row>
    <row r="323" spans="1:29" x14ac:dyDescent="0.25">
      <c r="A323" t="s">
        <v>2818</v>
      </c>
      <c r="B323" t="s">
        <v>2819</v>
      </c>
      <c r="C323" s="4" t="s">
        <v>3057</v>
      </c>
      <c r="D323" s="4" t="s">
        <v>3057</v>
      </c>
      <c r="E323" s="4" t="s">
        <v>3057</v>
      </c>
      <c r="F323" s="4" t="s">
        <v>3057</v>
      </c>
      <c r="G323" s="4" t="s">
        <v>3057</v>
      </c>
      <c r="H323" s="4" t="s">
        <v>3057</v>
      </c>
      <c r="I323" s="4" t="s">
        <v>3057</v>
      </c>
      <c r="J323" s="4" t="s">
        <v>3057</v>
      </c>
      <c r="K323" s="4" t="s">
        <v>3057</v>
      </c>
      <c r="L323" s="4" t="s">
        <v>3057</v>
      </c>
      <c r="M323" s="4">
        <v>0</v>
      </c>
      <c r="N323" s="4" t="s">
        <v>3057</v>
      </c>
      <c r="O323" s="4" t="s">
        <v>3057</v>
      </c>
      <c r="P323" s="4" t="s">
        <v>3057</v>
      </c>
      <c r="Q323" s="4" t="s">
        <v>3057</v>
      </c>
      <c r="R323" s="4" t="s">
        <v>3057</v>
      </c>
      <c r="S323" s="4" t="s">
        <v>3057</v>
      </c>
      <c r="T323" s="4" t="s">
        <v>3057</v>
      </c>
      <c r="U323" s="4">
        <f t="shared" si="45"/>
        <v>0</v>
      </c>
      <c r="V323" s="5">
        <f t="shared" si="46"/>
        <v>0</v>
      </c>
      <c r="W323" s="5">
        <f t="shared" si="47"/>
        <v>0</v>
      </c>
      <c r="X323" s="7">
        <f t="shared" ref="X323:X386" si="48">U323/SUM($U$2:$U$410)</f>
        <v>0</v>
      </c>
      <c r="Y323" s="7">
        <f t="shared" si="44"/>
        <v>1.0000000000000004</v>
      </c>
      <c r="Z323" s="7" t="e">
        <f t="shared" ref="Z323:Z386" si="49">_xlfn.STDEV.P(C323:T323)/AVERAGE(C323:T323)</f>
        <v>#DIV/0!</v>
      </c>
      <c r="AA323" t="str">
        <f t="shared" ref="AA323:AA386" si="50">IF(Y323&lt;=0.7,"A",IF(Y323&lt;=0.9,"B","C"))</f>
        <v>C</v>
      </c>
      <c r="AB323" t="e">
        <f t="shared" ref="AB323:AB386" si="51">IF(Z323&lt;=0.5,"X",IF(Z323&lt;=1,"Y","Z"))</f>
        <v>#DIV/0!</v>
      </c>
      <c r="AC323" t="e">
        <f t="shared" ref="AC323:AC386" si="52">AA323&amp;AB323</f>
        <v>#DIV/0!</v>
      </c>
    </row>
    <row r="324" spans="1:29" x14ac:dyDescent="0.25">
      <c r="A324" t="s">
        <v>2825</v>
      </c>
      <c r="B324" t="s">
        <v>2825</v>
      </c>
      <c r="C324" s="4" t="s">
        <v>3057</v>
      </c>
      <c r="D324" s="4" t="s">
        <v>3057</v>
      </c>
      <c r="E324" s="4" t="s">
        <v>3057</v>
      </c>
      <c r="F324" s="4" t="s">
        <v>3057</v>
      </c>
      <c r="G324" s="4" t="s">
        <v>3057</v>
      </c>
      <c r="H324" s="4" t="s">
        <v>3057</v>
      </c>
      <c r="I324" s="4" t="s">
        <v>3057</v>
      </c>
      <c r="J324" s="4" t="s">
        <v>3057</v>
      </c>
      <c r="K324" s="4" t="s">
        <v>3057</v>
      </c>
      <c r="L324" s="4" t="s">
        <v>3057</v>
      </c>
      <c r="M324" s="4">
        <v>0</v>
      </c>
      <c r="N324" s="4" t="s">
        <v>3057</v>
      </c>
      <c r="O324" s="4" t="s">
        <v>3057</v>
      </c>
      <c r="P324" s="4" t="s">
        <v>3057</v>
      </c>
      <c r="Q324" s="4" t="s">
        <v>3057</v>
      </c>
      <c r="R324" s="4" t="s">
        <v>3057</v>
      </c>
      <c r="S324" s="4" t="s">
        <v>3057</v>
      </c>
      <c r="T324" s="4" t="s">
        <v>3057</v>
      </c>
      <c r="U324" s="4">
        <f t="shared" si="45"/>
        <v>0</v>
      </c>
      <c r="V324" s="5">
        <f t="shared" si="46"/>
        <v>0</v>
      </c>
      <c r="W324" s="5">
        <f t="shared" si="47"/>
        <v>0</v>
      </c>
      <c r="X324" s="7">
        <f t="shared" si="48"/>
        <v>0</v>
      </c>
      <c r="Y324" s="7">
        <f t="shared" si="44"/>
        <v>1.0000000000000004</v>
      </c>
      <c r="Z324" s="7" t="e">
        <f t="shared" si="49"/>
        <v>#DIV/0!</v>
      </c>
      <c r="AA324" t="str">
        <f t="shared" si="50"/>
        <v>C</v>
      </c>
      <c r="AB324" t="e">
        <f t="shared" si="51"/>
        <v>#DIV/0!</v>
      </c>
      <c r="AC324" t="e">
        <f t="shared" si="52"/>
        <v>#DIV/0!</v>
      </c>
    </row>
    <row r="325" spans="1:29" x14ac:dyDescent="0.25">
      <c r="A325" t="s">
        <v>2826</v>
      </c>
      <c r="B325" t="s">
        <v>2826</v>
      </c>
      <c r="C325" s="4" t="s">
        <v>3057</v>
      </c>
      <c r="D325" s="4" t="s">
        <v>3057</v>
      </c>
      <c r="E325" s="4" t="s">
        <v>3057</v>
      </c>
      <c r="F325" s="4" t="s">
        <v>3057</v>
      </c>
      <c r="G325" s="4" t="s">
        <v>3057</v>
      </c>
      <c r="H325" s="4" t="s">
        <v>3057</v>
      </c>
      <c r="I325" s="4" t="s">
        <v>3057</v>
      </c>
      <c r="J325" s="4" t="s">
        <v>3057</v>
      </c>
      <c r="K325" s="4" t="s">
        <v>3057</v>
      </c>
      <c r="L325" s="4" t="s">
        <v>3057</v>
      </c>
      <c r="M325" s="4">
        <v>0</v>
      </c>
      <c r="N325" s="4" t="s">
        <v>3057</v>
      </c>
      <c r="O325" s="4" t="s">
        <v>3057</v>
      </c>
      <c r="P325" s="4" t="s">
        <v>3057</v>
      </c>
      <c r="Q325" s="4" t="s">
        <v>3057</v>
      </c>
      <c r="R325" s="4" t="s">
        <v>3057</v>
      </c>
      <c r="S325" s="4" t="s">
        <v>3057</v>
      </c>
      <c r="T325" s="4" t="s">
        <v>3057</v>
      </c>
      <c r="U325" s="4">
        <f t="shared" si="45"/>
        <v>0</v>
      </c>
      <c r="V325" s="5">
        <f t="shared" si="46"/>
        <v>0</v>
      </c>
      <c r="W325" s="5">
        <f t="shared" si="47"/>
        <v>0</v>
      </c>
      <c r="X325" s="7">
        <f t="shared" si="48"/>
        <v>0</v>
      </c>
      <c r="Y325" s="7">
        <f t="shared" si="44"/>
        <v>1.0000000000000004</v>
      </c>
      <c r="Z325" s="7" t="e">
        <f t="shared" si="49"/>
        <v>#DIV/0!</v>
      </c>
      <c r="AA325" t="str">
        <f t="shared" si="50"/>
        <v>C</v>
      </c>
      <c r="AB325" t="e">
        <f t="shared" si="51"/>
        <v>#DIV/0!</v>
      </c>
      <c r="AC325" t="e">
        <f t="shared" si="52"/>
        <v>#DIV/0!</v>
      </c>
    </row>
    <row r="326" spans="1:29" x14ac:dyDescent="0.25">
      <c r="A326" t="s">
        <v>2827</v>
      </c>
      <c r="B326" t="s">
        <v>2828</v>
      </c>
      <c r="C326" s="4" t="s">
        <v>3057</v>
      </c>
      <c r="D326" s="4" t="s">
        <v>3057</v>
      </c>
      <c r="E326" s="4" t="s">
        <v>3057</v>
      </c>
      <c r="F326" s="4" t="s">
        <v>3057</v>
      </c>
      <c r="G326" s="4" t="s">
        <v>3057</v>
      </c>
      <c r="H326" s="4" t="s">
        <v>3057</v>
      </c>
      <c r="I326" s="4" t="s">
        <v>3057</v>
      </c>
      <c r="J326" s="4" t="s">
        <v>3057</v>
      </c>
      <c r="K326" s="4" t="s">
        <v>3057</v>
      </c>
      <c r="L326" s="4" t="s">
        <v>3057</v>
      </c>
      <c r="M326" s="4">
        <v>0</v>
      </c>
      <c r="N326" s="4" t="s">
        <v>3057</v>
      </c>
      <c r="O326" s="4" t="s">
        <v>3057</v>
      </c>
      <c r="P326" s="4" t="s">
        <v>3057</v>
      </c>
      <c r="Q326" s="4" t="s">
        <v>3057</v>
      </c>
      <c r="R326" s="4" t="s">
        <v>3057</v>
      </c>
      <c r="S326" s="4" t="s">
        <v>3057</v>
      </c>
      <c r="T326" s="4" t="s">
        <v>3057</v>
      </c>
      <c r="U326" s="4">
        <f t="shared" si="45"/>
        <v>0</v>
      </c>
      <c r="V326" s="5">
        <f t="shared" si="46"/>
        <v>0</v>
      </c>
      <c r="W326" s="5">
        <f t="shared" si="47"/>
        <v>0</v>
      </c>
      <c r="X326" s="7">
        <f t="shared" si="48"/>
        <v>0</v>
      </c>
      <c r="Y326" s="7">
        <f t="shared" si="44"/>
        <v>1.0000000000000004</v>
      </c>
      <c r="Z326" s="7" t="e">
        <f t="shared" si="49"/>
        <v>#DIV/0!</v>
      </c>
      <c r="AA326" t="str">
        <f t="shared" si="50"/>
        <v>C</v>
      </c>
      <c r="AB326" t="e">
        <f t="shared" si="51"/>
        <v>#DIV/0!</v>
      </c>
      <c r="AC326" t="e">
        <f t="shared" si="52"/>
        <v>#DIV/0!</v>
      </c>
    </row>
    <row r="327" spans="1:29" x14ac:dyDescent="0.25">
      <c r="A327" t="s">
        <v>2829</v>
      </c>
      <c r="B327" t="s">
        <v>2830</v>
      </c>
      <c r="C327" s="4" t="s">
        <v>3057</v>
      </c>
      <c r="D327" s="4" t="s">
        <v>3057</v>
      </c>
      <c r="E327" s="4" t="s">
        <v>3057</v>
      </c>
      <c r="F327" s="4" t="s">
        <v>3057</v>
      </c>
      <c r="G327" s="4" t="s">
        <v>3057</v>
      </c>
      <c r="H327" s="4" t="s">
        <v>3057</v>
      </c>
      <c r="I327" s="4" t="s">
        <v>3057</v>
      </c>
      <c r="J327" s="4" t="s">
        <v>3057</v>
      </c>
      <c r="K327" s="4" t="s">
        <v>3057</v>
      </c>
      <c r="L327" s="4" t="s">
        <v>3057</v>
      </c>
      <c r="M327" s="4">
        <v>0</v>
      </c>
      <c r="N327" s="4" t="s">
        <v>3057</v>
      </c>
      <c r="O327" s="4" t="s">
        <v>3057</v>
      </c>
      <c r="P327" s="4" t="s">
        <v>3057</v>
      </c>
      <c r="Q327" s="4" t="s">
        <v>3057</v>
      </c>
      <c r="R327" s="4" t="s">
        <v>3057</v>
      </c>
      <c r="S327" s="4" t="s">
        <v>3057</v>
      </c>
      <c r="T327" s="4" t="s">
        <v>3057</v>
      </c>
      <c r="U327" s="4">
        <f t="shared" si="45"/>
        <v>0</v>
      </c>
      <c r="V327" s="5">
        <f t="shared" si="46"/>
        <v>0</v>
      </c>
      <c r="W327" s="5">
        <f t="shared" si="47"/>
        <v>0</v>
      </c>
      <c r="X327" s="7">
        <f t="shared" si="48"/>
        <v>0</v>
      </c>
      <c r="Y327" s="7">
        <f t="shared" ref="Y327:Y390" si="53">X327+Y326</f>
        <v>1.0000000000000004</v>
      </c>
      <c r="Z327" s="7" t="e">
        <f t="shared" si="49"/>
        <v>#DIV/0!</v>
      </c>
      <c r="AA327" t="str">
        <f t="shared" si="50"/>
        <v>C</v>
      </c>
      <c r="AB327" t="e">
        <f t="shared" si="51"/>
        <v>#DIV/0!</v>
      </c>
      <c r="AC327" t="e">
        <f t="shared" si="52"/>
        <v>#DIV/0!</v>
      </c>
    </row>
    <row r="328" spans="1:29" x14ac:dyDescent="0.25">
      <c r="A328" t="s">
        <v>2831</v>
      </c>
      <c r="B328" t="s">
        <v>2832</v>
      </c>
      <c r="C328" s="4" t="s">
        <v>3057</v>
      </c>
      <c r="D328" s="4" t="s">
        <v>3057</v>
      </c>
      <c r="E328" s="4" t="s">
        <v>3057</v>
      </c>
      <c r="F328" s="4" t="s">
        <v>3057</v>
      </c>
      <c r="G328" s="4" t="s">
        <v>3057</v>
      </c>
      <c r="H328" s="4" t="s">
        <v>3057</v>
      </c>
      <c r="I328" s="4" t="s">
        <v>3057</v>
      </c>
      <c r="J328" s="4" t="s">
        <v>3057</v>
      </c>
      <c r="K328" s="4" t="s">
        <v>3057</v>
      </c>
      <c r="L328" s="4" t="s">
        <v>3057</v>
      </c>
      <c r="M328" s="4">
        <v>0</v>
      </c>
      <c r="N328" s="4" t="s">
        <v>3057</v>
      </c>
      <c r="O328" s="4" t="s">
        <v>3057</v>
      </c>
      <c r="P328" s="4" t="s">
        <v>3057</v>
      </c>
      <c r="Q328" s="4" t="s">
        <v>3057</v>
      </c>
      <c r="R328" s="4" t="s">
        <v>3057</v>
      </c>
      <c r="S328" s="4" t="s">
        <v>3057</v>
      </c>
      <c r="T328" s="4" t="s">
        <v>3057</v>
      </c>
      <c r="U328" s="4">
        <f t="shared" si="45"/>
        <v>0</v>
      </c>
      <c r="V328" s="5">
        <f t="shared" si="46"/>
        <v>0</v>
      </c>
      <c r="W328" s="5">
        <f t="shared" si="47"/>
        <v>0</v>
      </c>
      <c r="X328" s="7">
        <f t="shared" si="48"/>
        <v>0</v>
      </c>
      <c r="Y328" s="7">
        <f t="shared" si="53"/>
        <v>1.0000000000000004</v>
      </c>
      <c r="Z328" s="7" t="e">
        <f t="shared" si="49"/>
        <v>#DIV/0!</v>
      </c>
      <c r="AA328" t="str">
        <f t="shared" si="50"/>
        <v>C</v>
      </c>
      <c r="AB328" t="e">
        <f t="shared" si="51"/>
        <v>#DIV/0!</v>
      </c>
      <c r="AC328" t="e">
        <f t="shared" si="52"/>
        <v>#DIV/0!</v>
      </c>
    </row>
    <row r="329" spans="1:29" x14ac:dyDescent="0.25">
      <c r="A329" t="s">
        <v>2833</v>
      </c>
      <c r="B329" t="s">
        <v>2833</v>
      </c>
      <c r="C329" s="4" t="s">
        <v>3057</v>
      </c>
      <c r="D329" s="4" t="s">
        <v>3057</v>
      </c>
      <c r="E329" s="4" t="s">
        <v>3057</v>
      </c>
      <c r="F329" s="4" t="s">
        <v>3057</v>
      </c>
      <c r="G329" s="4" t="s">
        <v>3057</v>
      </c>
      <c r="H329" s="4" t="s">
        <v>3057</v>
      </c>
      <c r="I329" s="4" t="s">
        <v>3057</v>
      </c>
      <c r="J329" s="4" t="s">
        <v>3057</v>
      </c>
      <c r="K329" s="4" t="s">
        <v>3057</v>
      </c>
      <c r="L329" s="4" t="s">
        <v>3057</v>
      </c>
      <c r="M329" s="4">
        <v>0</v>
      </c>
      <c r="N329" s="4" t="s">
        <v>3057</v>
      </c>
      <c r="O329" s="4" t="s">
        <v>3057</v>
      </c>
      <c r="P329" s="4" t="s">
        <v>3057</v>
      </c>
      <c r="Q329" s="4" t="s">
        <v>3057</v>
      </c>
      <c r="R329" s="4" t="s">
        <v>3057</v>
      </c>
      <c r="S329" s="4" t="s">
        <v>3057</v>
      </c>
      <c r="T329" s="4" t="s">
        <v>3057</v>
      </c>
      <c r="U329" s="4">
        <f t="shared" si="45"/>
        <v>0</v>
      </c>
      <c r="V329" s="5">
        <f t="shared" si="46"/>
        <v>0</v>
      </c>
      <c r="W329" s="5">
        <f t="shared" si="47"/>
        <v>0</v>
      </c>
      <c r="X329" s="7">
        <f t="shared" si="48"/>
        <v>0</v>
      </c>
      <c r="Y329" s="7">
        <f t="shared" si="53"/>
        <v>1.0000000000000004</v>
      </c>
      <c r="Z329" s="7" t="e">
        <f t="shared" si="49"/>
        <v>#DIV/0!</v>
      </c>
      <c r="AA329" t="str">
        <f t="shared" si="50"/>
        <v>C</v>
      </c>
      <c r="AB329" t="e">
        <f t="shared" si="51"/>
        <v>#DIV/0!</v>
      </c>
      <c r="AC329" t="e">
        <f t="shared" si="52"/>
        <v>#DIV/0!</v>
      </c>
    </row>
    <row r="330" spans="1:29" x14ac:dyDescent="0.25">
      <c r="A330" t="s">
        <v>2834</v>
      </c>
      <c r="B330" t="s">
        <v>2834</v>
      </c>
      <c r="C330" s="4" t="s">
        <v>3057</v>
      </c>
      <c r="D330" s="4" t="s">
        <v>3057</v>
      </c>
      <c r="E330" s="4" t="s">
        <v>3057</v>
      </c>
      <c r="F330" s="4" t="s">
        <v>3057</v>
      </c>
      <c r="G330" s="4" t="s">
        <v>3057</v>
      </c>
      <c r="H330" s="4" t="s">
        <v>3057</v>
      </c>
      <c r="I330" s="4" t="s">
        <v>3057</v>
      </c>
      <c r="J330" s="4" t="s">
        <v>3057</v>
      </c>
      <c r="K330" s="4" t="s">
        <v>3057</v>
      </c>
      <c r="L330" s="4" t="s">
        <v>3057</v>
      </c>
      <c r="M330" s="4">
        <v>0</v>
      </c>
      <c r="N330" s="4" t="s">
        <v>3057</v>
      </c>
      <c r="O330" s="4" t="s">
        <v>3057</v>
      </c>
      <c r="P330" s="4" t="s">
        <v>3057</v>
      </c>
      <c r="Q330" s="4" t="s">
        <v>3057</v>
      </c>
      <c r="R330" s="4" t="s">
        <v>3057</v>
      </c>
      <c r="S330" s="4" t="s">
        <v>3057</v>
      </c>
      <c r="T330" s="4" t="s">
        <v>3057</v>
      </c>
      <c r="U330" s="4">
        <f t="shared" si="45"/>
        <v>0</v>
      </c>
      <c r="V330" s="5">
        <f t="shared" si="46"/>
        <v>0</v>
      </c>
      <c r="W330" s="5">
        <f t="shared" si="47"/>
        <v>0</v>
      </c>
      <c r="X330" s="7">
        <f t="shared" si="48"/>
        <v>0</v>
      </c>
      <c r="Y330" s="7">
        <f t="shared" si="53"/>
        <v>1.0000000000000004</v>
      </c>
      <c r="Z330" s="7" t="e">
        <f t="shared" si="49"/>
        <v>#DIV/0!</v>
      </c>
      <c r="AA330" t="str">
        <f t="shared" si="50"/>
        <v>C</v>
      </c>
      <c r="AB330" t="e">
        <f t="shared" si="51"/>
        <v>#DIV/0!</v>
      </c>
      <c r="AC330" t="e">
        <f t="shared" si="52"/>
        <v>#DIV/0!</v>
      </c>
    </row>
    <row r="331" spans="1:29" x14ac:dyDescent="0.25">
      <c r="A331" t="s">
        <v>2670</v>
      </c>
      <c r="B331" t="s">
        <v>2670</v>
      </c>
      <c r="C331" s="4" t="s">
        <v>3057</v>
      </c>
      <c r="D331" s="4" t="s">
        <v>3057</v>
      </c>
      <c r="E331" s="4" t="s">
        <v>3057</v>
      </c>
      <c r="F331" s="4" t="s">
        <v>3057</v>
      </c>
      <c r="G331" s="4" t="s">
        <v>3057</v>
      </c>
      <c r="H331" s="4" t="s">
        <v>3057</v>
      </c>
      <c r="I331" s="4" t="s">
        <v>3057</v>
      </c>
      <c r="J331" s="4" t="s">
        <v>3057</v>
      </c>
      <c r="K331" s="4" t="s">
        <v>3057</v>
      </c>
      <c r="L331" s="4" t="s">
        <v>3057</v>
      </c>
      <c r="M331" s="4">
        <v>0</v>
      </c>
      <c r="N331" s="4" t="s">
        <v>3057</v>
      </c>
      <c r="O331" s="4" t="s">
        <v>3057</v>
      </c>
      <c r="P331" s="4" t="s">
        <v>3057</v>
      </c>
      <c r="Q331" s="4" t="s">
        <v>3057</v>
      </c>
      <c r="R331" s="4" t="s">
        <v>3057</v>
      </c>
      <c r="S331" s="4" t="s">
        <v>3057</v>
      </c>
      <c r="T331" s="4" t="s">
        <v>3057</v>
      </c>
      <c r="U331" s="4">
        <f t="shared" si="45"/>
        <v>0</v>
      </c>
      <c r="V331" s="5">
        <f t="shared" si="46"/>
        <v>0</v>
      </c>
      <c r="W331" s="5">
        <f t="shared" si="47"/>
        <v>0</v>
      </c>
      <c r="X331" s="7">
        <f t="shared" si="48"/>
        <v>0</v>
      </c>
      <c r="Y331" s="7">
        <f t="shared" si="53"/>
        <v>1.0000000000000004</v>
      </c>
      <c r="Z331" s="7" t="e">
        <f t="shared" si="49"/>
        <v>#DIV/0!</v>
      </c>
      <c r="AA331" t="str">
        <f t="shared" si="50"/>
        <v>C</v>
      </c>
      <c r="AB331" t="e">
        <f t="shared" si="51"/>
        <v>#DIV/0!</v>
      </c>
      <c r="AC331" t="e">
        <f t="shared" si="52"/>
        <v>#DIV/0!</v>
      </c>
    </row>
    <row r="332" spans="1:29" x14ac:dyDescent="0.25">
      <c r="A332" t="s">
        <v>2835</v>
      </c>
      <c r="B332" t="s">
        <v>2836</v>
      </c>
      <c r="C332" s="4" t="s">
        <v>3057</v>
      </c>
      <c r="D332" s="4" t="s">
        <v>3057</v>
      </c>
      <c r="E332" s="4" t="s">
        <v>3057</v>
      </c>
      <c r="F332" s="4" t="s">
        <v>3057</v>
      </c>
      <c r="G332" s="4" t="s">
        <v>3057</v>
      </c>
      <c r="H332" s="4" t="s">
        <v>3057</v>
      </c>
      <c r="I332" s="4" t="s">
        <v>3057</v>
      </c>
      <c r="J332" s="4" t="s">
        <v>3057</v>
      </c>
      <c r="K332" s="4" t="s">
        <v>3057</v>
      </c>
      <c r="L332" s="4" t="s">
        <v>3057</v>
      </c>
      <c r="M332" s="4">
        <v>0</v>
      </c>
      <c r="N332" s="4" t="s">
        <v>3057</v>
      </c>
      <c r="O332" s="4" t="s">
        <v>3057</v>
      </c>
      <c r="P332" s="4" t="s">
        <v>3057</v>
      </c>
      <c r="Q332" s="4" t="s">
        <v>3057</v>
      </c>
      <c r="R332" s="4" t="s">
        <v>3057</v>
      </c>
      <c r="S332" s="4" t="s">
        <v>3057</v>
      </c>
      <c r="T332" s="4" t="s">
        <v>3057</v>
      </c>
      <c r="U332" s="4">
        <f t="shared" si="45"/>
        <v>0</v>
      </c>
      <c r="V332" s="5">
        <f t="shared" si="46"/>
        <v>0</v>
      </c>
      <c r="W332" s="5">
        <f t="shared" si="47"/>
        <v>0</v>
      </c>
      <c r="X332" s="7">
        <f t="shared" si="48"/>
        <v>0</v>
      </c>
      <c r="Y332" s="7">
        <f t="shared" si="53"/>
        <v>1.0000000000000004</v>
      </c>
      <c r="Z332" s="7" t="e">
        <f t="shared" si="49"/>
        <v>#DIV/0!</v>
      </c>
      <c r="AA332" t="str">
        <f t="shared" si="50"/>
        <v>C</v>
      </c>
      <c r="AB332" t="e">
        <f t="shared" si="51"/>
        <v>#DIV/0!</v>
      </c>
      <c r="AC332" t="e">
        <f t="shared" si="52"/>
        <v>#DIV/0!</v>
      </c>
    </row>
    <row r="333" spans="1:29" x14ac:dyDescent="0.25">
      <c r="A333" t="s">
        <v>2837</v>
      </c>
      <c r="B333" t="s">
        <v>2838</v>
      </c>
      <c r="C333" s="4" t="s">
        <v>3057</v>
      </c>
      <c r="D333" s="4" t="s">
        <v>3057</v>
      </c>
      <c r="E333" s="4" t="s">
        <v>3057</v>
      </c>
      <c r="F333" s="4" t="s">
        <v>3057</v>
      </c>
      <c r="G333" s="4" t="s">
        <v>3057</v>
      </c>
      <c r="H333" s="4" t="s">
        <v>3057</v>
      </c>
      <c r="I333" s="4" t="s">
        <v>3057</v>
      </c>
      <c r="J333" s="4" t="s">
        <v>3057</v>
      </c>
      <c r="K333" s="4" t="s">
        <v>3057</v>
      </c>
      <c r="L333" s="4" t="s">
        <v>3057</v>
      </c>
      <c r="M333" s="4">
        <v>0</v>
      </c>
      <c r="N333" s="4" t="s">
        <v>3057</v>
      </c>
      <c r="O333" s="4" t="s">
        <v>3057</v>
      </c>
      <c r="P333" s="4" t="s">
        <v>3057</v>
      </c>
      <c r="Q333" s="4" t="s">
        <v>3057</v>
      </c>
      <c r="R333" s="4" t="s">
        <v>3057</v>
      </c>
      <c r="S333" s="4" t="s">
        <v>3057</v>
      </c>
      <c r="T333" s="4" t="s">
        <v>3057</v>
      </c>
      <c r="U333" s="4">
        <f t="shared" si="45"/>
        <v>0</v>
      </c>
      <c r="V333" s="5">
        <f t="shared" si="46"/>
        <v>0</v>
      </c>
      <c r="W333" s="5">
        <f t="shared" si="47"/>
        <v>0</v>
      </c>
      <c r="X333" s="7">
        <f t="shared" si="48"/>
        <v>0</v>
      </c>
      <c r="Y333" s="7">
        <f t="shared" si="53"/>
        <v>1.0000000000000004</v>
      </c>
      <c r="Z333" s="7" t="e">
        <f t="shared" si="49"/>
        <v>#DIV/0!</v>
      </c>
      <c r="AA333" t="str">
        <f t="shared" si="50"/>
        <v>C</v>
      </c>
      <c r="AB333" t="e">
        <f t="shared" si="51"/>
        <v>#DIV/0!</v>
      </c>
      <c r="AC333" t="e">
        <f t="shared" si="52"/>
        <v>#DIV/0!</v>
      </c>
    </row>
    <row r="334" spans="1:29" x14ac:dyDescent="0.25">
      <c r="A334" t="s">
        <v>2839</v>
      </c>
      <c r="B334" t="s">
        <v>2840</v>
      </c>
      <c r="C334" s="4" t="s">
        <v>3057</v>
      </c>
      <c r="D334" s="4" t="s">
        <v>3057</v>
      </c>
      <c r="E334" s="4" t="s">
        <v>3057</v>
      </c>
      <c r="F334" s="4" t="s">
        <v>3057</v>
      </c>
      <c r="G334" s="4" t="s">
        <v>3057</v>
      </c>
      <c r="H334" s="4" t="s">
        <v>3057</v>
      </c>
      <c r="I334" s="4" t="s">
        <v>3057</v>
      </c>
      <c r="J334" s="4" t="s">
        <v>3057</v>
      </c>
      <c r="K334" s="4" t="s">
        <v>3057</v>
      </c>
      <c r="L334" s="4" t="s">
        <v>3057</v>
      </c>
      <c r="M334" s="4">
        <v>0</v>
      </c>
      <c r="N334" s="4" t="s">
        <v>3057</v>
      </c>
      <c r="O334" s="4" t="s">
        <v>3057</v>
      </c>
      <c r="P334" s="4" t="s">
        <v>3057</v>
      </c>
      <c r="Q334" s="4" t="s">
        <v>3057</v>
      </c>
      <c r="R334" s="4" t="s">
        <v>3057</v>
      </c>
      <c r="S334" s="4" t="s">
        <v>3057</v>
      </c>
      <c r="T334" s="4" t="s">
        <v>3057</v>
      </c>
      <c r="U334" s="4">
        <f t="shared" si="45"/>
        <v>0</v>
      </c>
      <c r="V334" s="5">
        <f t="shared" si="46"/>
        <v>0</v>
      </c>
      <c r="W334" s="5">
        <f t="shared" si="47"/>
        <v>0</v>
      </c>
      <c r="X334" s="7">
        <f t="shared" si="48"/>
        <v>0</v>
      </c>
      <c r="Y334" s="7">
        <f t="shared" si="53"/>
        <v>1.0000000000000004</v>
      </c>
      <c r="Z334" s="7" t="e">
        <f t="shared" si="49"/>
        <v>#DIV/0!</v>
      </c>
      <c r="AA334" t="str">
        <f t="shared" si="50"/>
        <v>C</v>
      </c>
      <c r="AB334" t="e">
        <f t="shared" si="51"/>
        <v>#DIV/0!</v>
      </c>
      <c r="AC334" t="e">
        <f t="shared" si="52"/>
        <v>#DIV/0!</v>
      </c>
    </row>
    <row r="335" spans="1:29" x14ac:dyDescent="0.25">
      <c r="A335" t="s">
        <v>2841</v>
      </c>
      <c r="B335" t="s">
        <v>360</v>
      </c>
      <c r="C335" s="4" t="s">
        <v>3057</v>
      </c>
      <c r="D335" s="4" t="s">
        <v>3057</v>
      </c>
      <c r="E335" s="4" t="s">
        <v>3057</v>
      </c>
      <c r="F335" s="4" t="s">
        <v>3057</v>
      </c>
      <c r="G335" s="4" t="s">
        <v>3057</v>
      </c>
      <c r="H335" s="4" t="s">
        <v>3057</v>
      </c>
      <c r="I335" s="4" t="s">
        <v>3057</v>
      </c>
      <c r="J335" s="4" t="s">
        <v>3057</v>
      </c>
      <c r="K335" s="4" t="s">
        <v>3057</v>
      </c>
      <c r="L335" s="4" t="s">
        <v>3057</v>
      </c>
      <c r="M335" s="4">
        <v>0</v>
      </c>
      <c r="N335" s="4" t="s">
        <v>3057</v>
      </c>
      <c r="O335" s="4" t="s">
        <v>3057</v>
      </c>
      <c r="P335" s="4" t="s">
        <v>3057</v>
      </c>
      <c r="Q335" s="4" t="s">
        <v>3057</v>
      </c>
      <c r="R335" s="4" t="s">
        <v>3057</v>
      </c>
      <c r="S335" s="4" t="s">
        <v>3057</v>
      </c>
      <c r="T335" s="4" t="s">
        <v>3057</v>
      </c>
      <c r="U335" s="4">
        <f t="shared" si="45"/>
        <v>0</v>
      </c>
      <c r="V335" s="5">
        <f t="shared" si="46"/>
        <v>0</v>
      </c>
      <c r="W335" s="5">
        <f t="shared" si="47"/>
        <v>0</v>
      </c>
      <c r="X335" s="7">
        <f t="shared" si="48"/>
        <v>0</v>
      </c>
      <c r="Y335" s="7">
        <f t="shared" si="53"/>
        <v>1.0000000000000004</v>
      </c>
      <c r="Z335" s="7" t="e">
        <f t="shared" si="49"/>
        <v>#DIV/0!</v>
      </c>
      <c r="AA335" t="str">
        <f t="shared" si="50"/>
        <v>C</v>
      </c>
      <c r="AB335" t="e">
        <f t="shared" si="51"/>
        <v>#DIV/0!</v>
      </c>
      <c r="AC335" t="e">
        <f t="shared" si="52"/>
        <v>#DIV/0!</v>
      </c>
    </row>
    <row r="336" spans="1:29" x14ac:dyDescent="0.25">
      <c r="A336" t="s">
        <v>2842</v>
      </c>
      <c r="B336" t="s">
        <v>2842</v>
      </c>
      <c r="C336" s="4" t="s">
        <v>3057</v>
      </c>
      <c r="D336" s="4" t="s">
        <v>3057</v>
      </c>
      <c r="E336" s="4" t="s">
        <v>3057</v>
      </c>
      <c r="F336" s="4" t="s">
        <v>3057</v>
      </c>
      <c r="G336" s="4" t="s">
        <v>3057</v>
      </c>
      <c r="H336" s="4" t="s">
        <v>3057</v>
      </c>
      <c r="I336" s="4" t="s">
        <v>3057</v>
      </c>
      <c r="J336" s="4" t="s">
        <v>3057</v>
      </c>
      <c r="K336" s="4" t="s">
        <v>3057</v>
      </c>
      <c r="L336" s="4" t="s">
        <v>3057</v>
      </c>
      <c r="M336" s="4">
        <v>0</v>
      </c>
      <c r="N336" s="4" t="s">
        <v>3057</v>
      </c>
      <c r="O336" s="4" t="s">
        <v>3057</v>
      </c>
      <c r="P336" s="4" t="s">
        <v>3057</v>
      </c>
      <c r="Q336" s="4" t="s">
        <v>3057</v>
      </c>
      <c r="R336" s="4" t="s">
        <v>3057</v>
      </c>
      <c r="S336" s="4" t="s">
        <v>3057</v>
      </c>
      <c r="T336" s="4" t="s">
        <v>3057</v>
      </c>
      <c r="U336" s="4">
        <f t="shared" si="45"/>
        <v>0</v>
      </c>
      <c r="V336" s="5">
        <f t="shared" si="46"/>
        <v>0</v>
      </c>
      <c r="W336" s="5">
        <f t="shared" si="47"/>
        <v>0</v>
      </c>
      <c r="X336" s="7">
        <f t="shared" si="48"/>
        <v>0</v>
      </c>
      <c r="Y336" s="7">
        <f t="shared" si="53"/>
        <v>1.0000000000000004</v>
      </c>
      <c r="Z336" s="7" t="e">
        <f t="shared" si="49"/>
        <v>#DIV/0!</v>
      </c>
      <c r="AA336" t="str">
        <f t="shared" si="50"/>
        <v>C</v>
      </c>
      <c r="AB336" t="e">
        <f t="shared" si="51"/>
        <v>#DIV/0!</v>
      </c>
      <c r="AC336" t="e">
        <f t="shared" si="52"/>
        <v>#DIV/0!</v>
      </c>
    </row>
    <row r="337" spans="1:29" x14ac:dyDescent="0.25">
      <c r="A337" t="s">
        <v>2843</v>
      </c>
      <c r="B337" t="s">
        <v>2844</v>
      </c>
      <c r="C337" s="4" t="s">
        <v>3057</v>
      </c>
      <c r="D337" s="4" t="s">
        <v>3057</v>
      </c>
      <c r="E337" s="4" t="s">
        <v>3057</v>
      </c>
      <c r="F337" s="4" t="s">
        <v>3057</v>
      </c>
      <c r="G337" s="4" t="s">
        <v>3057</v>
      </c>
      <c r="H337" s="4" t="s">
        <v>3057</v>
      </c>
      <c r="I337" s="4" t="s">
        <v>3057</v>
      </c>
      <c r="J337" s="4" t="s">
        <v>3057</v>
      </c>
      <c r="K337" s="4" t="s">
        <v>3057</v>
      </c>
      <c r="L337" s="4" t="s">
        <v>3057</v>
      </c>
      <c r="M337" s="4">
        <v>0</v>
      </c>
      <c r="N337" s="4" t="s">
        <v>3057</v>
      </c>
      <c r="O337" s="4" t="s">
        <v>3057</v>
      </c>
      <c r="P337" s="4" t="s">
        <v>3057</v>
      </c>
      <c r="Q337" s="4" t="s">
        <v>3057</v>
      </c>
      <c r="R337" s="4" t="s">
        <v>3057</v>
      </c>
      <c r="S337" s="4" t="s">
        <v>3057</v>
      </c>
      <c r="T337" s="4" t="s">
        <v>3057</v>
      </c>
      <c r="U337" s="4">
        <f t="shared" si="45"/>
        <v>0</v>
      </c>
      <c r="V337" s="5">
        <f t="shared" si="46"/>
        <v>0</v>
      </c>
      <c r="W337" s="5">
        <f t="shared" si="47"/>
        <v>0</v>
      </c>
      <c r="X337" s="7">
        <f t="shared" si="48"/>
        <v>0</v>
      </c>
      <c r="Y337" s="7">
        <f t="shared" si="53"/>
        <v>1.0000000000000004</v>
      </c>
      <c r="Z337" s="7" t="e">
        <f t="shared" si="49"/>
        <v>#DIV/0!</v>
      </c>
      <c r="AA337" t="str">
        <f t="shared" si="50"/>
        <v>C</v>
      </c>
      <c r="AB337" t="e">
        <f t="shared" si="51"/>
        <v>#DIV/0!</v>
      </c>
      <c r="AC337" t="e">
        <f t="shared" si="52"/>
        <v>#DIV/0!</v>
      </c>
    </row>
    <row r="338" spans="1:29" x14ac:dyDescent="0.25">
      <c r="A338" t="s">
        <v>2845</v>
      </c>
      <c r="B338" t="s">
        <v>2846</v>
      </c>
      <c r="C338" s="4" t="s">
        <v>3057</v>
      </c>
      <c r="D338" s="4" t="s">
        <v>3057</v>
      </c>
      <c r="E338" s="4" t="s">
        <v>3057</v>
      </c>
      <c r="F338" s="4" t="s">
        <v>3057</v>
      </c>
      <c r="G338" s="4" t="s">
        <v>3057</v>
      </c>
      <c r="H338" s="4" t="s">
        <v>3057</v>
      </c>
      <c r="I338" s="4" t="s">
        <v>3057</v>
      </c>
      <c r="J338" s="4" t="s">
        <v>3057</v>
      </c>
      <c r="K338" s="4" t="s">
        <v>3057</v>
      </c>
      <c r="L338" s="4" t="s">
        <v>3057</v>
      </c>
      <c r="M338" s="4">
        <v>0</v>
      </c>
      <c r="N338" s="4" t="s">
        <v>3057</v>
      </c>
      <c r="O338" s="4" t="s">
        <v>3057</v>
      </c>
      <c r="P338" s="4" t="s">
        <v>3057</v>
      </c>
      <c r="Q338" s="4" t="s">
        <v>3057</v>
      </c>
      <c r="R338" s="4" t="s">
        <v>3057</v>
      </c>
      <c r="S338" s="4" t="s">
        <v>3057</v>
      </c>
      <c r="T338" s="4" t="s">
        <v>3057</v>
      </c>
      <c r="U338" s="4">
        <f t="shared" si="45"/>
        <v>0</v>
      </c>
      <c r="V338" s="5">
        <f t="shared" si="46"/>
        <v>0</v>
      </c>
      <c r="W338" s="5">
        <f t="shared" si="47"/>
        <v>0</v>
      </c>
      <c r="X338" s="7">
        <f t="shared" si="48"/>
        <v>0</v>
      </c>
      <c r="Y338" s="7">
        <f t="shared" si="53"/>
        <v>1.0000000000000004</v>
      </c>
      <c r="Z338" s="7" t="e">
        <f t="shared" si="49"/>
        <v>#DIV/0!</v>
      </c>
      <c r="AA338" t="str">
        <f t="shared" si="50"/>
        <v>C</v>
      </c>
      <c r="AB338" t="e">
        <f t="shared" si="51"/>
        <v>#DIV/0!</v>
      </c>
      <c r="AC338" t="e">
        <f t="shared" si="52"/>
        <v>#DIV/0!</v>
      </c>
    </row>
    <row r="339" spans="1:29" x14ac:dyDescent="0.25">
      <c r="A339" t="s">
        <v>2843</v>
      </c>
      <c r="B339" t="s">
        <v>2847</v>
      </c>
      <c r="C339" s="4" t="s">
        <v>3057</v>
      </c>
      <c r="D339" s="4" t="s">
        <v>3057</v>
      </c>
      <c r="E339" s="4" t="s">
        <v>3057</v>
      </c>
      <c r="F339" s="4" t="s">
        <v>3057</v>
      </c>
      <c r="G339" s="4" t="s">
        <v>3057</v>
      </c>
      <c r="H339" s="4" t="s">
        <v>3057</v>
      </c>
      <c r="I339" s="4" t="s">
        <v>3057</v>
      </c>
      <c r="J339" s="4" t="s">
        <v>3057</v>
      </c>
      <c r="K339" s="4" t="s">
        <v>3057</v>
      </c>
      <c r="L339" s="4" t="s">
        <v>3057</v>
      </c>
      <c r="M339" s="4">
        <v>0</v>
      </c>
      <c r="N339" s="4" t="s">
        <v>3057</v>
      </c>
      <c r="O339" s="4" t="s">
        <v>3057</v>
      </c>
      <c r="P339" s="4" t="s">
        <v>3057</v>
      </c>
      <c r="Q339" s="4" t="s">
        <v>3057</v>
      </c>
      <c r="R339" s="4" t="s">
        <v>3057</v>
      </c>
      <c r="S339" s="4" t="s">
        <v>3057</v>
      </c>
      <c r="T339" s="4" t="s">
        <v>3057</v>
      </c>
      <c r="U339" s="4">
        <f t="shared" si="45"/>
        <v>0</v>
      </c>
      <c r="V339" s="5">
        <f t="shared" si="46"/>
        <v>0</v>
      </c>
      <c r="W339" s="5">
        <f t="shared" si="47"/>
        <v>0</v>
      </c>
      <c r="X339" s="7">
        <f t="shared" si="48"/>
        <v>0</v>
      </c>
      <c r="Y339" s="7">
        <f t="shared" si="53"/>
        <v>1.0000000000000004</v>
      </c>
      <c r="Z339" s="7" t="e">
        <f t="shared" si="49"/>
        <v>#DIV/0!</v>
      </c>
      <c r="AA339" t="str">
        <f t="shared" si="50"/>
        <v>C</v>
      </c>
      <c r="AB339" t="e">
        <f t="shared" si="51"/>
        <v>#DIV/0!</v>
      </c>
      <c r="AC339" t="e">
        <f t="shared" si="52"/>
        <v>#DIV/0!</v>
      </c>
    </row>
    <row r="340" spans="1:29" x14ac:dyDescent="0.25">
      <c r="A340" t="s">
        <v>2845</v>
      </c>
      <c r="B340" t="s">
        <v>2848</v>
      </c>
      <c r="C340" s="4" t="s">
        <v>3057</v>
      </c>
      <c r="D340" s="4" t="s">
        <v>3057</v>
      </c>
      <c r="E340" s="4" t="s">
        <v>3057</v>
      </c>
      <c r="F340" s="4" t="s">
        <v>3057</v>
      </c>
      <c r="G340" s="4" t="s">
        <v>3057</v>
      </c>
      <c r="H340" s="4" t="s">
        <v>3057</v>
      </c>
      <c r="I340" s="4" t="s">
        <v>3057</v>
      </c>
      <c r="J340" s="4" t="s">
        <v>3057</v>
      </c>
      <c r="K340" s="4" t="s">
        <v>3057</v>
      </c>
      <c r="L340" s="4" t="s">
        <v>3057</v>
      </c>
      <c r="M340" s="4">
        <v>0</v>
      </c>
      <c r="N340" s="4" t="s">
        <v>3057</v>
      </c>
      <c r="O340" s="4" t="s">
        <v>3057</v>
      </c>
      <c r="P340" s="4" t="s">
        <v>3057</v>
      </c>
      <c r="Q340" s="4" t="s">
        <v>3057</v>
      </c>
      <c r="R340" s="4" t="s">
        <v>3057</v>
      </c>
      <c r="S340" s="4" t="s">
        <v>3057</v>
      </c>
      <c r="T340" s="4" t="s">
        <v>3057</v>
      </c>
      <c r="U340" s="4">
        <f t="shared" si="45"/>
        <v>0</v>
      </c>
      <c r="V340" s="5">
        <f t="shared" si="46"/>
        <v>0</v>
      </c>
      <c r="W340" s="5">
        <f t="shared" si="47"/>
        <v>0</v>
      </c>
      <c r="X340" s="7">
        <f t="shared" si="48"/>
        <v>0</v>
      </c>
      <c r="Y340" s="7">
        <f t="shared" si="53"/>
        <v>1.0000000000000004</v>
      </c>
      <c r="Z340" s="7" t="e">
        <f t="shared" si="49"/>
        <v>#DIV/0!</v>
      </c>
      <c r="AA340" t="str">
        <f t="shared" si="50"/>
        <v>C</v>
      </c>
      <c r="AB340" t="e">
        <f t="shared" si="51"/>
        <v>#DIV/0!</v>
      </c>
      <c r="AC340" t="e">
        <f t="shared" si="52"/>
        <v>#DIV/0!</v>
      </c>
    </row>
    <row r="341" spans="1:29" x14ac:dyDescent="0.25">
      <c r="A341" t="s">
        <v>2849</v>
      </c>
      <c r="B341" t="s">
        <v>2850</v>
      </c>
      <c r="C341" s="4" t="s">
        <v>3057</v>
      </c>
      <c r="D341" s="4" t="s">
        <v>3057</v>
      </c>
      <c r="E341" s="4" t="s">
        <v>3057</v>
      </c>
      <c r="F341" s="4" t="s">
        <v>3057</v>
      </c>
      <c r="G341" s="4" t="s">
        <v>3057</v>
      </c>
      <c r="H341" s="4" t="s">
        <v>3057</v>
      </c>
      <c r="I341" s="4" t="s">
        <v>3057</v>
      </c>
      <c r="J341" s="4" t="s">
        <v>3057</v>
      </c>
      <c r="K341" s="4" t="s">
        <v>3057</v>
      </c>
      <c r="L341" s="4" t="s">
        <v>3057</v>
      </c>
      <c r="M341" s="4">
        <v>0</v>
      </c>
      <c r="N341" s="4" t="s">
        <v>3057</v>
      </c>
      <c r="O341" s="4" t="s">
        <v>3057</v>
      </c>
      <c r="P341" s="4" t="s">
        <v>3057</v>
      </c>
      <c r="Q341" s="4" t="s">
        <v>3057</v>
      </c>
      <c r="R341" s="4" t="s">
        <v>3057</v>
      </c>
      <c r="S341" s="4" t="s">
        <v>3057</v>
      </c>
      <c r="T341" s="4" t="s">
        <v>3057</v>
      </c>
      <c r="U341" s="4">
        <f t="shared" si="45"/>
        <v>0</v>
      </c>
      <c r="V341" s="5">
        <f t="shared" si="46"/>
        <v>0</v>
      </c>
      <c r="W341" s="5">
        <f t="shared" si="47"/>
        <v>0</v>
      </c>
      <c r="X341" s="7">
        <f t="shared" si="48"/>
        <v>0</v>
      </c>
      <c r="Y341" s="7">
        <f t="shared" si="53"/>
        <v>1.0000000000000004</v>
      </c>
      <c r="Z341" s="7" t="e">
        <f t="shared" si="49"/>
        <v>#DIV/0!</v>
      </c>
      <c r="AA341" t="str">
        <f t="shared" si="50"/>
        <v>C</v>
      </c>
      <c r="AB341" t="e">
        <f t="shared" si="51"/>
        <v>#DIV/0!</v>
      </c>
      <c r="AC341" t="e">
        <f t="shared" si="52"/>
        <v>#DIV/0!</v>
      </c>
    </row>
    <row r="342" spans="1:29" x14ac:dyDescent="0.25">
      <c r="A342" t="s">
        <v>2851</v>
      </c>
      <c r="B342" t="s">
        <v>2851</v>
      </c>
      <c r="C342" s="4" t="s">
        <v>3057</v>
      </c>
      <c r="D342" s="4" t="s">
        <v>3057</v>
      </c>
      <c r="E342" s="4" t="s">
        <v>3057</v>
      </c>
      <c r="F342" s="4" t="s">
        <v>3057</v>
      </c>
      <c r="G342" s="4" t="s">
        <v>3057</v>
      </c>
      <c r="H342" s="4" t="s">
        <v>3057</v>
      </c>
      <c r="I342" s="4" t="s">
        <v>3057</v>
      </c>
      <c r="J342" s="4" t="s">
        <v>3057</v>
      </c>
      <c r="K342" s="4" t="s">
        <v>3057</v>
      </c>
      <c r="L342" s="4" t="s">
        <v>3057</v>
      </c>
      <c r="M342" s="4">
        <v>0</v>
      </c>
      <c r="N342" s="4" t="s">
        <v>3057</v>
      </c>
      <c r="O342" s="4" t="s">
        <v>3057</v>
      </c>
      <c r="P342" s="4" t="s">
        <v>3057</v>
      </c>
      <c r="Q342" s="4" t="s">
        <v>3057</v>
      </c>
      <c r="R342" s="4" t="s">
        <v>3057</v>
      </c>
      <c r="S342" s="4" t="s">
        <v>3057</v>
      </c>
      <c r="T342" s="4" t="s">
        <v>3057</v>
      </c>
      <c r="U342" s="4">
        <f t="shared" si="45"/>
        <v>0</v>
      </c>
      <c r="V342" s="5">
        <f t="shared" si="46"/>
        <v>0</v>
      </c>
      <c r="W342" s="5">
        <f t="shared" si="47"/>
        <v>0</v>
      </c>
      <c r="X342" s="7">
        <f t="shared" si="48"/>
        <v>0</v>
      </c>
      <c r="Y342" s="7">
        <f t="shared" si="53"/>
        <v>1.0000000000000004</v>
      </c>
      <c r="Z342" s="7" t="e">
        <f t="shared" si="49"/>
        <v>#DIV/0!</v>
      </c>
      <c r="AA342" t="str">
        <f t="shared" si="50"/>
        <v>C</v>
      </c>
      <c r="AB342" t="e">
        <f t="shared" si="51"/>
        <v>#DIV/0!</v>
      </c>
      <c r="AC342" t="e">
        <f t="shared" si="52"/>
        <v>#DIV/0!</v>
      </c>
    </row>
    <row r="343" spans="1:29" x14ac:dyDescent="0.25">
      <c r="A343" t="s">
        <v>2845</v>
      </c>
      <c r="B343" t="s">
        <v>2852</v>
      </c>
      <c r="C343" s="4" t="s">
        <v>3057</v>
      </c>
      <c r="D343" s="4" t="s">
        <v>3057</v>
      </c>
      <c r="E343" s="4" t="s">
        <v>3057</v>
      </c>
      <c r="F343" s="4" t="s">
        <v>3057</v>
      </c>
      <c r="G343" s="4" t="s">
        <v>3057</v>
      </c>
      <c r="H343" s="4" t="s">
        <v>3057</v>
      </c>
      <c r="I343" s="4" t="s">
        <v>3057</v>
      </c>
      <c r="J343" s="4" t="s">
        <v>3057</v>
      </c>
      <c r="K343" s="4" t="s">
        <v>3057</v>
      </c>
      <c r="L343" s="4" t="s">
        <v>3057</v>
      </c>
      <c r="M343" s="4">
        <v>0</v>
      </c>
      <c r="N343" s="4" t="s">
        <v>3057</v>
      </c>
      <c r="O343" s="4" t="s">
        <v>3057</v>
      </c>
      <c r="P343" s="4" t="s">
        <v>3057</v>
      </c>
      <c r="Q343" s="4" t="s">
        <v>3057</v>
      </c>
      <c r="R343" s="4" t="s">
        <v>3057</v>
      </c>
      <c r="S343" s="4" t="s">
        <v>3057</v>
      </c>
      <c r="T343" s="4" t="s">
        <v>3057</v>
      </c>
      <c r="U343" s="4">
        <f t="shared" si="45"/>
        <v>0</v>
      </c>
      <c r="V343" s="5">
        <f t="shared" si="46"/>
        <v>0</v>
      </c>
      <c r="W343" s="5">
        <f t="shared" si="47"/>
        <v>0</v>
      </c>
      <c r="X343" s="7">
        <f t="shared" si="48"/>
        <v>0</v>
      </c>
      <c r="Y343" s="7">
        <f t="shared" si="53"/>
        <v>1.0000000000000004</v>
      </c>
      <c r="Z343" s="7" t="e">
        <f t="shared" si="49"/>
        <v>#DIV/0!</v>
      </c>
      <c r="AA343" t="str">
        <f t="shared" si="50"/>
        <v>C</v>
      </c>
      <c r="AB343" t="e">
        <f t="shared" si="51"/>
        <v>#DIV/0!</v>
      </c>
      <c r="AC343" t="e">
        <f t="shared" si="52"/>
        <v>#DIV/0!</v>
      </c>
    </row>
    <row r="344" spans="1:29" x14ac:dyDescent="0.25">
      <c r="A344" t="s">
        <v>2857</v>
      </c>
      <c r="B344" t="s">
        <v>2858</v>
      </c>
      <c r="C344" s="4" t="s">
        <v>3057</v>
      </c>
      <c r="D344" s="4" t="s">
        <v>3057</v>
      </c>
      <c r="E344" s="4" t="s">
        <v>3057</v>
      </c>
      <c r="F344" s="4" t="s">
        <v>3057</v>
      </c>
      <c r="G344" s="4" t="s">
        <v>3057</v>
      </c>
      <c r="H344" s="4" t="s">
        <v>3057</v>
      </c>
      <c r="I344" s="4" t="s">
        <v>3057</v>
      </c>
      <c r="J344" s="4" t="s">
        <v>3057</v>
      </c>
      <c r="K344" s="4" t="s">
        <v>3057</v>
      </c>
      <c r="L344" s="4" t="s">
        <v>3057</v>
      </c>
      <c r="M344" s="4">
        <v>0</v>
      </c>
      <c r="N344" s="4" t="s">
        <v>3057</v>
      </c>
      <c r="O344" s="4" t="s">
        <v>3057</v>
      </c>
      <c r="P344" s="4" t="s">
        <v>3057</v>
      </c>
      <c r="Q344" s="4" t="s">
        <v>3057</v>
      </c>
      <c r="R344" s="4" t="s">
        <v>3057</v>
      </c>
      <c r="S344" s="4" t="s">
        <v>3057</v>
      </c>
      <c r="T344" s="4" t="s">
        <v>3057</v>
      </c>
      <c r="U344" s="4">
        <f t="shared" si="45"/>
        <v>0</v>
      </c>
      <c r="V344" s="5">
        <f t="shared" si="46"/>
        <v>0</v>
      </c>
      <c r="W344" s="5">
        <f t="shared" si="47"/>
        <v>0</v>
      </c>
      <c r="X344" s="7">
        <f t="shared" si="48"/>
        <v>0</v>
      </c>
      <c r="Y344" s="7">
        <f t="shared" si="53"/>
        <v>1.0000000000000004</v>
      </c>
      <c r="Z344" s="7" t="e">
        <f t="shared" si="49"/>
        <v>#DIV/0!</v>
      </c>
      <c r="AA344" t="str">
        <f t="shared" si="50"/>
        <v>C</v>
      </c>
      <c r="AB344" t="e">
        <f t="shared" si="51"/>
        <v>#DIV/0!</v>
      </c>
      <c r="AC344" t="e">
        <f t="shared" si="52"/>
        <v>#DIV/0!</v>
      </c>
    </row>
    <row r="345" spans="1:29" x14ac:dyDescent="0.25">
      <c r="A345" t="s">
        <v>2861</v>
      </c>
      <c r="B345" t="s">
        <v>2862</v>
      </c>
      <c r="C345" s="4" t="s">
        <v>3057</v>
      </c>
      <c r="D345" s="4" t="s">
        <v>3057</v>
      </c>
      <c r="E345" s="4" t="s">
        <v>3057</v>
      </c>
      <c r="F345" s="4" t="s">
        <v>3057</v>
      </c>
      <c r="G345" s="4" t="s">
        <v>3057</v>
      </c>
      <c r="H345" s="4" t="s">
        <v>3057</v>
      </c>
      <c r="I345" s="4" t="s">
        <v>3057</v>
      </c>
      <c r="J345" s="4" t="s">
        <v>3057</v>
      </c>
      <c r="K345" s="4" t="s">
        <v>3057</v>
      </c>
      <c r="L345" s="4" t="s">
        <v>3057</v>
      </c>
      <c r="M345" s="4">
        <v>0</v>
      </c>
      <c r="N345" s="4" t="s">
        <v>3057</v>
      </c>
      <c r="O345" s="4" t="s">
        <v>3057</v>
      </c>
      <c r="P345" s="4" t="s">
        <v>3057</v>
      </c>
      <c r="Q345" s="4" t="s">
        <v>3057</v>
      </c>
      <c r="R345" s="4" t="s">
        <v>3057</v>
      </c>
      <c r="S345" s="4" t="s">
        <v>3057</v>
      </c>
      <c r="T345" s="4" t="s">
        <v>3057</v>
      </c>
      <c r="U345" s="4">
        <f t="shared" si="45"/>
        <v>0</v>
      </c>
      <c r="V345" s="5">
        <f t="shared" si="46"/>
        <v>0</v>
      </c>
      <c r="W345" s="5">
        <f t="shared" si="47"/>
        <v>0</v>
      </c>
      <c r="X345" s="7">
        <f t="shared" si="48"/>
        <v>0</v>
      </c>
      <c r="Y345" s="7">
        <f t="shared" si="53"/>
        <v>1.0000000000000004</v>
      </c>
      <c r="Z345" s="7" t="e">
        <f t="shared" si="49"/>
        <v>#DIV/0!</v>
      </c>
      <c r="AA345" t="str">
        <f t="shared" si="50"/>
        <v>C</v>
      </c>
      <c r="AB345" t="e">
        <f t="shared" si="51"/>
        <v>#DIV/0!</v>
      </c>
      <c r="AC345" t="e">
        <f t="shared" si="52"/>
        <v>#DIV/0!</v>
      </c>
    </row>
    <row r="346" spans="1:29" x14ac:dyDescent="0.25">
      <c r="A346" t="s">
        <v>2864</v>
      </c>
      <c r="B346" t="s">
        <v>2865</v>
      </c>
      <c r="C346" s="4" t="s">
        <v>3057</v>
      </c>
      <c r="D346" s="4" t="s">
        <v>3057</v>
      </c>
      <c r="E346" s="4" t="s">
        <v>3057</v>
      </c>
      <c r="F346" s="4" t="s">
        <v>3057</v>
      </c>
      <c r="G346" s="4" t="s">
        <v>3057</v>
      </c>
      <c r="H346" s="4" t="s">
        <v>3057</v>
      </c>
      <c r="I346" s="4" t="s">
        <v>3057</v>
      </c>
      <c r="J346" s="4" t="s">
        <v>3057</v>
      </c>
      <c r="K346" s="4" t="s">
        <v>3057</v>
      </c>
      <c r="L346" s="4" t="s">
        <v>3057</v>
      </c>
      <c r="M346" s="4">
        <v>0</v>
      </c>
      <c r="N346" s="4" t="s">
        <v>3057</v>
      </c>
      <c r="O346" s="4" t="s">
        <v>3057</v>
      </c>
      <c r="P346" s="4" t="s">
        <v>3057</v>
      </c>
      <c r="Q346" s="4" t="s">
        <v>3057</v>
      </c>
      <c r="R346" s="4" t="s">
        <v>3057</v>
      </c>
      <c r="S346" s="4" t="s">
        <v>3057</v>
      </c>
      <c r="T346" s="4" t="s">
        <v>3057</v>
      </c>
      <c r="U346" s="4">
        <f t="shared" si="45"/>
        <v>0</v>
      </c>
      <c r="V346" s="5">
        <f t="shared" si="46"/>
        <v>0</v>
      </c>
      <c r="W346" s="5">
        <f t="shared" si="47"/>
        <v>0</v>
      </c>
      <c r="X346" s="7">
        <f t="shared" si="48"/>
        <v>0</v>
      </c>
      <c r="Y346" s="7">
        <f t="shared" si="53"/>
        <v>1.0000000000000004</v>
      </c>
      <c r="Z346" s="7" t="e">
        <f t="shared" si="49"/>
        <v>#DIV/0!</v>
      </c>
      <c r="AA346" t="str">
        <f t="shared" si="50"/>
        <v>C</v>
      </c>
      <c r="AB346" t="e">
        <f t="shared" si="51"/>
        <v>#DIV/0!</v>
      </c>
      <c r="AC346" t="e">
        <f t="shared" si="52"/>
        <v>#DIV/0!</v>
      </c>
    </row>
    <row r="347" spans="1:29" x14ac:dyDescent="0.25">
      <c r="A347" t="s">
        <v>2866</v>
      </c>
      <c r="B347" t="s">
        <v>2867</v>
      </c>
      <c r="C347" s="4" t="s">
        <v>3057</v>
      </c>
      <c r="D347" s="4" t="s">
        <v>3057</v>
      </c>
      <c r="E347" s="4" t="s">
        <v>3057</v>
      </c>
      <c r="F347" s="4" t="s">
        <v>3057</v>
      </c>
      <c r="G347" s="4" t="s">
        <v>3057</v>
      </c>
      <c r="H347" s="4" t="s">
        <v>3057</v>
      </c>
      <c r="I347" s="4" t="s">
        <v>3057</v>
      </c>
      <c r="J347" s="4" t="s">
        <v>3057</v>
      </c>
      <c r="K347" s="4" t="s">
        <v>3057</v>
      </c>
      <c r="L347" s="4" t="s">
        <v>3057</v>
      </c>
      <c r="M347" s="4">
        <v>0</v>
      </c>
      <c r="N347" s="4" t="s">
        <v>3057</v>
      </c>
      <c r="O347" s="4" t="s">
        <v>3057</v>
      </c>
      <c r="P347" s="4" t="s">
        <v>3057</v>
      </c>
      <c r="Q347" s="4" t="s">
        <v>3057</v>
      </c>
      <c r="R347" s="4" t="s">
        <v>3057</v>
      </c>
      <c r="S347" s="4" t="s">
        <v>3057</v>
      </c>
      <c r="T347" s="4" t="s">
        <v>3057</v>
      </c>
      <c r="U347" s="4">
        <f t="shared" si="45"/>
        <v>0</v>
      </c>
      <c r="V347" s="5">
        <f t="shared" si="46"/>
        <v>0</v>
      </c>
      <c r="W347" s="5">
        <f t="shared" si="47"/>
        <v>0</v>
      </c>
      <c r="X347" s="7">
        <f t="shared" si="48"/>
        <v>0</v>
      </c>
      <c r="Y347" s="7">
        <f t="shared" si="53"/>
        <v>1.0000000000000004</v>
      </c>
      <c r="Z347" s="7" t="e">
        <f t="shared" si="49"/>
        <v>#DIV/0!</v>
      </c>
      <c r="AA347" t="str">
        <f t="shared" si="50"/>
        <v>C</v>
      </c>
      <c r="AB347" t="e">
        <f t="shared" si="51"/>
        <v>#DIV/0!</v>
      </c>
      <c r="AC347" t="e">
        <f t="shared" si="52"/>
        <v>#DIV/0!</v>
      </c>
    </row>
    <row r="348" spans="1:29" x14ac:dyDescent="0.25">
      <c r="A348" t="s">
        <v>2869</v>
      </c>
      <c r="B348" t="s">
        <v>2870</v>
      </c>
      <c r="C348" s="4" t="s">
        <v>3057</v>
      </c>
      <c r="D348" s="4" t="s">
        <v>3057</v>
      </c>
      <c r="E348" s="4" t="s">
        <v>3057</v>
      </c>
      <c r="F348" s="4" t="s">
        <v>3057</v>
      </c>
      <c r="G348" s="4" t="s">
        <v>3057</v>
      </c>
      <c r="H348" s="4" t="s">
        <v>3057</v>
      </c>
      <c r="I348" s="4" t="s">
        <v>3057</v>
      </c>
      <c r="J348" s="4" t="s">
        <v>3057</v>
      </c>
      <c r="K348" s="4" t="s">
        <v>3057</v>
      </c>
      <c r="L348" s="4" t="s">
        <v>3057</v>
      </c>
      <c r="M348" s="4">
        <v>0</v>
      </c>
      <c r="N348" s="4" t="s">
        <v>3057</v>
      </c>
      <c r="O348" s="4" t="s">
        <v>3057</v>
      </c>
      <c r="P348" s="4" t="s">
        <v>3057</v>
      </c>
      <c r="Q348" s="4" t="s">
        <v>3057</v>
      </c>
      <c r="R348" s="4" t="s">
        <v>3057</v>
      </c>
      <c r="S348" s="4" t="s">
        <v>3057</v>
      </c>
      <c r="T348" s="4" t="s">
        <v>3057</v>
      </c>
      <c r="U348" s="4">
        <f t="shared" si="45"/>
        <v>0</v>
      </c>
      <c r="V348" s="5">
        <f t="shared" si="46"/>
        <v>0</v>
      </c>
      <c r="W348" s="5">
        <f t="shared" si="47"/>
        <v>0</v>
      </c>
      <c r="X348" s="7">
        <f t="shared" si="48"/>
        <v>0</v>
      </c>
      <c r="Y348" s="7">
        <f t="shared" si="53"/>
        <v>1.0000000000000004</v>
      </c>
      <c r="Z348" s="7" t="e">
        <f t="shared" si="49"/>
        <v>#DIV/0!</v>
      </c>
      <c r="AA348" t="str">
        <f t="shared" si="50"/>
        <v>C</v>
      </c>
      <c r="AB348" t="e">
        <f t="shared" si="51"/>
        <v>#DIV/0!</v>
      </c>
      <c r="AC348" t="e">
        <f t="shared" si="52"/>
        <v>#DIV/0!</v>
      </c>
    </row>
    <row r="349" spans="1:29" x14ac:dyDescent="0.25">
      <c r="A349" t="s">
        <v>2871</v>
      </c>
      <c r="B349" t="s">
        <v>2872</v>
      </c>
      <c r="C349" s="4" t="s">
        <v>3057</v>
      </c>
      <c r="D349" s="4" t="s">
        <v>3057</v>
      </c>
      <c r="E349" s="4" t="s">
        <v>3057</v>
      </c>
      <c r="F349" s="4" t="s">
        <v>3057</v>
      </c>
      <c r="G349" s="4" t="s">
        <v>3057</v>
      </c>
      <c r="H349" s="4" t="s">
        <v>3057</v>
      </c>
      <c r="I349" s="4" t="s">
        <v>3057</v>
      </c>
      <c r="J349" s="4" t="s">
        <v>3057</v>
      </c>
      <c r="K349" s="4" t="s">
        <v>3057</v>
      </c>
      <c r="L349" s="4" t="s">
        <v>3057</v>
      </c>
      <c r="M349" s="4">
        <v>0</v>
      </c>
      <c r="N349" s="4" t="s">
        <v>3057</v>
      </c>
      <c r="O349" s="4" t="s">
        <v>3057</v>
      </c>
      <c r="P349" s="4" t="s">
        <v>3057</v>
      </c>
      <c r="Q349" s="4" t="s">
        <v>3057</v>
      </c>
      <c r="R349" s="4" t="s">
        <v>3057</v>
      </c>
      <c r="S349" s="4" t="s">
        <v>3057</v>
      </c>
      <c r="T349" s="4" t="s">
        <v>3057</v>
      </c>
      <c r="U349" s="4">
        <f t="shared" si="45"/>
        <v>0</v>
      </c>
      <c r="V349" s="5">
        <f t="shared" si="46"/>
        <v>0</v>
      </c>
      <c r="W349" s="5">
        <f t="shared" si="47"/>
        <v>0</v>
      </c>
      <c r="X349" s="7">
        <f t="shared" si="48"/>
        <v>0</v>
      </c>
      <c r="Y349" s="7">
        <f t="shared" si="53"/>
        <v>1.0000000000000004</v>
      </c>
      <c r="Z349" s="7" t="e">
        <f t="shared" si="49"/>
        <v>#DIV/0!</v>
      </c>
      <c r="AA349" t="str">
        <f t="shared" si="50"/>
        <v>C</v>
      </c>
      <c r="AB349" t="e">
        <f t="shared" si="51"/>
        <v>#DIV/0!</v>
      </c>
      <c r="AC349" t="e">
        <f t="shared" si="52"/>
        <v>#DIV/0!</v>
      </c>
    </row>
    <row r="350" spans="1:29" x14ac:dyDescent="0.25">
      <c r="A350" t="s">
        <v>2875</v>
      </c>
      <c r="B350" t="s">
        <v>2876</v>
      </c>
      <c r="C350" s="4" t="s">
        <v>3057</v>
      </c>
      <c r="D350" s="4" t="s">
        <v>3057</v>
      </c>
      <c r="E350" s="4" t="s">
        <v>3057</v>
      </c>
      <c r="F350" s="4" t="s">
        <v>3057</v>
      </c>
      <c r="G350" s="4" t="s">
        <v>3057</v>
      </c>
      <c r="H350" s="4" t="s">
        <v>3057</v>
      </c>
      <c r="I350" s="4" t="s">
        <v>3057</v>
      </c>
      <c r="J350" s="4" t="s">
        <v>3057</v>
      </c>
      <c r="K350" s="4" t="s">
        <v>3057</v>
      </c>
      <c r="L350" s="4" t="s">
        <v>3057</v>
      </c>
      <c r="M350" s="4">
        <v>0</v>
      </c>
      <c r="N350" s="4" t="s">
        <v>3057</v>
      </c>
      <c r="O350" s="4" t="s">
        <v>3057</v>
      </c>
      <c r="P350" s="4" t="s">
        <v>3057</v>
      </c>
      <c r="Q350" s="4" t="s">
        <v>3057</v>
      </c>
      <c r="R350" s="4" t="s">
        <v>3057</v>
      </c>
      <c r="S350" s="4" t="s">
        <v>3057</v>
      </c>
      <c r="T350" s="4" t="s">
        <v>3057</v>
      </c>
      <c r="U350" s="4">
        <f t="shared" si="45"/>
        <v>0</v>
      </c>
      <c r="V350" s="5">
        <f t="shared" si="46"/>
        <v>0</v>
      </c>
      <c r="W350" s="5">
        <f t="shared" si="47"/>
        <v>0</v>
      </c>
      <c r="X350" s="7">
        <f t="shared" si="48"/>
        <v>0</v>
      </c>
      <c r="Y350" s="7">
        <f t="shared" si="53"/>
        <v>1.0000000000000004</v>
      </c>
      <c r="Z350" s="7" t="e">
        <f t="shared" si="49"/>
        <v>#DIV/0!</v>
      </c>
      <c r="AA350" t="str">
        <f t="shared" si="50"/>
        <v>C</v>
      </c>
      <c r="AB350" t="e">
        <f t="shared" si="51"/>
        <v>#DIV/0!</v>
      </c>
      <c r="AC350" t="e">
        <f t="shared" si="52"/>
        <v>#DIV/0!</v>
      </c>
    </row>
    <row r="351" spans="1:29" x14ac:dyDescent="0.25">
      <c r="A351" t="s">
        <v>2877</v>
      </c>
      <c r="B351" t="s">
        <v>2825</v>
      </c>
      <c r="C351" s="4" t="s">
        <v>3057</v>
      </c>
      <c r="D351" s="4" t="s">
        <v>3057</v>
      </c>
      <c r="E351" s="4" t="s">
        <v>3057</v>
      </c>
      <c r="F351" s="4" t="s">
        <v>3057</v>
      </c>
      <c r="G351" s="4" t="s">
        <v>3057</v>
      </c>
      <c r="H351" s="4" t="s">
        <v>3057</v>
      </c>
      <c r="I351" s="4" t="s">
        <v>3057</v>
      </c>
      <c r="J351" s="4" t="s">
        <v>3057</v>
      </c>
      <c r="K351" s="4" t="s">
        <v>3057</v>
      </c>
      <c r="L351" s="4" t="s">
        <v>3057</v>
      </c>
      <c r="M351" s="4">
        <v>0</v>
      </c>
      <c r="N351" s="4" t="s">
        <v>3057</v>
      </c>
      <c r="O351" s="4" t="s">
        <v>3057</v>
      </c>
      <c r="P351" s="4" t="s">
        <v>3057</v>
      </c>
      <c r="Q351" s="4" t="s">
        <v>3057</v>
      </c>
      <c r="R351" s="4" t="s">
        <v>3057</v>
      </c>
      <c r="S351" s="4" t="s">
        <v>3057</v>
      </c>
      <c r="T351" s="4" t="s">
        <v>3057</v>
      </c>
      <c r="U351" s="4">
        <f t="shared" si="45"/>
        <v>0</v>
      </c>
      <c r="V351" s="5">
        <f t="shared" si="46"/>
        <v>0</v>
      </c>
      <c r="W351" s="5">
        <f t="shared" si="47"/>
        <v>0</v>
      </c>
      <c r="X351" s="7">
        <f t="shared" si="48"/>
        <v>0</v>
      </c>
      <c r="Y351" s="7">
        <f t="shared" si="53"/>
        <v>1.0000000000000004</v>
      </c>
      <c r="Z351" s="7" t="e">
        <f t="shared" si="49"/>
        <v>#DIV/0!</v>
      </c>
      <c r="AA351" t="str">
        <f t="shared" si="50"/>
        <v>C</v>
      </c>
      <c r="AB351" t="e">
        <f t="shared" si="51"/>
        <v>#DIV/0!</v>
      </c>
      <c r="AC351" t="e">
        <f t="shared" si="52"/>
        <v>#DIV/0!</v>
      </c>
    </row>
    <row r="352" spans="1:29" x14ac:dyDescent="0.25">
      <c r="A352" t="s">
        <v>2897</v>
      </c>
      <c r="B352" t="s">
        <v>2898</v>
      </c>
      <c r="C352" s="4" t="s">
        <v>3057</v>
      </c>
      <c r="D352" s="4" t="s">
        <v>3057</v>
      </c>
      <c r="E352" s="4" t="s">
        <v>3057</v>
      </c>
      <c r="F352" s="4" t="s">
        <v>3057</v>
      </c>
      <c r="G352" s="4" t="s">
        <v>3057</v>
      </c>
      <c r="H352" s="4" t="s">
        <v>3057</v>
      </c>
      <c r="I352" s="4" t="s">
        <v>3057</v>
      </c>
      <c r="J352" s="4" t="s">
        <v>3057</v>
      </c>
      <c r="K352" s="4" t="s">
        <v>3057</v>
      </c>
      <c r="L352" s="4" t="s">
        <v>3057</v>
      </c>
      <c r="M352" s="4">
        <v>0</v>
      </c>
      <c r="N352" s="4" t="s">
        <v>3057</v>
      </c>
      <c r="O352" s="4" t="s">
        <v>3057</v>
      </c>
      <c r="P352" s="4" t="s">
        <v>3057</v>
      </c>
      <c r="Q352" s="4" t="s">
        <v>3057</v>
      </c>
      <c r="R352" s="4" t="s">
        <v>3057</v>
      </c>
      <c r="S352" s="4" t="s">
        <v>3057</v>
      </c>
      <c r="T352" s="4" t="s">
        <v>3057</v>
      </c>
      <c r="U352" s="4">
        <f t="shared" si="45"/>
        <v>0</v>
      </c>
      <c r="V352" s="5">
        <f t="shared" si="46"/>
        <v>0</v>
      </c>
      <c r="W352" s="5">
        <f t="shared" si="47"/>
        <v>0</v>
      </c>
      <c r="X352" s="7">
        <f t="shared" si="48"/>
        <v>0</v>
      </c>
      <c r="Y352" s="7">
        <f t="shared" si="53"/>
        <v>1.0000000000000004</v>
      </c>
      <c r="Z352" s="7" t="e">
        <f t="shared" si="49"/>
        <v>#DIV/0!</v>
      </c>
      <c r="AA352" t="str">
        <f t="shared" si="50"/>
        <v>C</v>
      </c>
      <c r="AB352" t="e">
        <f t="shared" si="51"/>
        <v>#DIV/0!</v>
      </c>
      <c r="AC352" t="e">
        <f t="shared" si="52"/>
        <v>#DIV/0!</v>
      </c>
    </row>
    <row r="353" spans="1:29" x14ac:dyDescent="0.25">
      <c r="A353" t="s">
        <v>2900</v>
      </c>
      <c r="B353" t="s">
        <v>2901</v>
      </c>
      <c r="C353" s="4" t="s">
        <v>3057</v>
      </c>
      <c r="D353" s="4" t="s">
        <v>3057</v>
      </c>
      <c r="E353" s="4" t="s">
        <v>3057</v>
      </c>
      <c r="F353" s="4" t="s">
        <v>3057</v>
      </c>
      <c r="G353" s="4" t="s">
        <v>3057</v>
      </c>
      <c r="H353" s="4" t="s">
        <v>3057</v>
      </c>
      <c r="I353" s="4" t="s">
        <v>3057</v>
      </c>
      <c r="J353" s="4" t="s">
        <v>3057</v>
      </c>
      <c r="K353" s="4" t="s">
        <v>3057</v>
      </c>
      <c r="L353" s="4" t="s">
        <v>3057</v>
      </c>
      <c r="M353" s="4">
        <v>0</v>
      </c>
      <c r="N353" s="4" t="s">
        <v>3057</v>
      </c>
      <c r="O353" s="4" t="s">
        <v>3057</v>
      </c>
      <c r="P353" s="4" t="s">
        <v>3057</v>
      </c>
      <c r="Q353" s="4" t="s">
        <v>3057</v>
      </c>
      <c r="R353" s="4" t="s">
        <v>3057</v>
      </c>
      <c r="S353" s="4" t="s">
        <v>3057</v>
      </c>
      <c r="T353" s="4" t="s">
        <v>3057</v>
      </c>
      <c r="U353" s="4">
        <f t="shared" si="45"/>
        <v>0</v>
      </c>
      <c r="V353" s="5">
        <f t="shared" si="46"/>
        <v>0</v>
      </c>
      <c r="W353" s="5">
        <f t="shared" si="47"/>
        <v>0</v>
      </c>
      <c r="X353" s="7">
        <f t="shared" si="48"/>
        <v>0</v>
      </c>
      <c r="Y353" s="7">
        <f t="shared" si="53"/>
        <v>1.0000000000000004</v>
      </c>
      <c r="Z353" s="7" t="e">
        <f t="shared" si="49"/>
        <v>#DIV/0!</v>
      </c>
      <c r="AA353" t="str">
        <f t="shared" si="50"/>
        <v>C</v>
      </c>
      <c r="AB353" t="e">
        <f t="shared" si="51"/>
        <v>#DIV/0!</v>
      </c>
      <c r="AC353" t="e">
        <f t="shared" si="52"/>
        <v>#DIV/0!</v>
      </c>
    </row>
    <row r="354" spans="1:29" x14ac:dyDescent="0.25">
      <c r="A354" t="s">
        <v>2903</v>
      </c>
      <c r="B354" t="s">
        <v>2904</v>
      </c>
      <c r="C354" s="4" t="s">
        <v>3057</v>
      </c>
      <c r="D354" s="4" t="s">
        <v>3057</v>
      </c>
      <c r="E354" s="4" t="s">
        <v>3057</v>
      </c>
      <c r="F354" s="4" t="s">
        <v>3057</v>
      </c>
      <c r="G354" s="4" t="s">
        <v>3057</v>
      </c>
      <c r="H354" s="4" t="s">
        <v>3057</v>
      </c>
      <c r="I354" s="4" t="s">
        <v>3057</v>
      </c>
      <c r="J354" s="4" t="s">
        <v>3057</v>
      </c>
      <c r="K354" s="4" t="s">
        <v>3057</v>
      </c>
      <c r="L354" s="4" t="s">
        <v>3057</v>
      </c>
      <c r="M354" s="4">
        <v>0</v>
      </c>
      <c r="N354" s="4" t="s">
        <v>3057</v>
      </c>
      <c r="O354" s="4" t="s">
        <v>3057</v>
      </c>
      <c r="P354" s="4" t="s">
        <v>3057</v>
      </c>
      <c r="Q354" s="4" t="s">
        <v>3057</v>
      </c>
      <c r="R354" s="4" t="s">
        <v>3057</v>
      </c>
      <c r="S354" s="4" t="s">
        <v>3057</v>
      </c>
      <c r="T354" s="4" t="s">
        <v>3057</v>
      </c>
      <c r="U354" s="4">
        <f t="shared" si="45"/>
        <v>0</v>
      </c>
      <c r="V354" s="5">
        <f t="shared" si="46"/>
        <v>0</v>
      </c>
      <c r="W354" s="5">
        <f t="shared" si="47"/>
        <v>0</v>
      </c>
      <c r="X354" s="7">
        <f t="shared" si="48"/>
        <v>0</v>
      </c>
      <c r="Y354" s="7">
        <f t="shared" si="53"/>
        <v>1.0000000000000004</v>
      </c>
      <c r="Z354" s="7" t="e">
        <f t="shared" si="49"/>
        <v>#DIV/0!</v>
      </c>
      <c r="AA354" t="str">
        <f t="shared" si="50"/>
        <v>C</v>
      </c>
      <c r="AB354" t="e">
        <f t="shared" si="51"/>
        <v>#DIV/0!</v>
      </c>
      <c r="AC354" t="e">
        <f t="shared" si="52"/>
        <v>#DIV/0!</v>
      </c>
    </row>
    <row r="355" spans="1:29" x14ac:dyDescent="0.25">
      <c r="A355" t="s">
        <v>2909</v>
      </c>
      <c r="B355" t="s">
        <v>2910</v>
      </c>
      <c r="C355" s="4" t="s">
        <v>3057</v>
      </c>
      <c r="D355" s="4" t="s">
        <v>3057</v>
      </c>
      <c r="E355" s="4" t="s">
        <v>3057</v>
      </c>
      <c r="F355" s="4" t="s">
        <v>3057</v>
      </c>
      <c r="G355" s="4" t="s">
        <v>3057</v>
      </c>
      <c r="H355" s="4" t="s">
        <v>3057</v>
      </c>
      <c r="I355" s="4" t="s">
        <v>3057</v>
      </c>
      <c r="J355" s="4" t="s">
        <v>3057</v>
      </c>
      <c r="K355" s="4" t="s">
        <v>3057</v>
      </c>
      <c r="L355" s="4" t="s">
        <v>3057</v>
      </c>
      <c r="M355" s="4">
        <v>0</v>
      </c>
      <c r="N355" s="4" t="s">
        <v>3057</v>
      </c>
      <c r="O355" s="4" t="s">
        <v>3057</v>
      </c>
      <c r="P355" s="4" t="s">
        <v>3057</v>
      </c>
      <c r="Q355" s="4" t="s">
        <v>3057</v>
      </c>
      <c r="R355" s="4" t="s">
        <v>3057</v>
      </c>
      <c r="S355" s="4" t="s">
        <v>3057</v>
      </c>
      <c r="T355" s="4" t="s">
        <v>3057</v>
      </c>
      <c r="U355" s="4">
        <f t="shared" si="45"/>
        <v>0</v>
      </c>
      <c r="V355" s="5">
        <f t="shared" si="46"/>
        <v>0</v>
      </c>
      <c r="W355" s="5">
        <f t="shared" si="47"/>
        <v>0</v>
      </c>
      <c r="X355" s="7">
        <f t="shared" si="48"/>
        <v>0</v>
      </c>
      <c r="Y355" s="7">
        <f t="shared" si="53"/>
        <v>1.0000000000000004</v>
      </c>
      <c r="Z355" s="7" t="e">
        <f t="shared" si="49"/>
        <v>#DIV/0!</v>
      </c>
      <c r="AA355" t="str">
        <f t="shared" si="50"/>
        <v>C</v>
      </c>
      <c r="AB355" t="e">
        <f t="shared" si="51"/>
        <v>#DIV/0!</v>
      </c>
      <c r="AC355" t="e">
        <f t="shared" si="52"/>
        <v>#DIV/0!</v>
      </c>
    </row>
    <row r="356" spans="1:29" x14ac:dyDescent="0.25">
      <c r="A356" t="s">
        <v>2919</v>
      </c>
      <c r="B356" t="s">
        <v>2920</v>
      </c>
      <c r="C356" s="4" t="s">
        <v>3057</v>
      </c>
      <c r="D356" s="4" t="s">
        <v>3057</v>
      </c>
      <c r="E356" s="4" t="s">
        <v>3057</v>
      </c>
      <c r="F356" s="4" t="s">
        <v>3057</v>
      </c>
      <c r="G356" s="4" t="s">
        <v>3057</v>
      </c>
      <c r="H356" s="4" t="s">
        <v>3057</v>
      </c>
      <c r="I356" s="4" t="s">
        <v>3057</v>
      </c>
      <c r="J356" s="4" t="s">
        <v>3057</v>
      </c>
      <c r="K356" s="4" t="s">
        <v>3057</v>
      </c>
      <c r="L356" s="4" t="s">
        <v>3057</v>
      </c>
      <c r="M356" s="4">
        <v>0</v>
      </c>
      <c r="N356" s="4" t="s">
        <v>3057</v>
      </c>
      <c r="O356" s="4" t="s">
        <v>3057</v>
      </c>
      <c r="P356" s="4" t="s">
        <v>3057</v>
      </c>
      <c r="Q356" s="4" t="s">
        <v>3057</v>
      </c>
      <c r="R356" s="4" t="s">
        <v>3057</v>
      </c>
      <c r="S356" s="4" t="s">
        <v>3057</v>
      </c>
      <c r="T356" s="4" t="s">
        <v>3057</v>
      </c>
      <c r="U356" s="4">
        <f t="shared" si="45"/>
        <v>0</v>
      </c>
      <c r="V356" s="5">
        <f t="shared" si="46"/>
        <v>0</v>
      </c>
      <c r="W356" s="5">
        <f t="shared" si="47"/>
        <v>0</v>
      </c>
      <c r="X356" s="7">
        <f t="shared" si="48"/>
        <v>0</v>
      </c>
      <c r="Y356" s="7">
        <f t="shared" si="53"/>
        <v>1.0000000000000004</v>
      </c>
      <c r="Z356" s="7" t="e">
        <f t="shared" si="49"/>
        <v>#DIV/0!</v>
      </c>
      <c r="AA356" t="str">
        <f t="shared" si="50"/>
        <v>C</v>
      </c>
      <c r="AB356" t="e">
        <f t="shared" si="51"/>
        <v>#DIV/0!</v>
      </c>
      <c r="AC356" t="e">
        <f t="shared" si="52"/>
        <v>#DIV/0!</v>
      </c>
    </row>
    <row r="357" spans="1:29" x14ac:dyDescent="0.25">
      <c r="A357" t="s">
        <v>2923</v>
      </c>
      <c r="B357" t="s">
        <v>2924</v>
      </c>
      <c r="C357" s="4" t="s">
        <v>3057</v>
      </c>
      <c r="D357" s="4" t="s">
        <v>3057</v>
      </c>
      <c r="E357" s="4" t="s">
        <v>3057</v>
      </c>
      <c r="F357" s="4" t="s">
        <v>3057</v>
      </c>
      <c r="G357" s="4" t="s">
        <v>3057</v>
      </c>
      <c r="H357" s="4" t="s">
        <v>3057</v>
      </c>
      <c r="I357" s="4" t="s">
        <v>3057</v>
      </c>
      <c r="J357" s="4" t="s">
        <v>3057</v>
      </c>
      <c r="K357" s="4" t="s">
        <v>3057</v>
      </c>
      <c r="L357" s="4" t="s">
        <v>3057</v>
      </c>
      <c r="M357" s="4">
        <v>0</v>
      </c>
      <c r="N357" s="4" t="s">
        <v>3057</v>
      </c>
      <c r="O357" s="4" t="s">
        <v>3057</v>
      </c>
      <c r="P357" s="4" t="s">
        <v>3057</v>
      </c>
      <c r="Q357" s="4" t="s">
        <v>3057</v>
      </c>
      <c r="R357" s="4" t="s">
        <v>3057</v>
      </c>
      <c r="S357" s="4" t="s">
        <v>3057</v>
      </c>
      <c r="T357" s="4" t="s">
        <v>3057</v>
      </c>
      <c r="U357" s="4">
        <f t="shared" si="45"/>
        <v>0</v>
      </c>
      <c r="V357" s="5">
        <f t="shared" si="46"/>
        <v>0</v>
      </c>
      <c r="W357" s="5">
        <f t="shared" si="47"/>
        <v>0</v>
      </c>
      <c r="X357" s="7">
        <f t="shared" si="48"/>
        <v>0</v>
      </c>
      <c r="Y357" s="7">
        <f t="shared" si="53"/>
        <v>1.0000000000000004</v>
      </c>
      <c r="Z357" s="7" t="e">
        <f t="shared" si="49"/>
        <v>#DIV/0!</v>
      </c>
      <c r="AA357" t="str">
        <f t="shared" si="50"/>
        <v>C</v>
      </c>
      <c r="AB357" t="e">
        <f t="shared" si="51"/>
        <v>#DIV/0!</v>
      </c>
      <c r="AC357" t="e">
        <f t="shared" si="52"/>
        <v>#DIV/0!</v>
      </c>
    </row>
    <row r="358" spans="1:29" x14ac:dyDescent="0.25">
      <c r="A358" t="s">
        <v>2925</v>
      </c>
      <c r="B358" t="s">
        <v>2926</v>
      </c>
      <c r="C358" s="4" t="s">
        <v>3057</v>
      </c>
      <c r="D358" s="4" t="s">
        <v>3057</v>
      </c>
      <c r="E358" s="4" t="s">
        <v>3057</v>
      </c>
      <c r="F358" s="4" t="s">
        <v>3057</v>
      </c>
      <c r="G358" s="4" t="s">
        <v>3057</v>
      </c>
      <c r="H358" s="4" t="s">
        <v>3057</v>
      </c>
      <c r="I358" s="4" t="s">
        <v>3057</v>
      </c>
      <c r="J358" s="4" t="s">
        <v>3057</v>
      </c>
      <c r="K358" s="4" t="s">
        <v>3057</v>
      </c>
      <c r="L358" s="4" t="s">
        <v>3057</v>
      </c>
      <c r="M358" s="4">
        <v>0</v>
      </c>
      <c r="N358" s="4" t="s">
        <v>3057</v>
      </c>
      <c r="O358" s="4" t="s">
        <v>3057</v>
      </c>
      <c r="P358" s="4" t="s">
        <v>3057</v>
      </c>
      <c r="Q358" s="4" t="s">
        <v>3057</v>
      </c>
      <c r="R358" s="4" t="s">
        <v>3057</v>
      </c>
      <c r="S358" s="4" t="s">
        <v>3057</v>
      </c>
      <c r="T358" s="4" t="s">
        <v>3057</v>
      </c>
      <c r="U358" s="4">
        <f t="shared" si="45"/>
        <v>0</v>
      </c>
      <c r="V358" s="5">
        <f t="shared" si="46"/>
        <v>0</v>
      </c>
      <c r="W358" s="5">
        <f t="shared" si="47"/>
        <v>0</v>
      </c>
      <c r="X358" s="7">
        <f t="shared" si="48"/>
        <v>0</v>
      </c>
      <c r="Y358" s="7">
        <f t="shared" si="53"/>
        <v>1.0000000000000004</v>
      </c>
      <c r="Z358" s="7" t="e">
        <f t="shared" si="49"/>
        <v>#DIV/0!</v>
      </c>
      <c r="AA358" t="str">
        <f t="shared" si="50"/>
        <v>C</v>
      </c>
      <c r="AB358" t="e">
        <f t="shared" si="51"/>
        <v>#DIV/0!</v>
      </c>
      <c r="AC358" t="e">
        <f t="shared" si="52"/>
        <v>#DIV/0!</v>
      </c>
    </row>
    <row r="359" spans="1:29" x14ac:dyDescent="0.25">
      <c r="A359" t="s">
        <v>2931</v>
      </c>
      <c r="B359" t="s">
        <v>2932</v>
      </c>
      <c r="C359" s="4" t="s">
        <v>3057</v>
      </c>
      <c r="D359" s="4" t="s">
        <v>3057</v>
      </c>
      <c r="E359" s="4" t="s">
        <v>3057</v>
      </c>
      <c r="F359" s="4" t="s">
        <v>3057</v>
      </c>
      <c r="G359" s="4" t="s">
        <v>3057</v>
      </c>
      <c r="H359" s="4" t="s">
        <v>3057</v>
      </c>
      <c r="I359" s="4" t="s">
        <v>3057</v>
      </c>
      <c r="J359" s="4" t="s">
        <v>3057</v>
      </c>
      <c r="K359" s="4" t="s">
        <v>3057</v>
      </c>
      <c r="L359" s="4" t="s">
        <v>3057</v>
      </c>
      <c r="M359" s="4">
        <v>0</v>
      </c>
      <c r="N359" s="4" t="s">
        <v>3057</v>
      </c>
      <c r="O359" s="4" t="s">
        <v>3057</v>
      </c>
      <c r="P359" s="4" t="s">
        <v>3057</v>
      </c>
      <c r="Q359" s="4" t="s">
        <v>3057</v>
      </c>
      <c r="R359" s="4" t="s">
        <v>3057</v>
      </c>
      <c r="S359" s="4" t="s">
        <v>3057</v>
      </c>
      <c r="T359" s="4" t="s">
        <v>3057</v>
      </c>
      <c r="U359" s="4">
        <f t="shared" si="45"/>
        <v>0</v>
      </c>
      <c r="V359" s="5">
        <f t="shared" si="46"/>
        <v>0</v>
      </c>
      <c r="W359" s="5">
        <f t="shared" si="47"/>
        <v>0</v>
      </c>
      <c r="X359" s="7">
        <f t="shared" si="48"/>
        <v>0</v>
      </c>
      <c r="Y359" s="7">
        <f t="shared" si="53"/>
        <v>1.0000000000000004</v>
      </c>
      <c r="Z359" s="7" t="e">
        <f t="shared" si="49"/>
        <v>#DIV/0!</v>
      </c>
      <c r="AA359" t="str">
        <f t="shared" si="50"/>
        <v>C</v>
      </c>
      <c r="AB359" t="e">
        <f t="shared" si="51"/>
        <v>#DIV/0!</v>
      </c>
      <c r="AC359" t="e">
        <f t="shared" si="52"/>
        <v>#DIV/0!</v>
      </c>
    </row>
    <row r="360" spans="1:29" x14ac:dyDescent="0.25">
      <c r="A360" t="s">
        <v>2933</v>
      </c>
      <c r="B360" t="s">
        <v>2934</v>
      </c>
      <c r="C360" s="4" t="s">
        <v>3057</v>
      </c>
      <c r="D360" s="4" t="s">
        <v>3057</v>
      </c>
      <c r="E360" s="4" t="s">
        <v>3057</v>
      </c>
      <c r="F360" s="4" t="s">
        <v>3057</v>
      </c>
      <c r="G360" s="4" t="s">
        <v>3057</v>
      </c>
      <c r="H360" s="4" t="s">
        <v>3057</v>
      </c>
      <c r="I360" s="4" t="s">
        <v>3057</v>
      </c>
      <c r="J360" s="4" t="s">
        <v>3057</v>
      </c>
      <c r="K360" s="4" t="s">
        <v>3057</v>
      </c>
      <c r="L360" s="4" t="s">
        <v>3057</v>
      </c>
      <c r="M360" s="4">
        <v>0</v>
      </c>
      <c r="N360" s="4" t="s">
        <v>3057</v>
      </c>
      <c r="O360" s="4" t="s">
        <v>3057</v>
      </c>
      <c r="P360" s="4" t="s">
        <v>3057</v>
      </c>
      <c r="Q360" s="4" t="s">
        <v>3057</v>
      </c>
      <c r="R360" s="4" t="s">
        <v>3057</v>
      </c>
      <c r="S360" s="4" t="s">
        <v>3057</v>
      </c>
      <c r="T360" s="4" t="s">
        <v>3057</v>
      </c>
      <c r="U360" s="4">
        <f t="shared" si="45"/>
        <v>0</v>
      </c>
      <c r="V360" s="5">
        <f t="shared" si="46"/>
        <v>0</v>
      </c>
      <c r="W360" s="5">
        <f t="shared" si="47"/>
        <v>0</v>
      </c>
      <c r="X360" s="7">
        <f t="shared" si="48"/>
        <v>0</v>
      </c>
      <c r="Y360" s="7">
        <f t="shared" si="53"/>
        <v>1.0000000000000004</v>
      </c>
      <c r="Z360" s="7" t="e">
        <f t="shared" si="49"/>
        <v>#DIV/0!</v>
      </c>
      <c r="AA360" t="str">
        <f t="shared" si="50"/>
        <v>C</v>
      </c>
      <c r="AB360" t="e">
        <f t="shared" si="51"/>
        <v>#DIV/0!</v>
      </c>
      <c r="AC360" t="e">
        <f t="shared" si="52"/>
        <v>#DIV/0!</v>
      </c>
    </row>
    <row r="361" spans="1:29" x14ac:dyDescent="0.25">
      <c r="A361" t="s">
        <v>2937</v>
      </c>
      <c r="B361" t="s">
        <v>2938</v>
      </c>
      <c r="C361" s="4" t="s">
        <v>3057</v>
      </c>
      <c r="D361" s="4" t="s">
        <v>3057</v>
      </c>
      <c r="E361" s="4" t="s">
        <v>3057</v>
      </c>
      <c r="F361" s="4" t="s">
        <v>3057</v>
      </c>
      <c r="G361" s="4" t="s">
        <v>3057</v>
      </c>
      <c r="H361" s="4" t="s">
        <v>3057</v>
      </c>
      <c r="I361" s="4" t="s">
        <v>3057</v>
      </c>
      <c r="J361" s="4" t="s">
        <v>3057</v>
      </c>
      <c r="K361" s="4" t="s">
        <v>3057</v>
      </c>
      <c r="L361" s="4" t="s">
        <v>3057</v>
      </c>
      <c r="M361" s="4">
        <v>0</v>
      </c>
      <c r="N361" s="4" t="s">
        <v>3057</v>
      </c>
      <c r="O361" s="4" t="s">
        <v>3057</v>
      </c>
      <c r="P361" s="4" t="s">
        <v>3057</v>
      </c>
      <c r="Q361" s="4" t="s">
        <v>3057</v>
      </c>
      <c r="R361" s="4" t="s">
        <v>3057</v>
      </c>
      <c r="S361" s="4" t="s">
        <v>3057</v>
      </c>
      <c r="T361" s="4" t="s">
        <v>3057</v>
      </c>
      <c r="U361" s="4">
        <f t="shared" si="45"/>
        <v>0</v>
      </c>
      <c r="V361" s="5">
        <f t="shared" si="46"/>
        <v>0</v>
      </c>
      <c r="W361" s="5">
        <f t="shared" si="47"/>
        <v>0</v>
      </c>
      <c r="X361" s="7">
        <f t="shared" si="48"/>
        <v>0</v>
      </c>
      <c r="Y361" s="7">
        <f t="shared" si="53"/>
        <v>1.0000000000000004</v>
      </c>
      <c r="Z361" s="7" t="e">
        <f t="shared" si="49"/>
        <v>#DIV/0!</v>
      </c>
      <c r="AA361" t="str">
        <f t="shared" si="50"/>
        <v>C</v>
      </c>
      <c r="AB361" t="e">
        <f t="shared" si="51"/>
        <v>#DIV/0!</v>
      </c>
      <c r="AC361" t="e">
        <f t="shared" si="52"/>
        <v>#DIV/0!</v>
      </c>
    </row>
    <row r="362" spans="1:29" x14ac:dyDescent="0.25">
      <c r="A362" t="s">
        <v>2939</v>
      </c>
      <c r="B362" t="s">
        <v>2940</v>
      </c>
      <c r="C362" s="4" t="s">
        <v>3057</v>
      </c>
      <c r="D362" s="4" t="s">
        <v>3057</v>
      </c>
      <c r="E362" s="4" t="s">
        <v>3057</v>
      </c>
      <c r="F362" s="4" t="s">
        <v>3057</v>
      </c>
      <c r="G362" s="4" t="s">
        <v>3057</v>
      </c>
      <c r="H362" s="4" t="s">
        <v>3057</v>
      </c>
      <c r="I362" s="4" t="s">
        <v>3057</v>
      </c>
      <c r="J362" s="4" t="s">
        <v>3057</v>
      </c>
      <c r="K362" s="4" t="s">
        <v>3057</v>
      </c>
      <c r="L362" s="4" t="s">
        <v>3057</v>
      </c>
      <c r="M362" s="4">
        <v>0</v>
      </c>
      <c r="N362" s="4" t="s">
        <v>3057</v>
      </c>
      <c r="O362" s="4" t="s">
        <v>3057</v>
      </c>
      <c r="P362" s="4" t="s">
        <v>3057</v>
      </c>
      <c r="Q362" s="4" t="s">
        <v>3057</v>
      </c>
      <c r="R362" s="4" t="s">
        <v>3057</v>
      </c>
      <c r="S362" s="4" t="s">
        <v>3057</v>
      </c>
      <c r="T362" s="4" t="s">
        <v>3057</v>
      </c>
      <c r="U362" s="4">
        <f t="shared" si="45"/>
        <v>0</v>
      </c>
      <c r="V362" s="5">
        <f t="shared" si="46"/>
        <v>0</v>
      </c>
      <c r="W362" s="5">
        <f t="shared" si="47"/>
        <v>0</v>
      </c>
      <c r="X362" s="7">
        <f t="shared" si="48"/>
        <v>0</v>
      </c>
      <c r="Y362" s="7">
        <f t="shared" si="53"/>
        <v>1.0000000000000004</v>
      </c>
      <c r="Z362" s="7" t="e">
        <f t="shared" si="49"/>
        <v>#DIV/0!</v>
      </c>
      <c r="AA362" t="str">
        <f t="shared" si="50"/>
        <v>C</v>
      </c>
      <c r="AB362" t="e">
        <f t="shared" si="51"/>
        <v>#DIV/0!</v>
      </c>
      <c r="AC362" t="e">
        <f t="shared" si="52"/>
        <v>#DIV/0!</v>
      </c>
    </row>
    <row r="363" spans="1:29" x14ac:dyDescent="0.25">
      <c r="A363" t="s">
        <v>2941</v>
      </c>
      <c r="B363" t="s">
        <v>2942</v>
      </c>
      <c r="C363" s="4" t="s">
        <v>3057</v>
      </c>
      <c r="D363" s="4" t="s">
        <v>3057</v>
      </c>
      <c r="E363" s="4" t="s">
        <v>3057</v>
      </c>
      <c r="F363" s="4" t="s">
        <v>3057</v>
      </c>
      <c r="G363" s="4" t="s">
        <v>3057</v>
      </c>
      <c r="H363" s="4" t="s">
        <v>3057</v>
      </c>
      <c r="I363" s="4" t="s">
        <v>3057</v>
      </c>
      <c r="J363" s="4" t="s">
        <v>3057</v>
      </c>
      <c r="K363" s="4" t="s">
        <v>3057</v>
      </c>
      <c r="L363" s="4" t="s">
        <v>3057</v>
      </c>
      <c r="M363" s="4">
        <v>0</v>
      </c>
      <c r="N363" s="4" t="s">
        <v>3057</v>
      </c>
      <c r="O363" s="4" t="s">
        <v>3057</v>
      </c>
      <c r="P363" s="4" t="s">
        <v>3057</v>
      </c>
      <c r="Q363" s="4" t="s">
        <v>3057</v>
      </c>
      <c r="R363" s="4" t="s">
        <v>3057</v>
      </c>
      <c r="S363" s="4" t="s">
        <v>3057</v>
      </c>
      <c r="T363" s="4" t="s">
        <v>3057</v>
      </c>
      <c r="U363" s="4">
        <f t="shared" si="45"/>
        <v>0</v>
      </c>
      <c r="V363" s="5">
        <f t="shared" si="46"/>
        <v>0</v>
      </c>
      <c r="W363" s="5">
        <f t="shared" si="47"/>
        <v>0</v>
      </c>
      <c r="X363" s="7">
        <f t="shared" si="48"/>
        <v>0</v>
      </c>
      <c r="Y363" s="7">
        <f t="shared" si="53"/>
        <v>1.0000000000000004</v>
      </c>
      <c r="Z363" s="7" t="e">
        <f t="shared" si="49"/>
        <v>#DIV/0!</v>
      </c>
      <c r="AA363" t="str">
        <f t="shared" si="50"/>
        <v>C</v>
      </c>
      <c r="AB363" t="e">
        <f t="shared" si="51"/>
        <v>#DIV/0!</v>
      </c>
      <c r="AC363" t="e">
        <f t="shared" si="52"/>
        <v>#DIV/0!</v>
      </c>
    </row>
    <row r="364" spans="1:29" x14ac:dyDescent="0.25">
      <c r="B364" t="s">
        <v>2943</v>
      </c>
      <c r="C364" s="4" t="s">
        <v>3057</v>
      </c>
      <c r="D364" s="4" t="s">
        <v>3057</v>
      </c>
      <c r="E364" s="4">
        <v>0</v>
      </c>
      <c r="F364" s="4" t="s">
        <v>3057</v>
      </c>
      <c r="G364" s="4" t="s">
        <v>3057</v>
      </c>
      <c r="H364" s="4">
        <v>0</v>
      </c>
      <c r="I364" s="4">
        <v>0</v>
      </c>
      <c r="J364" s="4">
        <v>0</v>
      </c>
      <c r="K364" s="4">
        <v>0</v>
      </c>
      <c r="L364" s="4">
        <v>0</v>
      </c>
      <c r="M364" s="4">
        <v>0</v>
      </c>
      <c r="N364" s="4">
        <v>0</v>
      </c>
      <c r="O364" s="4">
        <v>0</v>
      </c>
      <c r="P364" s="4">
        <v>0</v>
      </c>
      <c r="Q364" s="4">
        <v>0</v>
      </c>
      <c r="R364" s="4">
        <v>0</v>
      </c>
      <c r="S364" s="4">
        <v>0</v>
      </c>
      <c r="T364" s="4">
        <v>0</v>
      </c>
      <c r="U364" s="4">
        <f t="shared" si="45"/>
        <v>0</v>
      </c>
      <c r="V364" s="5">
        <f t="shared" si="46"/>
        <v>0</v>
      </c>
      <c r="W364" s="5">
        <f t="shared" si="47"/>
        <v>0</v>
      </c>
      <c r="X364" s="7">
        <f t="shared" si="48"/>
        <v>0</v>
      </c>
      <c r="Y364" s="7">
        <f t="shared" si="53"/>
        <v>1.0000000000000004</v>
      </c>
      <c r="Z364" s="7" t="e">
        <f t="shared" si="49"/>
        <v>#DIV/0!</v>
      </c>
      <c r="AA364" t="str">
        <f t="shared" si="50"/>
        <v>C</v>
      </c>
      <c r="AB364" t="e">
        <f t="shared" si="51"/>
        <v>#DIV/0!</v>
      </c>
      <c r="AC364" t="e">
        <f t="shared" si="52"/>
        <v>#DIV/0!</v>
      </c>
    </row>
    <row r="365" spans="1:29" x14ac:dyDescent="0.25">
      <c r="B365" t="s">
        <v>2944</v>
      </c>
      <c r="C365" s="4" t="s">
        <v>3057</v>
      </c>
      <c r="D365" s="4" t="s">
        <v>3057</v>
      </c>
      <c r="E365" s="4" t="s">
        <v>3057</v>
      </c>
      <c r="F365" s="4" t="s">
        <v>3057</v>
      </c>
      <c r="G365" s="4" t="s">
        <v>3057</v>
      </c>
      <c r="H365" s="4">
        <v>0</v>
      </c>
      <c r="I365" s="4">
        <v>0</v>
      </c>
      <c r="J365" s="4">
        <v>0</v>
      </c>
      <c r="K365" s="4">
        <v>0</v>
      </c>
      <c r="L365" s="4">
        <v>0</v>
      </c>
      <c r="M365" s="4">
        <v>0</v>
      </c>
      <c r="N365" s="4">
        <v>0</v>
      </c>
      <c r="O365" s="4">
        <v>0</v>
      </c>
      <c r="P365" s="4">
        <v>0</v>
      </c>
      <c r="Q365" s="4">
        <v>0</v>
      </c>
      <c r="R365" s="4">
        <v>0</v>
      </c>
      <c r="S365" s="4">
        <v>0</v>
      </c>
      <c r="T365" s="4">
        <v>0</v>
      </c>
      <c r="U365" s="4">
        <f t="shared" si="45"/>
        <v>0</v>
      </c>
      <c r="V365" s="5">
        <f t="shared" si="46"/>
        <v>0</v>
      </c>
      <c r="W365" s="5">
        <f t="shared" si="47"/>
        <v>0</v>
      </c>
      <c r="X365" s="7">
        <f t="shared" si="48"/>
        <v>0</v>
      </c>
      <c r="Y365" s="7">
        <f t="shared" si="53"/>
        <v>1.0000000000000004</v>
      </c>
      <c r="Z365" s="7" t="e">
        <f t="shared" si="49"/>
        <v>#DIV/0!</v>
      </c>
      <c r="AA365" t="str">
        <f t="shared" si="50"/>
        <v>C</v>
      </c>
      <c r="AB365" t="e">
        <f t="shared" si="51"/>
        <v>#DIV/0!</v>
      </c>
      <c r="AC365" t="e">
        <f t="shared" si="52"/>
        <v>#DIV/0!</v>
      </c>
    </row>
    <row r="366" spans="1:29" x14ac:dyDescent="0.25">
      <c r="A366" t="s">
        <v>2945</v>
      </c>
      <c r="B366" t="s">
        <v>2946</v>
      </c>
      <c r="C366" s="4" t="s">
        <v>3057</v>
      </c>
      <c r="D366" s="4" t="s">
        <v>3057</v>
      </c>
      <c r="E366" s="4" t="s">
        <v>3057</v>
      </c>
      <c r="F366" s="4" t="s">
        <v>3057</v>
      </c>
      <c r="G366" s="4" t="s">
        <v>3057</v>
      </c>
      <c r="H366" s="4" t="s">
        <v>3057</v>
      </c>
      <c r="I366" s="4" t="s">
        <v>3057</v>
      </c>
      <c r="J366" s="4" t="s">
        <v>3057</v>
      </c>
      <c r="K366" s="4" t="s">
        <v>3057</v>
      </c>
      <c r="L366" s="4" t="s">
        <v>3057</v>
      </c>
      <c r="M366" s="4">
        <v>0</v>
      </c>
      <c r="N366" s="4" t="s">
        <v>3057</v>
      </c>
      <c r="O366" s="4" t="s">
        <v>3057</v>
      </c>
      <c r="P366" s="4" t="s">
        <v>3057</v>
      </c>
      <c r="Q366" s="4" t="s">
        <v>3057</v>
      </c>
      <c r="R366" s="4" t="s">
        <v>3057</v>
      </c>
      <c r="S366" s="4" t="s">
        <v>3057</v>
      </c>
      <c r="T366" s="4" t="s">
        <v>3057</v>
      </c>
      <c r="U366" s="4">
        <f t="shared" si="45"/>
        <v>0</v>
      </c>
      <c r="V366" s="5">
        <f t="shared" si="46"/>
        <v>0</v>
      </c>
      <c r="W366" s="5">
        <f t="shared" si="47"/>
        <v>0</v>
      </c>
      <c r="X366" s="7">
        <f t="shared" si="48"/>
        <v>0</v>
      </c>
      <c r="Y366" s="7">
        <f t="shared" si="53"/>
        <v>1.0000000000000004</v>
      </c>
      <c r="Z366" s="7" t="e">
        <f t="shared" si="49"/>
        <v>#DIV/0!</v>
      </c>
      <c r="AA366" t="str">
        <f t="shared" si="50"/>
        <v>C</v>
      </c>
      <c r="AB366" t="e">
        <f t="shared" si="51"/>
        <v>#DIV/0!</v>
      </c>
      <c r="AC366" t="e">
        <f t="shared" si="52"/>
        <v>#DIV/0!</v>
      </c>
    </row>
    <row r="367" spans="1:29" x14ac:dyDescent="0.25">
      <c r="A367" t="s">
        <v>2952</v>
      </c>
      <c r="B367" t="s">
        <v>2953</v>
      </c>
      <c r="C367" s="4" t="s">
        <v>3057</v>
      </c>
      <c r="D367" s="4" t="s">
        <v>3057</v>
      </c>
      <c r="E367" s="4" t="s">
        <v>3057</v>
      </c>
      <c r="F367" s="4" t="s">
        <v>3057</v>
      </c>
      <c r="G367" s="4" t="s">
        <v>3057</v>
      </c>
      <c r="H367" s="4" t="s">
        <v>3057</v>
      </c>
      <c r="I367" s="4" t="s">
        <v>3057</v>
      </c>
      <c r="J367" s="4" t="s">
        <v>3057</v>
      </c>
      <c r="K367" s="4" t="s">
        <v>3057</v>
      </c>
      <c r="L367" s="4" t="s">
        <v>3057</v>
      </c>
      <c r="M367" s="4">
        <v>0</v>
      </c>
      <c r="N367" s="4" t="s">
        <v>3057</v>
      </c>
      <c r="O367" s="4" t="s">
        <v>3057</v>
      </c>
      <c r="P367" s="4" t="s">
        <v>3057</v>
      </c>
      <c r="Q367" s="4" t="s">
        <v>3057</v>
      </c>
      <c r="R367" s="4" t="s">
        <v>3057</v>
      </c>
      <c r="S367" s="4" t="s">
        <v>3057</v>
      </c>
      <c r="T367" s="4" t="s">
        <v>3057</v>
      </c>
      <c r="U367" s="4">
        <f t="shared" si="45"/>
        <v>0</v>
      </c>
      <c r="V367" s="5">
        <f t="shared" si="46"/>
        <v>0</v>
      </c>
      <c r="W367" s="5">
        <f t="shared" si="47"/>
        <v>0</v>
      </c>
      <c r="X367" s="7">
        <f t="shared" si="48"/>
        <v>0</v>
      </c>
      <c r="Y367" s="7">
        <f t="shared" si="53"/>
        <v>1.0000000000000004</v>
      </c>
      <c r="Z367" s="7" t="e">
        <f t="shared" si="49"/>
        <v>#DIV/0!</v>
      </c>
      <c r="AA367" t="str">
        <f t="shared" si="50"/>
        <v>C</v>
      </c>
      <c r="AB367" t="e">
        <f t="shared" si="51"/>
        <v>#DIV/0!</v>
      </c>
      <c r="AC367" t="e">
        <f t="shared" si="52"/>
        <v>#DIV/0!</v>
      </c>
    </row>
    <row r="368" spans="1:29" x14ac:dyDescent="0.25">
      <c r="A368" t="s">
        <v>2954</v>
      </c>
      <c r="B368" t="s">
        <v>2955</v>
      </c>
      <c r="C368" s="4" t="s">
        <v>3057</v>
      </c>
      <c r="D368" s="4" t="s">
        <v>3057</v>
      </c>
      <c r="E368" s="4" t="s">
        <v>3057</v>
      </c>
      <c r="F368" s="4" t="s">
        <v>3057</v>
      </c>
      <c r="G368" s="4" t="s">
        <v>3057</v>
      </c>
      <c r="H368" s="4" t="s">
        <v>3057</v>
      </c>
      <c r="I368" s="4" t="s">
        <v>3057</v>
      </c>
      <c r="J368" s="4" t="s">
        <v>3057</v>
      </c>
      <c r="K368" s="4" t="s">
        <v>3057</v>
      </c>
      <c r="L368" s="4" t="s">
        <v>3057</v>
      </c>
      <c r="M368" s="4">
        <v>0</v>
      </c>
      <c r="N368" s="4" t="s">
        <v>3057</v>
      </c>
      <c r="O368" s="4" t="s">
        <v>3057</v>
      </c>
      <c r="P368" s="4" t="s">
        <v>3057</v>
      </c>
      <c r="Q368" s="4" t="s">
        <v>3057</v>
      </c>
      <c r="R368" s="4" t="s">
        <v>3057</v>
      </c>
      <c r="S368" s="4" t="s">
        <v>3057</v>
      </c>
      <c r="T368" s="4" t="s">
        <v>3057</v>
      </c>
      <c r="U368" s="4">
        <f t="shared" si="45"/>
        <v>0</v>
      </c>
      <c r="V368" s="5">
        <f t="shared" si="46"/>
        <v>0</v>
      </c>
      <c r="W368" s="5">
        <f t="shared" si="47"/>
        <v>0</v>
      </c>
      <c r="X368" s="7">
        <f t="shared" si="48"/>
        <v>0</v>
      </c>
      <c r="Y368" s="7">
        <f t="shared" si="53"/>
        <v>1.0000000000000004</v>
      </c>
      <c r="Z368" s="7" t="e">
        <f t="shared" si="49"/>
        <v>#DIV/0!</v>
      </c>
      <c r="AA368" t="str">
        <f t="shared" si="50"/>
        <v>C</v>
      </c>
      <c r="AB368" t="e">
        <f t="shared" si="51"/>
        <v>#DIV/0!</v>
      </c>
      <c r="AC368" t="e">
        <f t="shared" si="52"/>
        <v>#DIV/0!</v>
      </c>
    </row>
    <row r="369" spans="1:29" x14ac:dyDescent="0.25">
      <c r="A369" t="s">
        <v>2957</v>
      </c>
      <c r="B369" t="s">
        <v>2958</v>
      </c>
      <c r="C369" s="4" t="s">
        <v>3057</v>
      </c>
      <c r="D369" s="4" t="s">
        <v>3057</v>
      </c>
      <c r="E369" s="4" t="s">
        <v>3057</v>
      </c>
      <c r="F369" s="4" t="s">
        <v>3057</v>
      </c>
      <c r="G369" s="4" t="s">
        <v>3057</v>
      </c>
      <c r="H369" s="4" t="s">
        <v>3057</v>
      </c>
      <c r="I369" s="4" t="s">
        <v>3057</v>
      </c>
      <c r="J369" s="4" t="s">
        <v>3057</v>
      </c>
      <c r="K369" s="4" t="s">
        <v>3057</v>
      </c>
      <c r="L369" s="4" t="s">
        <v>3057</v>
      </c>
      <c r="M369" s="4">
        <v>0</v>
      </c>
      <c r="N369" s="4" t="s">
        <v>3057</v>
      </c>
      <c r="O369" s="4" t="s">
        <v>3057</v>
      </c>
      <c r="P369" s="4" t="s">
        <v>3057</v>
      </c>
      <c r="Q369" s="4" t="s">
        <v>3057</v>
      </c>
      <c r="R369" s="4" t="s">
        <v>3057</v>
      </c>
      <c r="S369" s="4" t="s">
        <v>3057</v>
      </c>
      <c r="T369" s="4" t="s">
        <v>3057</v>
      </c>
      <c r="U369" s="4">
        <f t="shared" si="45"/>
        <v>0</v>
      </c>
      <c r="V369" s="5">
        <f t="shared" si="46"/>
        <v>0</v>
      </c>
      <c r="W369" s="5">
        <f t="shared" si="47"/>
        <v>0</v>
      </c>
      <c r="X369" s="7">
        <f t="shared" si="48"/>
        <v>0</v>
      </c>
      <c r="Y369" s="7">
        <f t="shared" si="53"/>
        <v>1.0000000000000004</v>
      </c>
      <c r="Z369" s="7" t="e">
        <f t="shared" si="49"/>
        <v>#DIV/0!</v>
      </c>
      <c r="AA369" t="str">
        <f t="shared" si="50"/>
        <v>C</v>
      </c>
      <c r="AB369" t="e">
        <f t="shared" si="51"/>
        <v>#DIV/0!</v>
      </c>
      <c r="AC369" t="e">
        <f t="shared" si="52"/>
        <v>#DIV/0!</v>
      </c>
    </row>
    <row r="370" spans="1:29" x14ac:dyDescent="0.25">
      <c r="A370" t="s">
        <v>2959</v>
      </c>
      <c r="B370" t="s">
        <v>2960</v>
      </c>
      <c r="C370" s="4" t="s">
        <v>3057</v>
      </c>
      <c r="D370" s="4" t="s">
        <v>3057</v>
      </c>
      <c r="E370" s="4" t="s">
        <v>3057</v>
      </c>
      <c r="F370" s="4" t="s">
        <v>3057</v>
      </c>
      <c r="G370" s="4" t="s">
        <v>3057</v>
      </c>
      <c r="H370" s="4" t="s">
        <v>3057</v>
      </c>
      <c r="I370" s="4" t="s">
        <v>3057</v>
      </c>
      <c r="J370" s="4" t="s">
        <v>3057</v>
      </c>
      <c r="K370" s="4" t="s">
        <v>3057</v>
      </c>
      <c r="L370" s="4" t="s">
        <v>3057</v>
      </c>
      <c r="M370" s="4">
        <v>0</v>
      </c>
      <c r="N370" s="4" t="s">
        <v>3057</v>
      </c>
      <c r="O370" s="4" t="s">
        <v>3057</v>
      </c>
      <c r="P370" s="4" t="s">
        <v>3057</v>
      </c>
      <c r="Q370" s="4" t="s">
        <v>3057</v>
      </c>
      <c r="R370" s="4" t="s">
        <v>3057</v>
      </c>
      <c r="S370" s="4" t="s">
        <v>3057</v>
      </c>
      <c r="T370" s="4" t="s">
        <v>3057</v>
      </c>
      <c r="U370" s="4">
        <f t="shared" si="45"/>
        <v>0</v>
      </c>
      <c r="V370" s="5">
        <f t="shared" si="46"/>
        <v>0</v>
      </c>
      <c r="W370" s="5">
        <f t="shared" si="47"/>
        <v>0</v>
      </c>
      <c r="X370" s="7">
        <f t="shared" si="48"/>
        <v>0</v>
      </c>
      <c r="Y370" s="7">
        <f t="shared" si="53"/>
        <v>1.0000000000000004</v>
      </c>
      <c r="Z370" s="7" t="e">
        <f t="shared" si="49"/>
        <v>#DIV/0!</v>
      </c>
      <c r="AA370" t="str">
        <f t="shared" si="50"/>
        <v>C</v>
      </c>
      <c r="AB370" t="e">
        <f t="shared" si="51"/>
        <v>#DIV/0!</v>
      </c>
      <c r="AC370" t="e">
        <f t="shared" si="52"/>
        <v>#DIV/0!</v>
      </c>
    </row>
    <row r="371" spans="1:29" x14ac:dyDescent="0.25">
      <c r="A371" t="s">
        <v>2961</v>
      </c>
      <c r="B371" t="s">
        <v>2962</v>
      </c>
      <c r="C371" s="4" t="s">
        <v>3057</v>
      </c>
      <c r="D371" s="4" t="s">
        <v>3057</v>
      </c>
      <c r="E371" s="4" t="s">
        <v>3057</v>
      </c>
      <c r="F371" s="4" t="s">
        <v>3057</v>
      </c>
      <c r="G371" s="4" t="s">
        <v>3057</v>
      </c>
      <c r="H371" s="4" t="s">
        <v>3057</v>
      </c>
      <c r="I371" s="4" t="s">
        <v>3057</v>
      </c>
      <c r="J371" s="4" t="s">
        <v>3057</v>
      </c>
      <c r="K371" s="4" t="s">
        <v>3057</v>
      </c>
      <c r="L371" s="4" t="s">
        <v>3057</v>
      </c>
      <c r="M371" s="4">
        <v>0</v>
      </c>
      <c r="N371" s="4" t="s">
        <v>3057</v>
      </c>
      <c r="O371" s="4" t="s">
        <v>3057</v>
      </c>
      <c r="P371" s="4" t="s">
        <v>3057</v>
      </c>
      <c r="Q371" s="4" t="s">
        <v>3057</v>
      </c>
      <c r="R371" s="4" t="s">
        <v>3057</v>
      </c>
      <c r="S371" s="4" t="s">
        <v>3057</v>
      </c>
      <c r="T371" s="4" t="s">
        <v>3057</v>
      </c>
      <c r="U371" s="4">
        <f t="shared" si="45"/>
        <v>0</v>
      </c>
      <c r="V371" s="5">
        <f t="shared" si="46"/>
        <v>0</v>
      </c>
      <c r="W371" s="5">
        <f t="shared" si="47"/>
        <v>0</v>
      </c>
      <c r="X371" s="7">
        <f t="shared" si="48"/>
        <v>0</v>
      </c>
      <c r="Y371" s="7">
        <f t="shared" si="53"/>
        <v>1.0000000000000004</v>
      </c>
      <c r="Z371" s="7" t="e">
        <f t="shared" si="49"/>
        <v>#DIV/0!</v>
      </c>
      <c r="AA371" t="str">
        <f t="shared" si="50"/>
        <v>C</v>
      </c>
      <c r="AB371" t="e">
        <f t="shared" si="51"/>
        <v>#DIV/0!</v>
      </c>
      <c r="AC371" t="e">
        <f t="shared" si="52"/>
        <v>#DIV/0!</v>
      </c>
    </row>
    <row r="372" spans="1:29" x14ac:dyDescent="0.25">
      <c r="A372" t="s">
        <v>2965</v>
      </c>
      <c r="B372" t="s">
        <v>2966</v>
      </c>
      <c r="C372" s="4" t="s">
        <v>3057</v>
      </c>
      <c r="D372" s="4" t="s">
        <v>3057</v>
      </c>
      <c r="E372" s="4" t="s">
        <v>3057</v>
      </c>
      <c r="F372" s="4" t="s">
        <v>3057</v>
      </c>
      <c r="G372" s="4" t="s">
        <v>3057</v>
      </c>
      <c r="H372" s="4" t="s">
        <v>3057</v>
      </c>
      <c r="I372" s="4" t="s">
        <v>3057</v>
      </c>
      <c r="J372" s="4" t="s">
        <v>3057</v>
      </c>
      <c r="K372" s="4" t="s">
        <v>3057</v>
      </c>
      <c r="L372" s="4" t="s">
        <v>3057</v>
      </c>
      <c r="M372" s="4">
        <v>0</v>
      </c>
      <c r="N372" s="4" t="s">
        <v>3057</v>
      </c>
      <c r="O372" s="4" t="s">
        <v>3057</v>
      </c>
      <c r="P372" s="4" t="s">
        <v>3057</v>
      </c>
      <c r="Q372" s="4" t="s">
        <v>3057</v>
      </c>
      <c r="R372" s="4" t="s">
        <v>3057</v>
      </c>
      <c r="S372" s="4" t="s">
        <v>3057</v>
      </c>
      <c r="T372" s="4" t="s">
        <v>3057</v>
      </c>
      <c r="U372" s="4">
        <f t="shared" si="45"/>
        <v>0</v>
      </c>
      <c r="V372" s="5">
        <f t="shared" si="46"/>
        <v>0</v>
      </c>
      <c r="W372" s="5">
        <f t="shared" si="47"/>
        <v>0</v>
      </c>
      <c r="X372" s="7">
        <f t="shared" si="48"/>
        <v>0</v>
      </c>
      <c r="Y372" s="7">
        <f t="shared" si="53"/>
        <v>1.0000000000000004</v>
      </c>
      <c r="Z372" s="7" t="e">
        <f t="shared" si="49"/>
        <v>#DIV/0!</v>
      </c>
      <c r="AA372" t="str">
        <f t="shared" si="50"/>
        <v>C</v>
      </c>
      <c r="AB372" t="e">
        <f t="shared" si="51"/>
        <v>#DIV/0!</v>
      </c>
      <c r="AC372" t="e">
        <f t="shared" si="52"/>
        <v>#DIV/0!</v>
      </c>
    </row>
    <row r="373" spans="1:29" x14ac:dyDescent="0.25">
      <c r="A373" t="s">
        <v>2967</v>
      </c>
      <c r="B373" t="s">
        <v>2968</v>
      </c>
      <c r="C373" s="4" t="s">
        <v>3057</v>
      </c>
      <c r="D373" s="4" t="s">
        <v>3057</v>
      </c>
      <c r="E373" s="4" t="s">
        <v>3057</v>
      </c>
      <c r="F373" s="4" t="s">
        <v>3057</v>
      </c>
      <c r="G373" s="4" t="s">
        <v>3057</v>
      </c>
      <c r="H373" s="4" t="s">
        <v>3057</v>
      </c>
      <c r="I373" s="4" t="s">
        <v>3057</v>
      </c>
      <c r="J373" s="4" t="s">
        <v>3057</v>
      </c>
      <c r="K373" s="4" t="s">
        <v>3057</v>
      </c>
      <c r="L373" s="4" t="s">
        <v>3057</v>
      </c>
      <c r="M373" s="4">
        <v>0</v>
      </c>
      <c r="N373" s="4" t="s">
        <v>3057</v>
      </c>
      <c r="O373" s="4" t="s">
        <v>3057</v>
      </c>
      <c r="P373" s="4" t="s">
        <v>3057</v>
      </c>
      <c r="Q373" s="4" t="s">
        <v>3057</v>
      </c>
      <c r="R373" s="4" t="s">
        <v>3057</v>
      </c>
      <c r="S373" s="4" t="s">
        <v>3057</v>
      </c>
      <c r="T373" s="4" t="s">
        <v>3057</v>
      </c>
      <c r="U373" s="4">
        <f t="shared" si="45"/>
        <v>0</v>
      </c>
      <c r="V373" s="5">
        <f t="shared" si="46"/>
        <v>0</v>
      </c>
      <c r="W373" s="5">
        <f t="shared" si="47"/>
        <v>0</v>
      </c>
      <c r="X373" s="7">
        <f t="shared" si="48"/>
        <v>0</v>
      </c>
      <c r="Y373" s="7">
        <f t="shared" si="53"/>
        <v>1.0000000000000004</v>
      </c>
      <c r="Z373" s="7" t="e">
        <f t="shared" si="49"/>
        <v>#DIV/0!</v>
      </c>
      <c r="AA373" t="str">
        <f t="shared" si="50"/>
        <v>C</v>
      </c>
      <c r="AB373" t="e">
        <f t="shared" si="51"/>
        <v>#DIV/0!</v>
      </c>
      <c r="AC373" t="e">
        <f t="shared" si="52"/>
        <v>#DIV/0!</v>
      </c>
    </row>
    <row r="374" spans="1:29" x14ac:dyDescent="0.25">
      <c r="A374" t="s">
        <v>2969</v>
      </c>
      <c r="B374" t="s">
        <v>2970</v>
      </c>
      <c r="C374" s="4" t="s">
        <v>3057</v>
      </c>
      <c r="D374" s="4" t="s">
        <v>3057</v>
      </c>
      <c r="E374" s="4" t="s">
        <v>3057</v>
      </c>
      <c r="F374" s="4" t="s">
        <v>3057</v>
      </c>
      <c r="G374" s="4" t="s">
        <v>3057</v>
      </c>
      <c r="H374" s="4" t="s">
        <v>3057</v>
      </c>
      <c r="I374" s="4" t="s">
        <v>3057</v>
      </c>
      <c r="J374" s="4" t="s">
        <v>3057</v>
      </c>
      <c r="K374" s="4" t="s">
        <v>3057</v>
      </c>
      <c r="L374" s="4" t="s">
        <v>3057</v>
      </c>
      <c r="M374" s="4">
        <v>0</v>
      </c>
      <c r="N374" s="4" t="s">
        <v>3057</v>
      </c>
      <c r="O374" s="4" t="s">
        <v>3057</v>
      </c>
      <c r="P374" s="4" t="s">
        <v>3057</v>
      </c>
      <c r="Q374" s="4" t="s">
        <v>3057</v>
      </c>
      <c r="R374" s="4" t="s">
        <v>3057</v>
      </c>
      <c r="S374" s="4" t="s">
        <v>3057</v>
      </c>
      <c r="T374" s="4" t="s">
        <v>3057</v>
      </c>
      <c r="U374" s="4">
        <f t="shared" si="45"/>
        <v>0</v>
      </c>
      <c r="V374" s="5">
        <f t="shared" si="46"/>
        <v>0</v>
      </c>
      <c r="W374" s="5">
        <f t="shared" si="47"/>
        <v>0</v>
      </c>
      <c r="X374" s="7">
        <f t="shared" si="48"/>
        <v>0</v>
      </c>
      <c r="Y374" s="7">
        <f t="shared" si="53"/>
        <v>1.0000000000000004</v>
      </c>
      <c r="Z374" s="7" t="e">
        <f t="shared" si="49"/>
        <v>#DIV/0!</v>
      </c>
      <c r="AA374" t="str">
        <f t="shared" si="50"/>
        <v>C</v>
      </c>
      <c r="AB374" t="e">
        <f t="shared" si="51"/>
        <v>#DIV/0!</v>
      </c>
      <c r="AC374" t="e">
        <f t="shared" si="52"/>
        <v>#DIV/0!</v>
      </c>
    </row>
    <row r="375" spans="1:29" x14ac:dyDescent="0.25">
      <c r="A375" t="s">
        <v>2971</v>
      </c>
      <c r="B375" t="s">
        <v>2826</v>
      </c>
      <c r="C375" s="4" t="s">
        <v>3057</v>
      </c>
      <c r="D375" s="4" t="s">
        <v>3057</v>
      </c>
      <c r="E375" s="4" t="s">
        <v>3057</v>
      </c>
      <c r="F375" s="4" t="s">
        <v>3057</v>
      </c>
      <c r="G375" s="4" t="s">
        <v>3057</v>
      </c>
      <c r="H375" s="4" t="s">
        <v>3057</v>
      </c>
      <c r="I375" s="4" t="s">
        <v>3057</v>
      </c>
      <c r="J375" s="4" t="s">
        <v>3057</v>
      </c>
      <c r="K375" s="4" t="s">
        <v>3057</v>
      </c>
      <c r="L375" s="4" t="s">
        <v>3057</v>
      </c>
      <c r="M375" s="4">
        <v>0</v>
      </c>
      <c r="N375" s="4" t="s">
        <v>3057</v>
      </c>
      <c r="O375" s="4" t="s">
        <v>3057</v>
      </c>
      <c r="P375" s="4" t="s">
        <v>3057</v>
      </c>
      <c r="Q375" s="4" t="s">
        <v>3057</v>
      </c>
      <c r="R375" s="4" t="s">
        <v>3057</v>
      </c>
      <c r="S375" s="4" t="s">
        <v>3057</v>
      </c>
      <c r="T375" s="4" t="s">
        <v>3057</v>
      </c>
      <c r="U375" s="4">
        <f t="shared" si="45"/>
        <v>0</v>
      </c>
      <c r="V375" s="5">
        <f t="shared" si="46"/>
        <v>0</v>
      </c>
      <c r="W375" s="5">
        <f t="shared" si="47"/>
        <v>0</v>
      </c>
      <c r="X375" s="7">
        <f t="shared" si="48"/>
        <v>0</v>
      </c>
      <c r="Y375" s="7">
        <f t="shared" si="53"/>
        <v>1.0000000000000004</v>
      </c>
      <c r="Z375" s="7" t="e">
        <f t="shared" si="49"/>
        <v>#DIV/0!</v>
      </c>
      <c r="AA375" t="str">
        <f t="shared" si="50"/>
        <v>C</v>
      </c>
      <c r="AB375" t="e">
        <f t="shared" si="51"/>
        <v>#DIV/0!</v>
      </c>
      <c r="AC375" t="e">
        <f t="shared" si="52"/>
        <v>#DIV/0!</v>
      </c>
    </row>
    <row r="376" spans="1:29" x14ac:dyDescent="0.25">
      <c r="A376" t="s">
        <v>2972</v>
      </c>
      <c r="B376" t="s">
        <v>2973</v>
      </c>
      <c r="C376" s="4" t="s">
        <v>3057</v>
      </c>
      <c r="D376" s="4" t="s">
        <v>3057</v>
      </c>
      <c r="E376" s="4" t="s">
        <v>3057</v>
      </c>
      <c r="F376" s="4" t="s">
        <v>3057</v>
      </c>
      <c r="G376" s="4" t="s">
        <v>3057</v>
      </c>
      <c r="H376" s="4" t="s">
        <v>3057</v>
      </c>
      <c r="I376" s="4" t="s">
        <v>3057</v>
      </c>
      <c r="J376" s="4" t="s">
        <v>3057</v>
      </c>
      <c r="K376" s="4" t="s">
        <v>3057</v>
      </c>
      <c r="L376" s="4" t="s">
        <v>3057</v>
      </c>
      <c r="M376" s="4">
        <v>0</v>
      </c>
      <c r="N376" s="4" t="s">
        <v>3057</v>
      </c>
      <c r="O376" s="4" t="s">
        <v>3057</v>
      </c>
      <c r="P376" s="4" t="s">
        <v>3057</v>
      </c>
      <c r="Q376" s="4" t="s">
        <v>3057</v>
      </c>
      <c r="R376" s="4" t="s">
        <v>3057</v>
      </c>
      <c r="S376" s="4" t="s">
        <v>3057</v>
      </c>
      <c r="T376" s="4" t="s">
        <v>3057</v>
      </c>
      <c r="U376" s="4">
        <f t="shared" si="45"/>
        <v>0</v>
      </c>
      <c r="V376" s="5">
        <f t="shared" si="46"/>
        <v>0</v>
      </c>
      <c r="W376" s="5">
        <f t="shared" si="47"/>
        <v>0</v>
      </c>
      <c r="X376" s="7">
        <f t="shared" si="48"/>
        <v>0</v>
      </c>
      <c r="Y376" s="7">
        <f t="shared" si="53"/>
        <v>1.0000000000000004</v>
      </c>
      <c r="Z376" s="7" t="e">
        <f t="shared" si="49"/>
        <v>#DIV/0!</v>
      </c>
      <c r="AA376" t="str">
        <f t="shared" si="50"/>
        <v>C</v>
      </c>
      <c r="AB376" t="e">
        <f t="shared" si="51"/>
        <v>#DIV/0!</v>
      </c>
      <c r="AC376" t="e">
        <f t="shared" si="52"/>
        <v>#DIV/0!</v>
      </c>
    </row>
    <row r="377" spans="1:29" x14ac:dyDescent="0.25">
      <c r="A377" t="s">
        <v>2974</v>
      </c>
      <c r="B377" t="s">
        <v>2975</v>
      </c>
      <c r="C377" s="4" t="s">
        <v>3057</v>
      </c>
      <c r="D377" s="4" t="s">
        <v>3057</v>
      </c>
      <c r="E377" s="4" t="s">
        <v>3057</v>
      </c>
      <c r="F377" s="4" t="s">
        <v>3057</v>
      </c>
      <c r="G377" s="4" t="s">
        <v>3057</v>
      </c>
      <c r="H377" s="4" t="s">
        <v>3057</v>
      </c>
      <c r="I377" s="4" t="s">
        <v>3057</v>
      </c>
      <c r="J377" s="4" t="s">
        <v>3057</v>
      </c>
      <c r="K377" s="4" t="s">
        <v>3057</v>
      </c>
      <c r="L377" s="4" t="s">
        <v>3057</v>
      </c>
      <c r="M377" s="4">
        <v>0</v>
      </c>
      <c r="N377" s="4" t="s">
        <v>3057</v>
      </c>
      <c r="O377" s="4" t="s">
        <v>3057</v>
      </c>
      <c r="P377" s="4" t="s">
        <v>3057</v>
      </c>
      <c r="Q377" s="4" t="s">
        <v>3057</v>
      </c>
      <c r="R377" s="4" t="s">
        <v>3057</v>
      </c>
      <c r="S377" s="4" t="s">
        <v>3057</v>
      </c>
      <c r="T377" s="4" t="s">
        <v>3057</v>
      </c>
      <c r="U377" s="4">
        <f t="shared" si="45"/>
        <v>0</v>
      </c>
      <c r="V377" s="5">
        <f t="shared" si="46"/>
        <v>0</v>
      </c>
      <c r="W377" s="5">
        <f t="shared" si="47"/>
        <v>0</v>
      </c>
      <c r="X377" s="7">
        <f t="shared" si="48"/>
        <v>0</v>
      </c>
      <c r="Y377" s="7">
        <f t="shared" si="53"/>
        <v>1.0000000000000004</v>
      </c>
      <c r="Z377" s="7" t="e">
        <f t="shared" si="49"/>
        <v>#DIV/0!</v>
      </c>
      <c r="AA377" t="str">
        <f t="shared" si="50"/>
        <v>C</v>
      </c>
      <c r="AB377" t="e">
        <f t="shared" si="51"/>
        <v>#DIV/0!</v>
      </c>
      <c r="AC377" t="e">
        <f t="shared" si="52"/>
        <v>#DIV/0!</v>
      </c>
    </row>
    <row r="378" spans="1:29" x14ac:dyDescent="0.25">
      <c r="A378" t="s">
        <v>2981</v>
      </c>
      <c r="B378" t="s">
        <v>2982</v>
      </c>
      <c r="C378" s="4" t="s">
        <v>3057</v>
      </c>
      <c r="D378" s="4" t="s">
        <v>3057</v>
      </c>
      <c r="E378" s="4" t="s">
        <v>3057</v>
      </c>
      <c r="F378" s="4" t="s">
        <v>3057</v>
      </c>
      <c r="G378" s="4" t="s">
        <v>3057</v>
      </c>
      <c r="H378" s="4" t="s">
        <v>3057</v>
      </c>
      <c r="I378" s="4" t="s">
        <v>3057</v>
      </c>
      <c r="J378" s="4" t="s">
        <v>3057</v>
      </c>
      <c r="K378" s="4" t="s">
        <v>3057</v>
      </c>
      <c r="L378" s="4" t="s">
        <v>3057</v>
      </c>
      <c r="M378" s="4">
        <v>0</v>
      </c>
      <c r="N378" s="4" t="s">
        <v>3057</v>
      </c>
      <c r="O378" s="4" t="s">
        <v>3057</v>
      </c>
      <c r="P378" s="4" t="s">
        <v>3057</v>
      </c>
      <c r="Q378" s="4" t="s">
        <v>3057</v>
      </c>
      <c r="R378" s="4" t="s">
        <v>3057</v>
      </c>
      <c r="S378" s="4" t="s">
        <v>3057</v>
      </c>
      <c r="T378" s="4" t="s">
        <v>3057</v>
      </c>
      <c r="U378" s="4">
        <f t="shared" si="45"/>
        <v>0</v>
      </c>
      <c r="V378" s="5">
        <f t="shared" si="46"/>
        <v>0</v>
      </c>
      <c r="W378" s="5">
        <f t="shared" si="47"/>
        <v>0</v>
      </c>
      <c r="X378" s="7">
        <f t="shared" si="48"/>
        <v>0</v>
      </c>
      <c r="Y378" s="7">
        <f t="shared" si="53"/>
        <v>1.0000000000000004</v>
      </c>
      <c r="Z378" s="7" t="e">
        <f t="shared" si="49"/>
        <v>#DIV/0!</v>
      </c>
      <c r="AA378" t="str">
        <f t="shared" si="50"/>
        <v>C</v>
      </c>
      <c r="AB378" t="e">
        <f t="shared" si="51"/>
        <v>#DIV/0!</v>
      </c>
      <c r="AC378" t="e">
        <f t="shared" si="52"/>
        <v>#DIV/0!</v>
      </c>
    </row>
    <row r="379" spans="1:29" x14ac:dyDescent="0.25">
      <c r="A379" t="s">
        <v>2983</v>
      </c>
      <c r="B379" t="s">
        <v>2984</v>
      </c>
      <c r="C379" s="4" t="s">
        <v>3057</v>
      </c>
      <c r="D379" s="4" t="s">
        <v>3057</v>
      </c>
      <c r="E379" s="4" t="s">
        <v>3057</v>
      </c>
      <c r="F379" s="4" t="s">
        <v>3057</v>
      </c>
      <c r="G379" s="4" t="s">
        <v>3057</v>
      </c>
      <c r="H379" s="4" t="s">
        <v>3057</v>
      </c>
      <c r="I379" s="4" t="s">
        <v>3057</v>
      </c>
      <c r="J379" s="4" t="s">
        <v>3057</v>
      </c>
      <c r="K379" s="4" t="s">
        <v>3057</v>
      </c>
      <c r="L379" s="4" t="s">
        <v>3057</v>
      </c>
      <c r="M379" s="4">
        <v>0</v>
      </c>
      <c r="N379" s="4" t="s">
        <v>3057</v>
      </c>
      <c r="O379" s="4" t="s">
        <v>3057</v>
      </c>
      <c r="P379" s="4" t="s">
        <v>3057</v>
      </c>
      <c r="Q379" s="4" t="s">
        <v>3057</v>
      </c>
      <c r="R379" s="4" t="s">
        <v>3057</v>
      </c>
      <c r="S379" s="4" t="s">
        <v>3057</v>
      </c>
      <c r="T379" s="4" t="s">
        <v>3057</v>
      </c>
      <c r="U379" s="4">
        <f t="shared" si="45"/>
        <v>0</v>
      </c>
      <c r="V379" s="5">
        <f t="shared" si="46"/>
        <v>0</v>
      </c>
      <c r="W379" s="5">
        <f t="shared" si="47"/>
        <v>0</v>
      </c>
      <c r="X379" s="7">
        <f t="shared" si="48"/>
        <v>0</v>
      </c>
      <c r="Y379" s="7">
        <f t="shared" si="53"/>
        <v>1.0000000000000004</v>
      </c>
      <c r="Z379" s="7" t="e">
        <f t="shared" si="49"/>
        <v>#DIV/0!</v>
      </c>
      <c r="AA379" t="str">
        <f t="shared" si="50"/>
        <v>C</v>
      </c>
      <c r="AB379" t="e">
        <f t="shared" si="51"/>
        <v>#DIV/0!</v>
      </c>
      <c r="AC379" t="e">
        <f t="shared" si="52"/>
        <v>#DIV/0!</v>
      </c>
    </row>
    <row r="380" spans="1:29" x14ac:dyDescent="0.25">
      <c r="A380" t="s">
        <v>2987</v>
      </c>
      <c r="B380" t="s">
        <v>2988</v>
      </c>
      <c r="C380" s="4" t="s">
        <v>3057</v>
      </c>
      <c r="D380" s="4" t="s">
        <v>3057</v>
      </c>
      <c r="E380" s="4" t="s">
        <v>3057</v>
      </c>
      <c r="F380" s="4" t="s">
        <v>3057</v>
      </c>
      <c r="G380" s="4" t="s">
        <v>3057</v>
      </c>
      <c r="H380" s="4" t="s">
        <v>3057</v>
      </c>
      <c r="I380" s="4" t="s">
        <v>3057</v>
      </c>
      <c r="J380" s="4" t="s">
        <v>3057</v>
      </c>
      <c r="K380" s="4" t="s">
        <v>3057</v>
      </c>
      <c r="L380" s="4" t="s">
        <v>3057</v>
      </c>
      <c r="M380" s="4">
        <v>0</v>
      </c>
      <c r="N380" s="4" t="s">
        <v>3057</v>
      </c>
      <c r="O380" s="4" t="s">
        <v>3057</v>
      </c>
      <c r="P380" s="4" t="s">
        <v>3057</v>
      </c>
      <c r="Q380" s="4" t="s">
        <v>3057</v>
      </c>
      <c r="R380" s="4" t="s">
        <v>3057</v>
      </c>
      <c r="S380" s="4" t="s">
        <v>3057</v>
      </c>
      <c r="T380" s="4" t="s">
        <v>3057</v>
      </c>
      <c r="U380" s="4">
        <f t="shared" si="45"/>
        <v>0</v>
      </c>
      <c r="V380" s="5">
        <f t="shared" si="46"/>
        <v>0</v>
      </c>
      <c r="W380" s="5">
        <f t="shared" si="47"/>
        <v>0</v>
      </c>
      <c r="X380" s="7">
        <f t="shared" si="48"/>
        <v>0</v>
      </c>
      <c r="Y380" s="7">
        <f t="shared" si="53"/>
        <v>1.0000000000000004</v>
      </c>
      <c r="Z380" s="7" t="e">
        <f t="shared" si="49"/>
        <v>#DIV/0!</v>
      </c>
      <c r="AA380" t="str">
        <f t="shared" si="50"/>
        <v>C</v>
      </c>
      <c r="AB380" t="e">
        <f t="shared" si="51"/>
        <v>#DIV/0!</v>
      </c>
      <c r="AC380" t="e">
        <f t="shared" si="52"/>
        <v>#DIV/0!</v>
      </c>
    </row>
    <row r="381" spans="1:29" x14ac:dyDescent="0.25">
      <c r="A381" t="s">
        <v>2989</v>
      </c>
      <c r="B381" t="s">
        <v>2990</v>
      </c>
      <c r="C381" s="4" t="s">
        <v>3057</v>
      </c>
      <c r="D381" s="4" t="s">
        <v>3057</v>
      </c>
      <c r="E381" s="4" t="s">
        <v>3057</v>
      </c>
      <c r="F381" s="4" t="s">
        <v>3057</v>
      </c>
      <c r="G381" s="4" t="s">
        <v>3057</v>
      </c>
      <c r="H381" s="4" t="s">
        <v>3057</v>
      </c>
      <c r="I381" s="4" t="s">
        <v>3057</v>
      </c>
      <c r="J381" s="4" t="s">
        <v>3057</v>
      </c>
      <c r="K381" s="4" t="s">
        <v>3057</v>
      </c>
      <c r="L381" s="4" t="s">
        <v>3057</v>
      </c>
      <c r="M381" s="4">
        <v>0</v>
      </c>
      <c r="N381" s="4" t="s">
        <v>3057</v>
      </c>
      <c r="O381" s="4" t="s">
        <v>3057</v>
      </c>
      <c r="P381" s="4" t="s">
        <v>3057</v>
      </c>
      <c r="Q381" s="4" t="s">
        <v>3057</v>
      </c>
      <c r="R381" s="4" t="s">
        <v>3057</v>
      </c>
      <c r="S381" s="4" t="s">
        <v>3057</v>
      </c>
      <c r="T381" s="4" t="s">
        <v>3057</v>
      </c>
      <c r="U381" s="4">
        <f t="shared" si="45"/>
        <v>0</v>
      </c>
      <c r="V381" s="5">
        <f t="shared" si="46"/>
        <v>0</v>
      </c>
      <c r="W381" s="5">
        <f t="shared" si="47"/>
        <v>0</v>
      </c>
      <c r="X381" s="7">
        <f t="shared" si="48"/>
        <v>0</v>
      </c>
      <c r="Y381" s="7">
        <f t="shared" si="53"/>
        <v>1.0000000000000004</v>
      </c>
      <c r="Z381" s="7" t="e">
        <f t="shared" si="49"/>
        <v>#DIV/0!</v>
      </c>
      <c r="AA381" t="str">
        <f t="shared" si="50"/>
        <v>C</v>
      </c>
      <c r="AB381" t="e">
        <f t="shared" si="51"/>
        <v>#DIV/0!</v>
      </c>
      <c r="AC381" t="e">
        <f t="shared" si="52"/>
        <v>#DIV/0!</v>
      </c>
    </row>
    <row r="382" spans="1:29" x14ac:dyDescent="0.25">
      <c r="A382" t="s">
        <v>2995</v>
      </c>
      <c r="B382" t="s">
        <v>2996</v>
      </c>
      <c r="C382" s="4" t="s">
        <v>3057</v>
      </c>
      <c r="D382" s="4" t="s">
        <v>3057</v>
      </c>
      <c r="E382" s="4" t="s">
        <v>3057</v>
      </c>
      <c r="F382" s="4" t="s">
        <v>3057</v>
      </c>
      <c r="G382" s="4" t="s">
        <v>3057</v>
      </c>
      <c r="H382" s="4" t="s">
        <v>3057</v>
      </c>
      <c r="I382" s="4" t="s">
        <v>3057</v>
      </c>
      <c r="J382" s="4" t="s">
        <v>3057</v>
      </c>
      <c r="K382" s="4" t="s">
        <v>3057</v>
      </c>
      <c r="L382" s="4" t="s">
        <v>3057</v>
      </c>
      <c r="M382" s="4">
        <v>0</v>
      </c>
      <c r="N382" s="4" t="s">
        <v>3057</v>
      </c>
      <c r="O382" s="4" t="s">
        <v>3057</v>
      </c>
      <c r="P382" s="4" t="s">
        <v>3057</v>
      </c>
      <c r="Q382" s="4" t="s">
        <v>3057</v>
      </c>
      <c r="R382" s="4" t="s">
        <v>3057</v>
      </c>
      <c r="S382" s="4" t="s">
        <v>3057</v>
      </c>
      <c r="T382" s="4" t="s">
        <v>3057</v>
      </c>
      <c r="U382" s="4">
        <f t="shared" si="45"/>
        <v>0</v>
      </c>
      <c r="V382" s="5">
        <f t="shared" si="46"/>
        <v>0</v>
      </c>
      <c r="W382" s="5">
        <f t="shared" si="47"/>
        <v>0</v>
      </c>
      <c r="X382" s="7">
        <f t="shared" si="48"/>
        <v>0</v>
      </c>
      <c r="Y382" s="7">
        <f t="shared" si="53"/>
        <v>1.0000000000000004</v>
      </c>
      <c r="Z382" s="7" t="e">
        <f t="shared" si="49"/>
        <v>#DIV/0!</v>
      </c>
      <c r="AA382" t="str">
        <f t="shared" si="50"/>
        <v>C</v>
      </c>
      <c r="AB382" t="e">
        <f t="shared" si="51"/>
        <v>#DIV/0!</v>
      </c>
      <c r="AC382" t="e">
        <f t="shared" si="52"/>
        <v>#DIV/0!</v>
      </c>
    </row>
    <row r="383" spans="1:29" x14ac:dyDescent="0.25">
      <c r="A383" t="s">
        <v>2997</v>
      </c>
      <c r="B383" t="s">
        <v>2998</v>
      </c>
      <c r="C383" s="4" t="s">
        <v>3057</v>
      </c>
      <c r="D383" s="4" t="s">
        <v>3057</v>
      </c>
      <c r="E383" s="4" t="s">
        <v>3057</v>
      </c>
      <c r="F383" s="4" t="s">
        <v>3057</v>
      </c>
      <c r="G383" s="4" t="s">
        <v>3057</v>
      </c>
      <c r="H383" s="4" t="s">
        <v>3057</v>
      </c>
      <c r="I383" s="4" t="s">
        <v>3057</v>
      </c>
      <c r="J383" s="4" t="s">
        <v>3057</v>
      </c>
      <c r="K383" s="4" t="s">
        <v>3057</v>
      </c>
      <c r="L383" s="4" t="s">
        <v>3057</v>
      </c>
      <c r="M383" s="4">
        <v>0</v>
      </c>
      <c r="N383" s="4" t="s">
        <v>3057</v>
      </c>
      <c r="O383" s="4" t="s">
        <v>3057</v>
      </c>
      <c r="P383" s="4" t="s">
        <v>3057</v>
      </c>
      <c r="Q383" s="4" t="s">
        <v>3057</v>
      </c>
      <c r="R383" s="4" t="s">
        <v>3057</v>
      </c>
      <c r="S383" s="4" t="s">
        <v>3057</v>
      </c>
      <c r="T383" s="4" t="s">
        <v>3057</v>
      </c>
      <c r="U383" s="4">
        <f t="shared" si="45"/>
        <v>0</v>
      </c>
      <c r="V383" s="5">
        <f t="shared" si="46"/>
        <v>0</v>
      </c>
      <c r="W383" s="5">
        <f t="shared" si="47"/>
        <v>0</v>
      </c>
      <c r="X383" s="7">
        <f t="shared" si="48"/>
        <v>0</v>
      </c>
      <c r="Y383" s="7">
        <f t="shared" si="53"/>
        <v>1.0000000000000004</v>
      </c>
      <c r="Z383" s="7" t="e">
        <f t="shared" si="49"/>
        <v>#DIV/0!</v>
      </c>
      <c r="AA383" t="str">
        <f t="shared" si="50"/>
        <v>C</v>
      </c>
      <c r="AB383" t="e">
        <f t="shared" si="51"/>
        <v>#DIV/0!</v>
      </c>
      <c r="AC383" t="e">
        <f t="shared" si="52"/>
        <v>#DIV/0!</v>
      </c>
    </row>
    <row r="384" spans="1:29" x14ac:dyDescent="0.25">
      <c r="A384" t="s">
        <v>2999</v>
      </c>
      <c r="B384" t="s">
        <v>3000</v>
      </c>
      <c r="C384" s="4" t="s">
        <v>3057</v>
      </c>
      <c r="D384" s="4" t="s">
        <v>3057</v>
      </c>
      <c r="E384" s="4" t="s">
        <v>3057</v>
      </c>
      <c r="F384" s="4" t="s">
        <v>3057</v>
      </c>
      <c r="G384" s="4" t="s">
        <v>3057</v>
      </c>
      <c r="H384" s="4" t="s">
        <v>3057</v>
      </c>
      <c r="I384" s="4" t="s">
        <v>3057</v>
      </c>
      <c r="J384" s="4" t="s">
        <v>3057</v>
      </c>
      <c r="K384" s="4" t="s">
        <v>3057</v>
      </c>
      <c r="L384" s="4" t="s">
        <v>3057</v>
      </c>
      <c r="M384" s="4">
        <v>0</v>
      </c>
      <c r="N384" s="4" t="s">
        <v>3057</v>
      </c>
      <c r="O384" s="4" t="s">
        <v>3057</v>
      </c>
      <c r="P384" s="4" t="s">
        <v>3057</v>
      </c>
      <c r="Q384" s="4" t="s">
        <v>3057</v>
      </c>
      <c r="R384" s="4" t="s">
        <v>3057</v>
      </c>
      <c r="S384" s="4" t="s">
        <v>3057</v>
      </c>
      <c r="T384" s="4" t="s">
        <v>3057</v>
      </c>
      <c r="U384" s="4">
        <f t="shared" si="45"/>
        <v>0</v>
      </c>
      <c r="V384" s="5">
        <f t="shared" si="46"/>
        <v>0</v>
      </c>
      <c r="W384" s="5">
        <f t="shared" si="47"/>
        <v>0</v>
      </c>
      <c r="X384" s="7">
        <f t="shared" si="48"/>
        <v>0</v>
      </c>
      <c r="Y384" s="7">
        <f t="shared" si="53"/>
        <v>1.0000000000000004</v>
      </c>
      <c r="Z384" s="7" t="e">
        <f t="shared" si="49"/>
        <v>#DIV/0!</v>
      </c>
      <c r="AA384" t="str">
        <f t="shared" si="50"/>
        <v>C</v>
      </c>
      <c r="AB384" t="e">
        <f t="shared" si="51"/>
        <v>#DIV/0!</v>
      </c>
      <c r="AC384" t="e">
        <f t="shared" si="52"/>
        <v>#DIV/0!</v>
      </c>
    </row>
    <row r="385" spans="1:29" x14ac:dyDescent="0.25">
      <c r="A385" t="s">
        <v>3001</v>
      </c>
      <c r="B385" t="s">
        <v>3002</v>
      </c>
      <c r="C385" s="4" t="s">
        <v>3057</v>
      </c>
      <c r="D385" s="4" t="s">
        <v>3057</v>
      </c>
      <c r="E385" s="4" t="s">
        <v>3057</v>
      </c>
      <c r="F385" s="4" t="s">
        <v>3057</v>
      </c>
      <c r="G385" s="4" t="s">
        <v>3057</v>
      </c>
      <c r="H385" s="4" t="s">
        <v>3057</v>
      </c>
      <c r="I385" s="4" t="s">
        <v>3057</v>
      </c>
      <c r="J385" s="4" t="s">
        <v>3057</v>
      </c>
      <c r="K385" s="4" t="s">
        <v>3057</v>
      </c>
      <c r="L385" s="4" t="s">
        <v>3057</v>
      </c>
      <c r="M385" s="4">
        <v>0</v>
      </c>
      <c r="N385" s="4" t="s">
        <v>3057</v>
      </c>
      <c r="O385" s="4" t="s">
        <v>3057</v>
      </c>
      <c r="P385" s="4" t="s">
        <v>3057</v>
      </c>
      <c r="Q385" s="4" t="s">
        <v>3057</v>
      </c>
      <c r="R385" s="4" t="s">
        <v>3057</v>
      </c>
      <c r="S385" s="4" t="s">
        <v>3057</v>
      </c>
      <c r="T385" s="4" t="s">
        <v>3057</v>
      </c>
      <c r="U385" s="4">
        <f t="shared" si="45"/>
        <v>0</v>
      </c>
      <c r="V385" s="5">
        <f t="shared" si="46"/>
        <v>0</v>
      </c>
      <c r="W385" s="5">
        <f t="shared" si="47"/>
        <v>0</v>
      </c>
      <c r="X385" s="7">
        <f t="shared" si="48"/>
        <v>0</v>
      </c>
      <c r="Y385" s="7">
        <f t="shared" si="53"/>
        <v>1.0000000000000004</v>
      </c>
      <c r="Z385" s="7" t="e">
        <f t="shared" si="49"/>
        <v>#DIV/0!</v>
      </c>
      <c r="AA385" t="str">
        <f t="shared" si="50"/>
        <v>C</v>
      </c>
      <c r="AB385" t="e">
        <f t="shared" si="51"/>
        <v>#DIV/0!</v>
      </c>
      <c r="AC385" t="e">
        <f t="shared" si="52"/>
        <v>#DIV/0!</v>
      </c>
    </row>
    <row r="386" spans="1:29" x14ac:dyDescent="0.25">
      <c r="A386" t="s">
        <v>3003</v>
      </c>
      <c r="B386" t="s">
        <v>3004</v>
      </c>
      <c r="C386" s="4" t="s">
        <v>3057</v>
      </c>
      <c r="D386" s="4" t="s">
        <v>3057</v>
      </c>
      <c r="E386" s="4" t="s">
        <v>3057</v>
      </c>
      <c r="F386" s="4" t="s">
        <v>3057</v>
      </c>
      <c r="G386" s="4" t="s">
        <v>3057</v>
      </c>
      <c r="H386" s="4" t="s">
        <v>3057</v>
      </c>
      <c r="I386" s="4" t="s">
        <v>3057</v>
      </c>
      <c r="J386" s="4" t="s">
        <v>3057</v>
      </c>
      <c r="K386" s="4" t="s">
        <v>3057</v>
      </c>
      <c r="L386" s="4" t="s">
        <v>3057</v>
      </c>
      <c r="M386" s="4">
        <v>0</v>
      </c>
      <c r="N386" s="4" t="s">
        <v>3057</v>
      </c>
      <c r="O386" s="4" t="s">
        <v>3057</v>
      </c>
      <c r="P386" s="4" t="s">
        <v>3057</v>
      </c>
      <c r="Q386" s="4" t="s">
        <v>3057</v>
      </c>
      <c r="R386" s="4" t="s">
        <v>3057</v>
      </c>
      <c r="S386" s="4" t="s">
        <v>3057</v>
      </c>
      <c r="T386" s="4" t="s">
        <v>3057</v>
      </c>
      <c r="U386" s="4">
        <f t="shared" ref="U386:U410" si="54">SUM(C386:T386)</f>
        <v>0</v>
      </c>
      <c r="V386" s="5">
        <f t="shared" ref="V386:V410" si="55">AVERAGE(C386:T386)</f>
        <v>0</v>
      </c>
      <c r="W386" s="5">
        <f t="shared" ref="W386:W410" si="56">V386/30</f>
        <v>0</v>
      </c>
      <c r="X386" s="7">
        <f t="shared" si="48"/>
        <v>0</v>
      </c>
      <c r="Y386" s="7">
        <f t="shared" si="53"/>
        <v>1.0000000000000004</v>
      </c>
      <c r="Z386" s="7" t="e">
        <f t="shared" si="49"/>
        <v>#DIV/0!</v>
      </c>
      <c r="AA386" t="str">
        <f t="shared" si="50"/>
        <v>C</v>
      </c>
      <c r="AB386" t="e">
        <f t="shared" si="51"/>
        <v>#DIV/0!</v>
      </c>
      <c r="AC386" t="e">
        <f t="shared" si="52"/>
        <v>#DIV/0!</v>
      </c>
    </row>
    <row r="387" spans="1:29" x14ac:dyDescent="0.25">
      <c r="A387" t="s">
        <v>3005</v>
      </c>
      <c r="B387" t="s">
        <v>3006</v>
      </c>
      <c r="C387" s="4" t="s">
        <v>3057</v>
      </c>
      <c r="D387" s="4" t="s">
        <v>3057</v>
      </c>
      <c r="E387" s="4" t="s">
        <v>3057</v>
      </c>
      <c r="F387" s="4" t="s">
        <v>3057</v>
      </c>
      <c r="G387" s="4" t="s">
        <v>3057</v>
      </c>
      <c r="H387" s="4" t="s">
        <v>3057</v>
      </c>
      <c r="I387" s="4" t="s">
        <v>3057</v>
      </c>
      <c r="J387" s="4" t="s">
        <v>3057</v>
      </c>
      <c r="K387" s="4" t="s">
        <v>3057</v>
      </c>
      <c r="L387" s="4" t="s">
        <v>3057</v>
      </c>
      <c r="M387" s="4">
        <v>0</v>
      </c>
      <c r="N387" s="4" t="s">
        <v>3057</v>
      </c>
      <c r="O387" s="4" t="s">
        <v>3057</v>
      </c>
      <c r="P387" s="4" t="s">
        <v>3057</v>
      </c>
      <c r="Q387" s="4" t="s">
        <v>3057</v>
      </c>
      <c r="R387" s="4" t="s">
        <v>3057</v>
      </c>
      <c r="S387" s="4" t="s">
        <v>3057</v>
      </c>
      <c r="T387" s="4" t="s">
        <v>3057</v>
      </c>
      <c r="U387" s="4">
        <f t="shared" si="54"/>
        <v>0</v>
      </c>
      <c r="V387" s="5">
        <f t="shared" si="55"/>
        <v>0</v>
      </c>
      <c r="W387" s="5">
        <f t="shared" si="56"/>
        <v>0</v>
      </c>
      <c r="X387" s="7">
        <f t="shared" ref="X387:X410" si="57">U387/SUM($U$2:$U$410)</f>
        <v>0</v>
      </c>
      <c r="Y387" s="7">
        <f t="shared" si="53"/>
        <v>1.0000000000000004</v>
      </c>
      <c r="Z387" s="7" t="e">
        <f t="shared" ref="Z387:Z410" si="58">_xlfn.STDEV.P(C387:T387)/AVERAGE(C387:T387)</f>
        <v>#DIV/0!</v>
      </c>
      <c r="AA387" t="str">
        <f t="shared" ref="AA387:AA410" si="59">IF(Y387&lt;=0.7,"A",IF(Y387&lt;=0.9,"B","C"))</f>
        <v>C</v>
      </c>
      <c r="AB387" t="e">
        <f t="shared" ref="AB387:AB410" si="60">IF(Z387&lt;=0.5,"X",IF(Z387&lt;=1,"Y","Z"))</f>
        <v>#DIV/0!</v>
      </c>
      <c r="AC387" t="e">
        <f t="shared" ref="AC387:AC410" si="61">AA387&amp;AB387</f>
        <v>#DIV/0!</v>
      </c>
    </row>
    <row r="388" spans="1:29" x14ac:dyDescent="0.25">
      <c r="A388" t="s">
        <v>3007</v>
      </c>
      <c r="B388" t="s">
        <v>3008</v>
      </c>
      <c r="C388" s="4" t="s">
        <v>3057</v>
      </c>
      <c r="D388" s="4" t="s">
        <v>3057</v>
      </c>
      <c r="E388" s="4" t="s">
        <v>3057</v>
      </c>
      <c r="F388" s="4" t="s">
        <v>3057</v>
      </c>
      <c r="G388" s="4" t="s">
        <v>3057</v>
      </c>
      <c r="H388" s="4" t="s">
        <v>3057</v>
      </c>
      <c r="I388" s="4" t="s">
        <v>3057</v>
      </c>
      <c r="J388" s="4" t="s">
        <v>3057</v>
      </c>
      <c r="K388" s="4" t="s">
        <v>3057</v>
      </c>
      <c r="L388" s="4" t="s">
        <v>3057</v>
      </c>
      <c r="M388" s="4">
        <v>0</v>
      </c>
      <c r="N388" s="4" t="s">
        <v>3057</v>
      </c>
      <c r="O388" s="4" t="s">
        <v>3057</v>
      </c>
      <c r="P388" s="4" t="s">
        <v>3057</v>
      </c>
      <c r="Q388" s="4" t="s">
        <v>3057</v>
      </c>
      <c r="R388" s="4" t="s">
        <v>3057</v>
      </c>
      <c r="S388" s="4" t="s">
        <v>3057</v>
      </c>
      <c r="T388" s="4" t="s">
        <v>3057</v>
      </c>
      <c r="U388" s="4">
        <f t="shared" si="54"/>
        <v>0</v>
      </c>
      <c r="V388" s="5">
        <f t="shared" si="55"/>
        <v>0</v>
      </c>
      <c r="W388" s="5">
        <f t="shared" si="56"/>
        <v>0</v>
      </c>
      <c r="X388" s="7">
        <f t="shared" si="57"/>
        <v>0</v>
      </c>
      <c r="Y388" s="7">
        <f t="shared" si="53"/>
        <v>1.0000000000000004</v>
      </c>
      <c r="Z388" s="7" t="e">
        <f t="shared" si="58"/>
        <v>#DIV/0!</v>
      </c>
      <c r="AA388" t="str">
        <f t="shared" si="59"/>
        <v>C</v>
      </c>
      <c r="AB388" t="e">
        <f t="shared" si="60"/>
        <v>#DIV/0!</v>
      </c>
      <c r="AC388" t="e">
        <f t="shared" si="61"/>
        <v>#DIV/0!</v>
      </c>
    </row>
    <row r="389" spans="1:29" x14ac:dyDescent="0.25">
      <c r="A389" t="s">
        <v>3009</v>
      </c>
      <c r="B389" t="s">
        <v>3010</v>
      </c>
      <c r="C389" s="4" t="s">
        <v>3057</v>
      </c>
      <c r="D389" s="4" t="s">
        <v>3057</v>
      </c>
      <c r="E389" s="4" t="s">
        <v>3057</v>
      </c>
      <c r="F389" s="4" t="s">
        <v>3057</v>
      </c>
      <c r="G389" s="4" t="s">
        <v>3057</v>
      </c>
      <c r="H389" s="4" t="s">
        <v>3057</v>
      </c>
      <c r="I389" s="4" t="s">
        <v>3057</v>
      </c>
      <c r="J389" s="4" t="s">
        <v>3057</v>
      </c>
      <c r="K389" s="4" t="s">
        <v>3057</v>
      </c>
      <c r="L389" s="4" t="s">
        <v>3057</v>
      </c>
      <c r="M389" s="4">
        <v>0</v>
      </c>
      <c r="N389" s="4" t="s">
        <v>3057</v>
      </c>
      <c r="O389" s="4" t="s">
        <v>3057</v>
      </c>
      <c r="P389" s="4" t="s">
        <v>3057</v>
      </c>
      <c r="Q389" s="4" t="s">
        <v>3057</v>
      </c>
      <c r="R389" s="4" t="s">
        <v>3057</v>
      </c>
      <c r="S389" s="4" t="s">
        <v>3057</v>
      </c>
      <c r="T389" s="4" t="s">
        <v>3057</v>
      </c>
      <c r="U389" s="4">
        <f t="shared" si="54"/>
        <v>0</v>
      </c>
      <c r="V389" s="5">
        <f t="shared" si="55"/>
        <v>0</v>
      </c>
      <c r="W389" s="5">
        <f t="shared" si="56"/>
        <v>0</v>
      </c>
      <c r="X389" s="7">
        <f t="shared" si="57"/>
        <v>0</v>
      </c>
      <c r="Y389" s="7">
        <f t="shared" si="53"/>
        <v>1.0000000000000004</v>
      </c>
      <c r="Z389" s="7" t="e">
        <f t="shared" si="58"/>
        <v>#DIV/0!</v>
      </c>
      <c r="AA389" t="str">
        <f t="shared" si="59"/>
        <v>C</v>
      </c>
      <c r="AB389" t="e">
        <f t="shared" si="60"/>
        <v>#DIV/0!</v>
      </c>
      <c r="AC389" t="e">
        <f t="shared" si="61"/>
        <v>#DIV/0!</v>
      </c>
    </row>
    <row r="390" spans="1:29" x14ac:dyDescent="0.25">
      <c r="A390" t="s">
        <v>3011</v>
      </c>
      <c r="B390" t="s">
        <v>3012</v>
      </c>
      <c r="C390" s="4" t="s">
        <v>3057</v>
      </c>
      <c r="D390" s="4" t="s">
        <v>3057</v>
      </c>
      <c r="E390" s="4" t="s">
        <v>3057</v>
      </c>
      <c r="F390" s="4" t="s">
        <v>3057</v>
      </c>
      <c r="G390" s="4" t="s">
        <v>3057</v>
      </c>
      <c r="H390" s="4" t="s">
        <v>3057</v>
      </c>
      <c r="I390" s="4" t="s">
        <v>3057</v>
      </c>
      <c r="J390" s="4" t="s">
        <v>3057</v>
      </c>
      <c r="K390" s="4" t="s">
        <v>3057</v>
      </c>
      <c r="L390" s="4" t="s">
        <v>3057</v>
      </c>
      <c r="M390" s="4">
        <v>0</v>
      </c>
      <c r="N390" s="4" t="s">
        <v>3057</v>
      </c>
      <c r="O390" s="4" t="s">
        <v>3057</v>
      </c>
      <c r="P390" s="4" t="s">
        <v>3057</v>
      </c>
      <c r="Q390" s="4" t="s">
        <v>3057</v>
      </c>
      <c r="R390" s="4" t="s">
        <v>3057</v>
      </c>
      <c r="S390" s="4" t="s">
        <v>3057</v>
      </c>
      <c r="T390" s="4" t="s">
        <v>3057</v>
      </c>
      <c r="U390" s="4">
        <f t="shared" si="54"/>
        <v>0</v>
      </c>
      <c r="V390" s="5">
        <f t="shared" si="55"/>
        <v>0</v>
      </c>
      <c r="W390" s="5">
        <f t="shared" si="56"/>
        <v>0</v>
      </c>
      <c r="X390" s="7">
        <f t="shared" si="57"/>
        <v>0</v>
      </c>
      <c r="Y390" s="7">
        <f t="shared" si="53"/>
        <v>1.0000000000000004</v>
      </c>
      <c r="Z390" s="7" t="e">
        <f t="shared" si="58"/>
        <v>#DIV/0!</v>
      </c>
      <c r="AA390" t="str">
        <f t="shared" si="59"/>
        <v>C</v>
      </c>
      <c r="AB390" t="e">
        <f t="shared" si="60"/>
        <v>#DIV/0!</v>
      </c>
      <c r="AC390" t="e">
        <f t="shared" si="61"/>
        <v>#DIV/0!</v>
      </c>
    </row>
    <row r="391" spans="1:29" x14ac:dyDescent="0.25">
      <c r="A391" t="s">
        <v>3013</v>
      </c>
      <c r="B391" t="s">
        <v>3014</v>
      </c>
      <c r="C391" s="4" t="s">
        <v>3057</v>
      </c>
      <c r="D391" s="4" t="s">
        <v>3057</v>
      </c>
      <c r="E391" s="4" t="s">
        <v>3057</v>
      </c>
      <c r="F391" s="4" t="s">
        <v>3057</v>
      </c>
      <c r="G391" s="4" t="s">
        <v>3057</v>
      </c>
      <c r="H391" s="4" t="s">
        <v>3057</v>
      </c>
      <c r="I391" s="4" t="s">
        <v>3057</v>
      </c>
      <c r="J391" s="4" t="s">
        <v>3057</v>
      </c>
      <c r="K391" s="4" t="s">
        <v>3057</v>
      </c>
      <c r="L391" s="4" t="s">
        <v>3057</v>
      </c>
      <c r="M391" s="4">
        <v>0</v>
      </c>
      <c r="N391" s="4" t="s">
        <v>3057</v>
      </c>
      <c r="O391" s="4" t="s">
        <v>3057</v>
      </c>
      <c r="P391" s="4" t="s">
        <v>3057</v>
      </c>
      <c r="Q391" s="4" t="s">
        <v>3057</v>
      </c>
      <c r="R391" s="4" t="s">
        <v>3057</v>
      </c>
      <c r="S391" s="4" t="s">
        <v>3057</v>
      </c>
      <c r="T391" s="4" t="s">
        <v>3057</v>
      </c>
      <c r="U391" s="4">
        <f t="shared" si="54"/>
        <v>0</v>
      </c>
      <c r="V391" s="5">
        <f t="shared" si="55"/>
        <v>0</v>
      </c>
      <c r="W391" s="5">
        <f t="shared" si="56"/>
        <v>0</v>
      </c>
      <c r="X391" s="7">
        <f t="shared" si="57"/>
        <v>0</v>
      </c>
      <c r="Y391" s="7">
        <f t="shared" ref="Y391:Y410" si="62">X391+Y390</f>
        <v>1.0000000000000004</v>
      </c>
      <c r="Z391" s="7" t="e">
        <f t="shared" si="58"/>
        <v>#DIV/0!</v>
      </c>
      <c r="AA391" t="str">
        <f t="shared" si="59"/>
        <v>C</v>
      </c>
      <c r="AB391" t="e">
        <f t="shared" si="60"/>
        <v>#DIV/0!</v>
      </c>
      <c r="AC391" t="e">
        <f t="shared" si="61"/>
        <v>#DIV/0!</v>
      </c>
    </row>
    <row r="392" spans="1:29" x14ac:dyDescent="0.25">
      <c r="A392" t="s">
        <v>3015</v>
      </c>
      <c r="B392" t="s">
        <v>3016</v>
      </c>
      <c r="C392" s="4" t="s">
        <v>3057</v>
      </c>
      <c r="D392" s="4" t="s">
        <v>3057</v>
      </c>
      <c r="E392" s="4" t="s">
        <v>3057</v>
      </c>
      <c r="F392" s="4" t="s">
        <v>3057</v>
      </c>
      <c r="G392" s="4" t="s">
        <v>3057</v>
      </c>
      <c r="H392" s="4" t="s">
        <v>3057</v>
      </c>
      <c r="I392" s="4" t="s">
        <v>3057</v>
      </c>
      <c r="J392" s="4" t="s">
        <v>3057</v>
      </c>
      <c r="K392" s="4" t="s">
        <v>3057</v>
      </c>
      <c r="L392" s="4" t="s">
        <v>3057</v>
      </c>
      <c r="M392" s="4">
        <v>0</v>
      </c>
      <c r="N392" s="4" t="s">
        <v>3057</v>
      </c>
      <c r="O392" s="4" t="s">
        <v>3057</v>
      </c>
      <c r="P392" s="4" t="s">
        <v>3057</v>
      </c>
      <c r="Q392" s="4" t="s">
        <v>3057</v>
      </c>
      <c r="R392" s="4" t="s">
        <v>3057</v>
      </c>
      <c r="S392" s="4" t="s">
        <v>3057</v>
      </c>
      <c r="T392" s="4" t="s">
        <v>3057</v>
      </c>
      <c r="U392" s="4">
        <f t="shared" si="54"/>
        <v>0</v>
      </c>
      <c r="V392" s="5">
        <f t="shared" si="55"/>
        <v>0</v>
      </c>
      <c r="W392" s="5">
        <f t="shared" si="56"/>
        <v>0</v>
      </c>
      <c r="X392" s="7">
        <f t="shared" si="57"/>
        <v>0</v>
      </c>
      <c r="Y392" s="7">
        <f t="shared" si="62"/>
        <v>1.0000000000000004</v>
      </c>
      <c r="Z392" s="7" t="e">
        <f t="shared" si="58"/>
        <v>#DIV/0!</v>
      </c>
      <c r="AA392" t="str">
        <f t="shared" si="59"/>
        <v>C</v>
      </c>
      <c r="AB392" t="e">
        <f t="shared" si="60"/>
        <v>#DIV/0!</v>
      </c>
      <c r="AC392" t="e">
        <f t="shared" si="61"/>
        <v>#DIV/0!</v>
      </c>
    </row>
    <row r="393" spans="1:29" x14ac:dyDescent="0.25">
      <c r="A393" t="s">
        <v>3017</v>
      </c>
      <c r="B393" t="s">
        <v>3018</v>
      </c>
      <c r="C393" s="4" t="s">
        <v>3057</v>
      </c>
      <c r="D393" s="4" t="s">
        <v>3057</v>
      </c>
      <c r="E393" s="4" t="s">
        <v>3057</v>
      </c>
      <c r="F393" s="4" t="s">
        <v>3057</v>
      </c>
      <c r="G393" s="4" t="s">
        <v>3057</v>
      </c>
      <c r="H393" s="4" t="s">
        <v>3057</v>
      </c>
      <c r="I393" s="4" t="s">
        <v>3057</v>
      </c>
      <c r="J393" s="4" t="s">
        <v>3057</v>
      </c>
      <c r="K393" s="4" t="s">
        <v>3057</v>
      </c>
      <c r="L393" s="4" t="s">
        <v>3057</v>
      </c>
      <c r="M393" s="4">
        <v>0</v>
      </c>
      <c r="N393" s="4" t="s">
        <v>3057</v>
      </c>
      <c r="O393" s="4" t="s">
        <v>3057</v>
      </c>
      <c r="P393" s="4" t="s">
        <v>3057</v>
      </c>
      <c r="Q393" s="4" t="s">
        <v>3057</v>
      </c>
      <c r="R393" s="4" t="s">
        <v>3057</v>
      </c>
      <c r="S393" s="4" t="s">
        <v>3057</v>
      </c>
      <c r="T393" s="4" t="s">
        <v>3057</v>
      </c>
      <c r="U393" s="4">
        <f t="shared" si="54"/>
        <v>0</v>
      </c>
      <c r="V393" s="5">
        <f t="shared" si="55"/>
        <v>0</v>
      </c>
      <c r="W393" s="5">
        <f t="shared" si="56"/>
        <v>0</v>
      </c>
      <c r="X393" s="7">
        <f t="shared" si="57"/>
        <v>0</v>
      </c>
      <c r="Y393" s="7">
        <f t="shared" si="62"/>
        <v>1.0000000000000004</v>
      </c>
      <c r="Z393" s="7" t="e">
        <f t="shared" si="58"/>
        <v>#DIV/0!</v>
      </c>
      <c r="AA393" t="str">
        <f t="shared" si="59"/>
        <v>C</v>
      </c>
      <c r="AB393" t="e">
        <f t="shared" si="60"/>
        <v>#DIV/0!</v>
      </c>
      <c r="AC393" t="e">
        <f t="shared" si="61"/>
        <v>#DIV/0!</v>
      </c>
    </row>
    <row r="394" spans="1:29" x14ac:dyDescent="0.25">
      <c r="A394" t="s">
        <v>3019</v>
      </c>
      <c r="B394" t="s">
        <v>3020</v>
      </c>
      <c r="C394" s="4" t="s">
        <v>3057</v>
      </c>
      <c r="D394" s="4" t="s">
        <v>3057</v>
      </c>
      <c r="E394" s="4" t="s">
        <v>3057</v>
      </c>
      <c r="F394" s="4" t="s">
        <v>3057</v>
      </c>
      <c r="G394" s="4" t="s">
        <v>3057</v>
      </c>
      <c r="H394" s="4" t="s">
        <v>3057</v>
      </c>
      <c r="I394" s="4" t="s">
        <v>3057</v>
      </c>
      <c r="J394" s="4" t="s">
        <v>3057</v>
      </c>
      <c r="K394" s="4" t="s">
        <v>3057</v>
      </c>
      <c r="L394" s="4" t="s">
        <v>3057</v>
      </c>
      <c r="M394" s="4">
        <v>0</v>
      </c>
      <c r="N394" s="4" t="s">
        <v>3057</v>
      </c>
      <c r="O394" s="4" t="s">
        <v>3057</v>
      </c>
      <c r="P394" s="4" t="s">
        <v>3057</v>
      </c>
      <c r="Q394" s="4" t="s">
        <v>3057</v>
      </c>
      <c r="R394" s="4" t="s">
        <v>3057</v>
      </c>
      <c r="S394" s="4" t="s">
        <v>3057</v>
      </c>
      <c r="T394" s="4" t="s">
        <v>3057</v>
      </c>
      <c r="U394" s="4">
        <f t="shared" si="54"/>
        <v>0</v>
      </c>
      <c r="V394" s="5">
        <f t="shared" si="55"/>
        <v>0</v>
      </c>
      <c r="W394" s="5">
        <f t="shared" si="56"/>
        <v>0</v>
      </c>
      <c r="X394" s="7">
        <f t="shared" si="57"/>
        <v>0</v>
      </c>
      <c r="Y394" s="7">
        <f t="shared" si="62"/>
        <v>1.0000000000000004</v>
      </c>
      <c r="Z394" s="7" t="e">
        <f t="shared" si="58"/>
        <v>#DIV/0!</v>
      </c>
      <c r="AA394" t="str">
        <f t="shared" si="59"/>
        <v>C</v>
      </c>
      <c r="AB394" t="e">
        <f t="shared" si="60"/>
        <v>#DIV/0!</v>
      </c>
      <c r="AC394" t="e">
        <f t="shared" si="61"/>
        <v>#DIV/0!</v>
      </c>
    </row>
    <row r="395" spans="1:29" x14ac:dyDescent="0.25">
      <c r="A395" t="s">
        <v>3021</v>
      </c>
      <c r="B395" t="s">
        <v>3022</v>
      </c>
      <c r="C395" s="4" t="s">
        <v>3057</v>
      </c>
      <c r="D395" s="4" t="s">
        <v>3057</v>
      </c>
      <c r="E395" s="4" t="s">
        <v>3057</v>
      </c>
      <c r="F395" s="4" t="s">
        <v>3057</v>
      </c>
      <c r="G395" s="4" t="s">
        <v>3057</v>
      </c>
      <c r="H395" s="4" t="s">
        <v>3057</v>
      </c>
      <c r="I395" s="4" t="s">
        <v>3057</v>
      </c>
      <c r="J395" s="4" t="s">
        <v>3057</v>
      </c>
      <c r="K395" s="4" t="s">
        <v>3057</v>
      </c>
      <c r="L395" s="4" t="s">
        <v>3057</v>
      </c>
      <c r="M395" s="4">
        <v>0</v>
      </c>
      <c r="N395" s="4" t="s">
        <v>3057</v>
      </c>
      <c r="O395" s="4" t="s">
        <v>3057</v>
      </c>
      <c r="P395" s="4" t="s">
        <v>3057</v>
      </c>
      <c r="Q395" s="4" t="s">
        <v>3057</v>
      </c>
      <c r="R395" s="4" t="s">
        <v>3057</v>
      </c>
      <c r="S395" s="4" t="s">
        <v>3057</v>
      </c>
      <c r="T395" s="4" t="s">
        <v>3057</v>
      </c>
      <c r="U395" s="4">
        <f t="shared" si="54"/>
        <v>0</v>
      </c>
      <c r="V395" s="5">
        <f t="shared" si="55"/>
        <v>0</v>
      </c>
      <c r="W395" s="5">
        <f t="shared" si="56"/>
        <v>0</v>
      </c>
      <c r="X395" s="7">
        <f t="shared" si="57"/>
        <v>0</v>
      </c>
      <c r="Y395" s="7">
        <f t="shared" si="62"/>
        <v>1.0000000000000004</v>
      </c>
      <c r="Z395" s="7" t="e">
        <f t="shared" si="58"/>
        <v>#DIV/0!</v>
      </c>
      <c r="AA395" t="str">
        <f t="shared" si="59"/>
        <v>C</v>
      </c>
      <c r="AB395" t="e">
        <f t="shared" si="60"/>
        <v>#DIV/0!</v>
      </c>
      <c r="AC395" t="e">
        <f t="shared" si="61"/>
        <v>#DIV/0!</v>
      </c>
    </row>
    <row r="396" spans="1:29" x14ac:dyDescent="0.25">
      <c r="A396" t="s">
        <v>3023</v>
      </c>
      <c r="B396" t="s">
        <v>3024</v>
      </c>
      <c r="C396" s="4" t="s">
        <v>3057</v>
      </c>
      <c r="D396" s="4" t="s">
        <v>3057</v>
      </c>
      <c r="E396" s="4" t="s">
        <v>3057</v>
      </c>
      <c r="F396" s="4" t="s">
        <v>3057</v>
      </c>
      <c r="G396" s="4" t="s">
        <v>3057</v>
      </c>
      <c r="H396" s="4" t="s">
        <v>3057</v>
      </c>
      <c r="I396" s="4" t="s">
        <v>3057</v>
      </c>
      <c r="J396" s="4" t="s">
        <v>3057</v>
      </c>
      <c r="K396" s="4" t="s">
        <v>3057</v>
      </c>
      <c r="L396" s="4" t="s">
        <v>3057</v>
      </c>
      <c r="M396" s="4">
        <v>0</v>
      </c>
      <c r="N396" s="4" t="s">
        <v>3057</v>
      </c>
      <c r="O396" s="4" t="s">
        <v>3057</v>
      </c>
      <c r="P396" s="4" t="s">
        <v>3057</v>
      </c>
      <c r="Q396" s="4" t="s">
        <v>3057</v>
      </c>
      <c r="R396" s="4" t="s">
        <v>3057</v>
      </c>
      <c r="S396" s="4" t="s">
        <v>3057</v>
      </c>
      <c r="T396" s="4" t="s">
        <v>3057</v>
      </c>
      <c r="U396" s="4">
        <f t="shared" si="54"/>
        <v>0</v>
      </c>
      <c r="V396" s="5">
        <f t="shared" si="55"/>
        <v>0</v>
      </c>
      <c r="W396" s="5">
        <f t="shared" si="56"/>
        <v>0</v>
      </c>
      <c r="X396" s="7">
        <f t="shared" si="57"/>
        <v>0</v>
      </c>
      <c r="Y396" s="7">
        <f t="shared" si="62"/>
        <v>1.0000000000000004</v>
      </c>
      <c r="Z396" s="7" t="e">
        <f t="shared" si="58"/>
        <v>#DIV/0!</v>
      </c>
      <c r="AA396" t="str">
        <f t="shared" si="59"/>
        <v>C</v>
      </c>
      <c r="AB396" t="e">
        <f t="shared" si="60"/>
        <v>#DIV/0!</v>
      </c>
      <c r="AC396" t="e">
        <f t="shared" si="61"/>
        <v>#DIV/0!</v>
      </c>
    </row>
    <row r="397" spans="1:29" x14ac:dyDescent="0.25">
      <c r="A397" t="s">
        <v>3025</v>
      </c>
      <c r="B397" t="s">
        <v>3026</v>
      </c>
      <c r="C397" s="4" t="s">
        <v>3057</v>
      </c>
      <c r="D397" s="4" t="s">
        <v>3057</v>
      </c>
      <c r="E397" s="4" t="s">
        <v>3057</v>
      </c>
      <c r="F397" s="4" t="s">
        <v>3057</v>
      </c>
      <c r="G397" s="4" t="s">
        <v>3057</v>
      </c>
      <c r="H397" s="4" t="s">
        <v>3057</v>
      </c>
      <c r="I397" s="4" t="s">
        <v>3057</v>
      </c>
      <c r="J397" s="4" t="s">
        <v>3057</v>
      </c>
      <c r="K397" s="4" t="s">
        <v>3057</v>
      </c>
      <c r="L397" s="4" t="s">
        <v>3057</v>
      </c>
      <c r="M397" s="4">
        <v>0</v>
      </c>
      <c r="N397" s="4" t="s">
        <v>3057</v>
      </c>
      <c r="O397" s="4" t="s">
        <v>3057</v>
      </c>
      <c r="P397" s="4" t="s">
        <v>3057</v>
      </c>
      <c r="Q397" s="4" t="s">
        <v>3057</v>
      </c>
      <c r="R397" s="4" t="s">
        <v>3057</v>
      </c>
      <c r="S397" s="4" t="s">
        <v>3057</v>
      </c>
      <c r="T397" s="4" t="s">
        <v>3057</v>
      </c>
      <c r="U397" s="4">
        <f t="shared" si="54"/>
        <v>0</v>
      </c>
      <c r="V397" s="5">
        <f t="shared" si="55"/>
        <v>0</v>
      </c>
      <c r="W397" s="5">
        <f t="shared" si="56"/>
        <v>0</v>
      </c>
      <c r="X397" s="7">
        <f t="shared" si="57"/>
        <v>0</v>
      </c>
      <c r="Y397" s="7">
        <f t="shared" si="62"/>
        <v>1.0000000000000004</v>
      </c>
      <c r="Z397" s="7" t="e">
        <f t="shared" si="58"/>
        <v>#DIV/0!</v>
      </c>
      <c r="AA397" t="str">
        <f t="shared" si="59"/>
        <v>C</v>
      </c>
      <c r="AB397" t="e">
        <f t="shared" si="60"/>
        <v>#DIV/0!</v>
      </c>
      <c r="AC397" t="e">
        <f t="shared" si="61"/>
        <v>#DIV/0!</v>
      </c>
    </row>
    <row r="398" spans="1:29" x14ac:dyDescent="0.25">
      <c r="A398" t="s">
        <v>3027</v>
      </c>
      <c r="B398" t="s">
        <v>3028</v>
      </c>
      <c r="C398" s="4" t="s">
        <v>3057</v>
      </c>
      <c r="D398" s="4" t="s">
        <v>3057</v>
      </c>
      <c r="E398" s="4" t="s">
        <v>3057</v>
      </c>
      <c r="F398" s="4" t="s">
        <v>3057</v>
      </c>
      <c r="G398" s="4" t="s">
        <v>3057</v>
      </c>
      <c r="H398" s="4" t="s">
        <v>3057</v>
      </c>
      <c r="I398" s="4" t="s">
        <v>3057</v>
      </c>
      <c r="J398" s="4" t="s">
        <v>3057</v>
      </c>
      <c r="K398" s="4" t="s">
        <v>3057</v>
      </c>
      <c r="L398" s="4" t="s">
        <v>3057</v>
      </c>
      <c r="M398" s="4">
        <v>0</v>
      </c>
      <c r="N398" s="4" t="s">
        <v>3057</v>
      </c>
      <c r="O398" s="4" t="s">
        <v>3057</v>
      </c>
      <c r="P398" s="4" t="s">
        <v>3057</v>
      </c>
      <c r="Q398" s="4" t="s">
        <v>3057</v>
      </c>
      <c r="R398" s="4" t="s">
        <v>3057</v>
      </c>
      <c r="S398" s="4" t="s">
        <v>3057</v>
      </c>
      <c r="T398" s="4" t="s">
        <v>3057</v>
      </c>
      <c r="U398" s="4">
        <f t="shared" si="54"/>
        <v>0</v>
      </c>
      <c r="V398" s="5">
        <f t="shared" si="55"/>
        <v>0</v>
      </c>
      <c r="W398" s="5">
        <f t="shared" si="56"/>
        <v>0</v>
      </c>
      <c r="X398" s="7">
        <f t="shared" si="57"/>
        <v>0</v>
      </c>
      <c r="Y398" s="7">
        <f t="shared" si="62"/>
        <v>1.0000000000000004</v>
      </c>
      <c r="Z398" s="7" t="e">
        <f t="shared" si="58"/>
        <v>#DIV/0!</v>
      </c>
      <c r="AA398" t="str">
        <f t="shared" si="59"/>
        <v>C</v>
      </c>
      <c r="AB398" t="e">
        <f t="shared" si="60"/>
        <v>#DIV/0!</v>
      </c>
      <c r="AC398" t="e">
        <f t="shared" si="61"/>
        <v>#DIV/0!</v>
      </c>
    </row>
    <row r="399" spans="1:29" x14ac:dyDescent="0.25">
      <c r="A399" t="s">
        <v>3029</v>
      </c>
      <c r="B399" t="s">
        <v>3030</v>
      </c>
      <c r="C399" s="4" t="s">
        <v>3057</v>
      </c>
      <c r="D399" s="4" t="s">
        <v>3057</v>
      </c>
      <c r="E399" s="4" t="s">
        <v>3057</v>
      </c>
      <c r="F399" s="4" t="s">
        <v>3057</v>
      </c>
      <c r="G399" s="4" t="s">
        <v>3057</v>
      </c>
      <c r="H399" s="4" t="s">
        <v>3057</v>
      </c>
      <c r="I399" s="4" t="s">
        <v>3057</v>
      </c>
      <c r="J399" s="4" t="s">
        <v>3057</v>
      </c>
      <c r="K399" s="4" t="s">
        <v>3057</v>
      </c>
      <c r="L399" s="4" t="s">
        <v>3057</v>
      </c>
      <c r="M399" s="4">
        <v>0</v>
      </c>
      <c r="N399" s="4" t="s">
        <v>3057</v>
      </c>
      <c r="O399" s="4" t="s">
        <v>3057</v>
      </c>
      <c r="P399" s="4" t="s">
        <v>3057</v>
      </c>
      <c r="Q399" s="4" t="s">
        <v>3057</v>
      </c>
      <c r="R399" s="4" t="s">
        <v>3057</v>
      </c>
      <c r="S399" s="4" t="s">
        <v>3057</v>
      </c>
      <c r="T399" s="4" t="s">
        <v>3057</v>
      </c>
      <c r="U399" s="4">
        <f t="shared" si="54"/>
        <v>0</v>
      </c>
      <c r="V399" s="5">
        <f t="shared" si="55"/>
        <v>0</v>
      </c>
      <c r="W399" s="5">
        <f t="shared" si="56"/>
        <v>0</v>
      </c>
      <c r="X399" s="7">
        <f t="shared" si="57"/>
        <v>0</v>
      </c>
      <c r="Y399" s="7">
        <f t="shared" si="62"/>
        <v>1.0000000000000004</v>
      </c>
      <c r="Z399" s="7" t="e">
        <f t="shared" si="58"/>
        <v>#DIV/0!</v>
      </c>
      <c r="AA399" t="str">
        <f t="shared" si="59"/>
        <v>C</v>
      </c>
      <c r="AB399" t="e">
        <f t="shared" si="60"/>
        <v>#DIV/0!</v>
      </c>
      <c r="AC399" t="e">
        <f t="shared" si="61"/>
        <v>#DIV/0!</v>
      </c>
    </row>
    <row r="400" spans="1:29" x14ac:dyDescent="0.25">
      <c r="A400" t="s">
        <v>3032</v>
      </c>
      <c r="B400" t="s">
        <v>3033</v>
      </c>
      <c r="C400" s="4" t="s">
        <v>3057</v>
      </c>
      <c r="D400" s="4" t="s">
        <v>3057</v>
      </c>
      <c r="E400" s="4" t="s">
        <v>3057</v>
      </c>
      <c r="F400" s="4" t="s">
        <v>3057</v>
      </c>
      <c r="G400" s="4" t="s">
        <v>3057</v>
      </c>
      <c r="H400" s="4" t="s">
        <v>3057</v>
      </c>
      <c r="I400" s="4" t="s">
        <v>3057</v>
      </c>
      <c r="J400" s="4" t="s">
        <v>3057</v>
      </c>
      <c r="K400" s="4" t="s">
        <v>3057</v>
      </c>
      <c r="L400" s="4" t="s">
        <v>3057</v>
      </c>
      <c r="M400" s="4">
        <v>0</v>
      </c>
      <c r="N400" s="4" t="s">
        <v>3057</v>
      </c>
      <c r="O400" s="4" t="s">
        <v>3057</v>
      </c>
      <c r="P400" s="4" t="s">
        <v>3057</v>
      </c>
      <c r="Q400" s="4" t="s">
        <v>3057</v>
      </c>
      <c r="R400" s="4" t="s">
        <v>3057</v>
      </c>
      <c r="S400" s="4" t="s">
        <v>3057</v>
      </c>
      <c r="T400" s="4" t="s">
        <v>3057</v>
      </c>
      <c r="U400" s="4">
        <f t="shared" si="54"/>
        <v>0</v>
      </c>
      <c r="V400" s="5">
        <f t="shared" si="55"/>
        <v>0</v>
      </c>
      <c r="W400" s="5">
        <f t="shared" si="56"/>
        <v>0</v>
      </c>
      <c r="X400" s="7">
        <f t="shared" si="57"/>
        <v>0</v>
      </c>
      <c r="Y400" s="7">
        <f t="shared" si="62"/>
        <v>1.0000000000000004</v>
      </c>
      <c r="Z400" s="7" t="e">
        <f t="shared" si="58"/>
        <v>#DIV/0!</v>
      </c>
      <c r="AA400" t="str">
        <f t="shared" si="59"/>
        <v>C</v>
      </c>
      <c r="AB400" t="e">
        <f t="shared" si="60"/>
        <v>#DIV/0!</v>
      </c>
      <c r="AC400" t="e">
        <f t="shared" si="61"/>
        <v>#DIV/0!</v>
      </c>
    </row>
    <row r="401" spans="1:29" x14ac:dyDescent="0.25">
      <c r="A401" t="s">
        <v>3035</v>
      </c>
      <c r="B401" t="s">
        <v>3036</v>
      </c>
      <c r="C401" s="4" t="s">
        <v>3057</v>
      </c>
      <c r="D401" s="4" t="s">
        <v>3057</v>
      </c>
      <c r="E401" s="4" t="s">
        <v>3057</v>
      </c>
      <c r="F401" s="4" t="s">
        <v>3057</v>
      </c>
      <c r="G401" s="4" t="s">
        <v>3057</v>
      </c>
      <c r="H401" s="4" t="s">
        <v>3057</v>
      </c>
      <c r="I401" s="4" t="s">
        <v>3057</v>
      </c>
      <c r="J401" s="4" t="s">
        <v>3057</v>
      </c>
      <c r="K401" s="4" t="s">
        <v>3057</v>
      </c>
      <c r="L401" s="4" t="s">
        <v>3057</v>
      </c>
      <c r="M401" s="4">
        <v>0</v>
      </c>
      <c r="N401" s="4" t="s">
        <v>3057</v>
      </c>
      <c r="O401" s="4" t="s">
        <v>3057</v>
      </c>
      <c r="P401" s="4" t="s">
        <v>3057</v>
      </c>
      <c r="Q401" s="4" t="s">
        <v>3057</v>
      </c>
      <c r="R401" s="4" t="s">
        <v>3057</v>
      </c>
      <c r="S401" s="4" t="s">
        <v>3057</v>
      </c>
      <c r="T401" s="4" t="s">
        <v>3057</v>
      </c>
      <c r="U401" s="4">
        <f t="shared" si="54"/>
        <v>0</v>
      </c>
      <c r="V401" s="5">
        <f t="shared" si="55"/>
        <v>0</v>
      </c>
      <c r="W401" s="5">
        <f t="shared" si="56"/>
        <v>0</v>
      </c>
      <c r="X401" s="7">
        <f t="shared" si="57"/>
        <v>0</v>
      </c>
      <c r="Y401" s="7">
        <f t="shared" si="62"/>
        <v>1.0000000000000004</v>
      </c>
      <c r="Z401" s="7" t="e">
        <f t="shared" si="58"/>
        <v>#DIV/0!</v>
      </c>
      <c r="AA401" t="str">
        <f t="shared" si="59"/>
        <v>C</v>
      </c>
      <c r="AB401" t="e">
        <f t="shared" si="60"/>
        <v>#DIV/0!</v>
      </c>
      <c r="AC401" t="e">
        <f t="shared" si="61"/>
        <v>#DIV/0!</v>
      </c>
    </row>
    <row r="402" spans="1:29" x14ac:dyDescent="0.25">
      <c r="A402" t="s">
        <v>3037</v>
      </c>
      <c r="B402" t="s">
        <v>3038</v>
      </c>
      <c r="C402" s="4" t="s">
        <v>3057</v>
      </c>
      <c r="D402" s="4" t="s">
        <v>3057</v>
      </c>
      <c r="E402" s="4" t="s">
        <v>3057</v>
      </c>
      <c r="F402" s="4" t="s">
        <v>3057</v>
      </c>
      <c r="G402" s="4" t="s">
        <v>3057</v>
      </c>
      <c r="H402" s="4" t="s">
        <v>3057</v>
      </c>
      <c r="I402" s="4" t="s">
        <v>3057</v>
      </c>
      <c r="J402" s="4" t="s">
        <v>3057</v>
      </c>
      <c r="K402" s="4" t="s">
        <v>3057</v>
      </c>
      <c r="L402" s="4" t="s">
        <v>3057</v>
      </c>
      <c r="M402" s="4">
        <v>0</v>
      </c>
      <c r="N402" s="4" t="s">
        <v>3057</v>
      </c>
      <c r="O402" s="4" t="s">
        <v>3057</v>
      </c>
      <c r="P402" s="4" t="s">
        <v>3057</v>
      </c>
      <c r="Q402" s="4" t="s">
        <v>3057</v>
      </c>
      <c r="R402" s="4" t="s">
        <v>3057</v>
      </c>
      <c r="S402" s="4" t="s">
        <v>3057</v>
      </c>
      <c r="T402" s="4" t="s">
        <v>3057</v>
      </c>
      <c r="U402" s="4">
        <f t="shared" si="54"/>
        <v>0</v>
      </c>
      <c r="V402" s="5">
        <f t="shared" si="55"/>
        <v>0</v>
      </c>
      <c r="W402" s="5">
        <f t="shared" si="56"/>
        <v>0</v>
      </c>
      <c r="X402" s="7">
        <f t="shared" si="57"/>
        <v>0</v>
      </c>
      <c r="Y402" s="7">
        <f t="shared" si="62"/>
        <v>1.0000000000000004</v>
      </c>
      <c r="Z402" s="7" t="e">
        <f t="shared" si="58"/>
        <v>#DIV/0!</v>
      </c>
      <c r="AA402" t="str">
        <f t="shared" si="59"/>
        <v>C</v>
      </c>
      <c r="AB402" t="e">
        <f t="shared" si="60"/>
        <v>#DIV/0!</v>
      </c>
      <c r="AC402" t="e">
        <f t="shared" si="61"/>
        <v>#DIV/0!</v>
      </c>
    </row>
    <row r="403" spans="1:29" x14ac:dyDescent="0.25">
      <c r="A403" t="s">
        <v>3039</v>
      </c>
      <c r="B403" t="s">
        <v>3040</v>
      </c>
      <c r="C403" s="4" t="s">
        <v>3057</v>
      </c>
      <c r="D403" s="4" t="s">
        <v>3057</v>
      </c>
      <c r="E403" s="4" t="s">
        <v>3057</v>
      </c>
      <c r="F403" s="4" t="s">
        <v>3057</v>
      </c>
      <c r="G403" s="4" t="s">
        <v>3057</v>
      </c>
      <c r="H403" s="4" t="s">
        <v>3057</v>
      </c>
      <c r="I403" s="4" t="s">
        <v>3057</v>
      </c>
      <c r="J403" s="4" t="s">
        <v>3057</v>
      </c>
      <c r="K403" s="4" t="s">
        <v>3057</v>
      </c>
      <c r="L403" s="4" t="s">
        <v>3057</v>
      </c>
      <c r="M403" s="4">
        <v>0</v>
      </c>
      <c r="N403" s="4" t="s">
        <v>3057</v>
      </c>
      <c r="O403" s="4" t="s">
        <v>3057</v>
      </c>
      <c r="P403" s="4" t="s">
        <v>3057</v>
      </c>
      <c r="Q403" s="4" t="s">
        <v>3057</v>
      </c>
      <c r="R403" s="4" t="s">
        <v>3057</v>
      </c>
      <c r="S403" s="4" t="s">
        <v>3057</v>
      </c>
      <c r="T403" s="4" t="s">
        <v>3057</v>
      </c>
      <c r="U403" s="4">
        <f t="shared" si="54"/>
        <v>0</v>
      </c>
      <c r="V403" s="5">
        <f t="shared" si="55"/>
        <v>0</v>
      </c>
      <c r="W403" s="5">
        <f t="shared" si="56"/>
        <v>0</v>
      </c>
      <c r="X403" s="7">
        <f t="shared" si="57"/>
        <v>0</v>
      </c>
      <c r="Y403" s="7">
        <f t="shared" si="62"/>
        <v>1.0000000000000004</v>
      </c>
      <c r="Z403" s="7" t="e">
        <f t="shared" si="58"/>
        <v>#DIV/0!</v>
      </c>
      <c r="AA403" t="str">
        <f t="shared" si="59"/>
        <v>C</v>
      </c>
      <c r="AB403" t="e">
        <f t="shared" si="60"/>
        <v>#DIV/0!</v>
      </c>
      <c r="AC403" t="e">
        <f t="shared" si="61"/>
        <v>#DIV/0!</v>
      </c>
    </row>
    <row r="404" spans="1:29" x14ac:dyDescent="0.25">
      <c r="A404" t="s">
        <v>3043</v>
      </c>
      <c r="B404" t="s">
        <v>3044</v>
      </c>
      <c r="C404" s="4" t="s">
        <v>3057</v>
      </c>
      <c r="D404" s="4" t="s">
        <v>3057</v>
      </c>
      <c r="E404" s="4" t="s">
        <v>3057</v>
      </c>
      <c r="F404" s="4" t="s">
        <v>3057</v>
      </c>
      <c r="G404" s="4" t="s">
        <v>3057</v>
      </c>
      <c r="H404" s="4" t="s">
        <v>3057</v>
      </c>
      <c r="I404" s="4" t="s">
        <v>3057</v>
      </c>
      <c r="J404" s="4" t="s">
        <v>3057</v>
      </c>
      <c r="K404" s="4" t="s">
        <v>3057</v>
      </c>
      <c r="L404" s="4" t="s">
        <v>3057</v>
      </c>
      <c r="M404" s="4">
        <v>0</v>
      </c>
      <c r="N404" s="4" t="s">
        <v>3057</v>
      </c>
      <c r="O404" s="4" t="s">
        <v>3057</v>
      </c>
      <c r="P404" s="4" t="s">
        <v>3057</v>
      </c>
      <c r="Q404" s="4" t="s">
        <v>3057</v>
      </c>
      <c r="R404" s="4" t="s">
        <v>3057</v>
      </c>
      <c r="S404" s="4" t="s">
        <v>3057</v>
      </c>
      <c r="T404" s="4" t="s">
        <v>3057</v>
      </c>
      <c r="U404" s="4">
        <f t="shared" si="54"/>
        <v>0</v>
      </c>
      <c r="V404" s="5">
        <f t="shared" si="55"/>
        <v>0</v>
      </c>
      <c r="W404" s="5">
        <f t="shared" si="56"/>
        <v>0</v>
      </c>
      <c r="X404" s="7">
        <f t="shared" si="57"/>
        <v>0</v>
      </c>
      <c r="Y404" s="7">
        <f t="shared" si="62"/>
        <v>1.0000000000000004</v>
      </c>
      <c r="Z404" s="7" t="e">
        <f t="shared" si="58"/>
        <v>#DIV/0!</v>
      </c>
      <c r="AA404" t="str">
        <f t="shared" si="59"/>
        <v>C</v>
      </c>
      <c r="AB404" t="e">
        <f t="shared" si="60"/>
        <v>#DIV/0!</v>
      </c>
      <c r="AC404" t="e">
        <f t="shared" si="61"/>
        <v>#DIV/0!</v>
      </c>
    </row>
    <row r="405" spans="1:29" x14ac:dyDescent="0.25">
      <c r="A405" t="s">
        <v>3045</v>
      </c>
      <c r="B405" t="s">
        <v>3046</v>
      </c>
      <c r="C405" s="4" t="s">
        <v>3057</v>
      </c>
      <c r="D405" s="4" t="s">
        <v>3057</v>
      </c>
      <c r="E405" s="4" t="s">
        <v>3057</v>
      </c>
      <c r="F405" s="4" t="s">
        <v>3057</v>
      </c>
      <c r="G405" s="4" t="s">
        <v>3057</v>
      </c>
      <c r="H405" s="4" t="s">
        <v>3057</v>
      </c>
      <c r="I405" s="4" t="s">
        <v>3057</v>
      </c>
      <c r="J405" s="4" t="s">
        <v>3057</v>
      </c>
      <c r="K405" s="4" t="s">
        <v>3057</v>
      </c>
      <c r="L405" s="4" t="s">
        <v>3057</v>
      </c>
      <c r="M405" s="4">
        <v>0</v>
      </c>
      <c r="N405" s="4" t="s">
        <v>3057</v>
      </c>
      <c r="O405" s="4" t="s">
        <v>3057</v>
      </c>
      <c r="P405" s="4" t="s">
        <v>3057</v>
      </c>
      <c r="Q405" s="4" t="s">
        <v>3057</v>
      </c>
      <c r="R405" s="4" t="s">
        <v>3057</v>
      </c>
      <c r="S405" s="4" t="s">
        <v>3057</v>
      </c>
      <c r="T405" s="4" t="s">
        <v>3057</v>
      </c>
      <c r="U405" s="4">
        <f t="shared" si="54"/>
        <v>0</v>
      </c>
      <c r="V405" s="5">
        <f t="shared" si="55"/>
        <v>0</v>
      </c>
      <c r="W405" s="5">
        <f t="shared" si="56"/>
        <v>0</v>
      </c>
      <c r="X405" s="7">
        <f t="shared" si="57"/>
        <v>0</v>
      </c>
      <c r="Y405" s="7">
        <f t="shared" si="62"/>
        <v>1.0000000000000004</v>
      </c>
      <c r="Z405" s="7" t="e">
        <f t="shared" si="58"/>
        <v>#DIV/0!</v>
      </c>
      <c r="AA405" t="str">
        <f t="shared" si="59"/>
        <v>C</v>
      </c>
      <c r="AB405" t="e">
        <f t="shared" si="60"/>
        <v>#DIV/0!</v>
      </c>
      <c r="AC405" t="e">
        <f t="shared" si="61"/>
        <v>#DIV/0!</v>
      </c>
    </row>
    <row r="406" spans="1:29" x14ac:dyDescent="0.25">
      <c r="A406" t="s">
        <v>3047</v>
      </c>
      <c r="B406" t="s">
        <v>3048</v>
      </c>
      <c r="C406" s="4" t="s">
        <v>3057</v>
      </c>
      <c r="D406" s="4" t="s">
        <v>3057</v>
      </c>
      <c r="E406" s="4" t="s">
        <v>3057</v>
      </c>
      <c r="F406" s="4" t="s">
        <v>3057</v>
      </c>
      <c r="G406" s="4" t="s">
        <v>3057</v>
      </c>
      <c r="H406" s="4" t="s">
        <v>3057</v>
      </c>
      <c r="I406" s="4" t="s">
        <v>3057</v>
      </c>
      <c r="J406" s="4" t="s">
        <v>3057</v>
      </c>
      <c r="K406" s="4" t="s">
        <v>3057</v>
      </c>
      <c r="L406" s="4" t="s">
        <v>3057</v>
      </c>
      <c r="M406" s="4">
        <v>0</v>
      </c>
      <c r="N406" s="4" t="s">
        <v>3057</v>
      </c>
      <c r="O406" s="4" t="s">
        <v>3057</v>
      </c>
      <c r="P406" s="4" t="s">
        <v>3057</v>
      </c>
      <c r="Q406" s="4" t="s">
        <v>3057</v>
      </c>
      <c r="R406" s="4" t="s">
        <v>3057</v>
      </c>
      <c r="S406" s="4" t="s">
        <v>3057</v>
      </c>
      <c r="T406" s="4" t="s">
        <v>3057</v>
      </c>
      <c r="U406" s="4">
        <f t="shared" si="54"/>
        <v>0</v>
      </c>
      <c r="V406" s="5">
        <f t="shared" si="55"/>
        <v>0</v>
      </c>
      <c r="W406" s="5">
        <f t="shared" si="56"/>
        <v>0</v>
      </c>
      <c r="X406" s="7">
        <f t="shared" si="57"/>
        <v>0</v>
      </c>
      <c r="Y406" s="7">
        <f t="shared" si="62"/>
        <v>1.0000000000000004</v>
      </c>
      <c r="Z406" s="7" t="e">
        <f t="shared" si="58"/>
        <v>#DIV/0!</v>
      </c>
      <c r="AA406" t="str">
        <f t="shared" si="59"/>
        <v>C</v>
      </c>
      <c r="AB406" t="e">
        <f t="shared" si="60"/>
        <v>#DIV/0!</v>
      </c>
      <c r="AC406" t="e">
        <f t="shared" si="61"/>
        <v>#DIV/0!</v>
      </c>
    </row>
    <row r="407" spans="1:29" x14ac:dyDescent="0.25">
      <c r="A407" t="s">
        <v>3049</v>
      </c>
      <c r="B407" t="s">
        <v>3050</v>
      </c>
      <c r="C407" s="4" t="s">
        <v>3057</v>
      </c>
      <c r="D407" s="4" t="s">
        <v>3057</v>
      </c>
      <c r="E407" s="4" t="s">
        <v>3057</v>
      </c>
      <c r="F407" s="4" t="s">
        <v>3057</v>
      </c>
      <c r="G407" s="4" t="s">
        <v>3057</v>
      </c>
      <c r="H407" s="4" t="s">
        <v>3057</v>
      </c>
      <c r="I407" s="4" t="s">
        <v>3057</v>
      </c>
      <c r="J407" s="4" t="s">
        <v>3057</v>
      </c>
      <c r="K407" s="4" t="s">
        <v>3057</v>
      </c>
      <c r="L407" s="4" t="s">
        <v>3057</v>
      </c>
      <c r="M407" s="4">
        <v>0</v>
      </c>
      <c r="N407" s="4" t="s">
        <v>3057</v>
      </c>
      <c r="O407" s="4" t="s">
        <v>3057</v>
      </c>
      <c r="P407" s="4" t="s">
        <v>3057</v>
      </c>
      <c r="Q407" s="4" t="s">
        <v>3057</v>
      </c>
      <c r="R407" s="4" t="s">
        <v>3057</v>
      </c>
      <c r="S407" s="4" t="s">
        <v>3057</v>
      </c>
      <c r="T407" s="4" t="s">
        <v>3057</v>
      </c>
      <c r="U407" s="4">
        <f t="shared" si="54"/>
        <v>0</v>
      </c>
      <c r="V407" s="5">
        <f t="shared" si="55"/>
        <v>0</v>
      </c>
      <c r="W407" s="5">
        <f t="shared" si="56"/>
        <v>0</v>
      </c>
      <c r="X407" s="7">
        <f t="shared" si="57"/>
        <v>0</v>
      </c>
      <c r="Y407" s="7">
        <f t="shared" si="62"/>
        <v>1.0000000000000004</v>
      </c>
      <c r="Z407" s="7" t="e">
        <f t="shared" si="58"/>
        <v>#DIV/0!</v>
      </c>
      <c r="AA407" t="str">
        <f t="shared" si="59"/>
        <v>C</v>
      </c>
      <c r="AB407" t="e">
        <f t="shared" si="60"/>
        <v>#DIV/0!</v>
      </c>
      <c r="AC407" t="e">
        <f t="shared" si="61"/>
        <v>#DIV/0!</v>
      </c>
    </row>
    <row r="408" spans="1:29" x14ac:dyDescent="0.25">
      <c r="A408" t="s">
        <v>3051</v>
      </c>
      <c r="B408" t="s">
        <v>3052</v>
      </c>
      <c r="C408" s="4" t="s">
        <v>3057</v>
      </c>
      <c r="D408" s="4" t="s">
        <v>3057</v>
      </c>
      <c r="E408" s="4" t="s">
        <v>3057</v>
      </c>
      <c r="F408" s="4" t="s">
        <v>3057</v>
      </c>
      <c r="G408" s="4" t="s">
        <v>3057</v>
      </c>
      <c r="H408" s="4" t="s">
        <v>3057</v>
      </c>
      <c r="I408" s="4" t="s">
        <v>3057</v>
      </c>
      <c r="J408" s="4" t="s">
        <v>3057</v>
      </c>
      <c r="K408" s="4" t="s">
        <v>3057</v>
      </c>
      <c r="L408" s="4" t="s">
        <v>3057</v>
      </c>
      <c r="M408" s="4">
        <v>0</v>
      </c>
      <c r="N408" s="4" t="s">
        <v>3057</v>
      </c>
      <c r="O408" s="4" t="s">
        <v>3057</v>
      </c>
      <c r="P408" s="4" t="s">
        <v>3057</v>
      </c>
      <c r="Q408" s="4" t="s">
        <v>3057</v>
      </c>
      <c r="R408" s="4" t="s">
        <v>3057</v>
      </c>
      <c r="S408" s="4" t="s">
        <v>3057</v>
      </c>
      <c r="T408" s="4" t="s">
        <v>3057</v>
      </c>
      <c r="U408" s="4">
        <f t="shared" si="54"/>
        <v>0</v>
      </c>
      <c r="V408" s="5">
        <f t="shared" si="55"/>
        <v>0</v>
      </c>
      <c r="W408" s="5">
        <f t="shared" si="56"/>
        <v>0</v>
      </c>
      <c r="X408" s="7">
        <f t="shared" si="57"/>
        <v>0</v>
      </c>
      <c r="Y408" s="7">
        <f t="shared" si="62"/>
        <v>1.0000000000000004</v>
      </c>
      <c r="Z408" s="7" t="e">
        <f t="shared" si="58"/>
        <v>#DIV/0!</v>
      </c>
      <c r="AA408" t="str">
        <f t="shared" si="59"/>
        <v>C</v>
      </c>
      <c r="AB408" t="e">
        <f t="shared" si="60"/>
        <v>#DIV/0!</v>
      </c>
      <c r="AC408" t="e">
        <f t="shared" si="61"/>
        <v>#DIV/0!</v>
      </c>
    </row>
    <row r="409" spans="1:29" x14ac:dyDescent="0.25">
      <c r="A409" t="s">
        <v>3053</v>
      </c>
      <c r="B409" t="s">
        <v>3054</v>
      </c>
      <c r="C409" s="4" t="s">
        <v>3057</v>
      </c>
      <c r="D409" s="4" t="s">
        <v>3057</v>
      </c>
      <c r="E409" s="4" t="s">
        <v>3057</v>
      </c>
      <c r="F409" s="4" t="s">
        <v>3057</v>
      </c>
      <c r="G409" s="4" t="s">
        <v>3057</v>
      </c>
      <c r="H409" s="4" t="s">
        <v>3057</v>
      </c>
      <c r="I409" s="4" t="s">
        <v>3057</v>
      </c>
      <c r="J409" s="4" t="s">
        <v>3057</v>
      </c>
      <c r="K409" s="4" t="s">
        <v>3057</v>
      </c>
      <c r="L409" s="4" t="s">
        <v>3057</v>
      </c>
      <c r="M409" s="4">
        <v>0</v>
      </c>
      <c r="N409" s="4" t="s">
        <v>3057</v>
      </c>
      <c r="O409" s="4" t="s">
        <v>3057</v>
      </c>
      <c r="P409" s="4" t="s">
        <v>3057</v>
      </c>
      <c r="Q409" s="4" t="s">
        <v>3057</v>
      </c>
      <c r="R409" s="4" t="s">
        <v>3057</v>
      </c>
      <c r="S409" s="4" t="s">
        <v>3057</v>
      </c>
      <c r="T409" s="4" t="s">
        <v>3057</v>
      </c>
      <c r="U409" s="4">
        <f t="shared" si="54"/>
        <v>0</v>
      </c>
      <c r="V409" s="5">
        <f t="shared" si="55"/>
        <v>0</v>
      </c>
      <c r="W409" s="5">
        <f t="shared" si="56"/>
        <v>0</v>
      </c>
      <c r="X409" s="7">
        <f t="shared" si="57"/>
        <v>0</v>
      </c>
      <c r="Y409" s="7">
        <f t="shared" si="62"/>
        <v>1.0000000000000004</v>
      </c>
      <c r="Z409" s="7" t="e">
        <f t="shared" si="58"/>
        <v>#DIV/0!</v>
      </c>
      <c r="AA409" t="str">
        <f t="shared" si="59"/>
        <v>C</v>
      </c>
      <c r="AB409" t="e">
        <f t="shared" si="60"/>
        <v>#DIV/0!</v>
      </c>
      <c r="AC409" t="e">
        <f t="shared" si="61"/>
        <v>#DIV/0!</v>
      </c>
    </row>
    <row r="410" spans="1:29" x14ac:dyDescent="0.25">
      <c r="A410" t="s">
        <v>3055</v>
      </c>
      <c r="B410" t="s">
        <v>3056</v>
      </c>
      <c r="C410" s="4" t="s">
        <v>3057</v>
      </c>
      <c r="D410" s="4" t="s">
        <v>3057</v>
      </c>
      <c r="E410" s="4" t="s">
        <v>3057</v>
      </c>
      <c r="F410" s="4" t="s">
        <v>3057</v>
      </c>
      <c r="G410" s="4" t="s">
        <v>3057</v>
      </c>
      <c r="H410" s="4" t="s">
        <v>3057</v>
      </c>
      <c r="I410" s="4" t="s">
        <v>3057</v>
      </c>
      <c r="J410" s="4" t="s">
        <v>3057</v>
      </c>
      <c r="K410" s="4" t="s">
        <v>3057</v>
      </c>
      <c r="L410" s="4" t="s">
        <v>3057</v>
      </c>
      <c r="M410" s="4">
        <v>0</v>
      </c>
      <c r="N410" s="4" t="s">
        <v>3057</v>
      </c>
      <c r="O410" s="4" t="s">
        <v>3057</v>
      </c>
      <c r="P410" s="4" t="s">
        <v>3057</v>
      </c>
      <c r="Q410" s="4" t="s">
        <v>3057</v>
      </c>
      <c r="R410" s="4" t="s">
        <v>3057</v>
      </c>
      <c r="S410" s="4" t="s">
        <v>3057</v>
      </c>
      <c r="T410" s="4" t="s">
        <v>3057</v>
      </c>
      <c r="U410" s="4">
        <f t="shared" si="54"/>
        <v>0</v>
      </c>
      <c r="V410" s="5">
        <f t="shared" si="55"/>
        <v>0</v>
      </c>
      <c r="W410" s="5">
        <f t="shared" si="56"/>
        <v>0</v>
      </c>
      <c r="X410" s="7">
        <f t="shared" si="57"/>
        <v>0</v>
      </c>
      <c r="Y410" s="7">
        <f t="shared" si="62"/>
        <v>1.0000000000000004</v>
      </c>
      <c r="Z410" s="7" t="e">
        <f t="shared" si="58"/>
        <v>#DIV/0!</v>
      </c>
      <c r="AA410" t="str">
        <f t="shared" si="59"/>
        <v>C</v>
      </c>
      <c r="AB410" t="e">
        <f t="shared" si="60"/>
        <v>#DIV/0!</v>
      </c>
      <c r="AC410" t="e">
        <f t="shared" si="61"/>
        <v>#DIV/0!</v>
      </c>
    </row>
  </sheetData>
  <autoFilter ref="A1:X410" xr:uid="{72D54774-2AB1-4435-93D1-168E5FF0A599}">
    <sortState xmlns:xlrd2="http://schemas.microsoft.com/office/spreadsheetml/2017/richdata2" ref="A2:X410">
      <sortCondition descending="1" ref="U1:U410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92D13-B370-47D5-AC2C-11AE38B07653}">
  <dimension ref="A1:AP411"/>
  <sheetViews>
    <sheetView workbookViewId="0">
      <selection activeCell="AO6" sqref="AO6"/>
    </sheetView>
  </sheetViews>
  <sheetFormatPr defaultRowHeight="15" x14ac:dyDescent="0.25"/>
  <cols>
    <col min="1" max="1" width="22.85546875" customWidth="1"/>
    <col min="2" max="3" width="43.7109375" customWidth="1"/>
    <col min="4" max="4" width="9.140625" style="1"/>
    <col min="5" max="5" width="9.140625" style="8"/>
    <col min="6" max="6" width="9.140625" style="1"/>
    <col min="7" max="7" width="9.140625" style="8"/>
    <col min="8" max="8" width="9.140625" style="1"/>
    <col min="9" max="9" width="9.140625" style="8"/>
    <col min="10" max="10" width="9.140625" style="1"/>
    <col min="11" max="11" width="9.140625" style="8"/>
    <col min="12" max="12" width="9.140625" style="1"/>
    <col min="13" max="13" width="9.140625" style="8"/>
    <col min="14" max="14" width="9.140625" style="1"/>
    <col min="15" max="15" width="9.140625" style="8"/>
    <col min="16" max="16" width="9.140625" style="1"/>
    <col min="17" max="17" width="9.140625" style="8"/>
    <col min="18" max="18" width="9.140625" style="1"/>
    <col min="19" max="19" width="9.140625" style="8"/>
    <col min="20" max="20" width="9.140625" style="1"/>
    <col min="21" max="21" width="9.140625" style="8"/>
    <col min="22" max="22" width="9.140625" style="1"/>
    <col min="23" max="23" width="9.140625" style="8"/>
    <col min="24" max="24" width="9.140625" style="1"/>
    <col min="25" max="25" width="9.140625" style="8"/>
    <col min="26" max="26" width="9.140625" style="1"/>
    <col min="27" max="27" width="9.140625" style="8"/>
    <col min="28" max="28" width="9.140625" style="1"/>
    <col min="29" max="29" width="9.140625" style="8"/>
    <col min="30" max="30" width="9.140625" style="1"/>
    <col min="31" max="31" width="9.140625" style="8"/>
    <col min="32" max="32" width="9.140625" style="1"/>
    <col min="33" max="33" width="9.140625" style="8"/>
    <col min="34" max="34" width="9.140625" style="1"/>
    <col min="35" max="35" width="9.140625" style="8"/>
    <col min="36" max="36" width="9.140625" style="1"/>
    <col min="37" max="37" width="9.140625" style="8"/>
    <col min="38" max="38" width="9.140625" style="1"/>
    <col min="39" max="39" width="9.140625" style="8"/>
    <col min="40" max="40" width="13.5703125" bestFit="1" customWidth="1"/>
  </cols>
  <sheetData>
    <row r="1" spans="1:42" x14ac:dyDescent="0.25">
      <c r="C1">
        <v>0.3</v>
      </c>
    </row>
    <row r="2" spans="1:42" ht="41.25" customHeight="1" x14ac:dyDescent="0.25">
      <c r="A2" s="2" t="s">
        <v>2525</v>
      </c>
      <c r="B2" s="2" t="s">
        <v>2526</v>
      </c>
      <c r="C2" s="2" t="s">
        <v>3065</v>
      </c>
      <c r="D2" s="3">
        <v>45658</v>
      </c>
      <c r="E2" s="9" t="s">
        <v>3066</v>
      </c>
      <c r="F2" s="3">
        <v>45689</v>
      </c>
      <c r="G2" s="9" t="s">
        <v>3067</v>
      </c>
      <c r="H2" s="3">
        <v>45717</v>
      </c>
      <c r="I2" s="9" t="s">
        <v>3068</v>
      </c>
      <c r="J2" s="3">
        <v>45748</v>
      </c>
      <c r="K2" s="9" t="s">
        <v>3069</v>
      </c>
      <c r="L2" s="3">
        <v>45778</v>
      </c>
      <c r="M2" s="9" t="s">
        <v>3070</v>
      </c>
      <c r="N2" s="3">
        <v>45809</v>
      </c>
      <c r="O2" s="9" t="s">
        <v>3071</v>
      </c>
      <c r="P2" s="3">
        <v>45839</v>
      </c>
      <c r="Q2" s="9" t="s">
        <v>3072</v>
      </c>
      <c r="R2" s="3">
        <v>45870</v>
      </c>
      <c r="S2" s="11" t="s">
        <v>3073</v>
      </c>
      <c r="T2" s="3">
        <v>45901</v>
      </c>
      <c r="U2" s="9" t="s">
        <v>3074</v>
      </c>
      <c r="V2" s="3">
        <v>45931</v>
      </c>
      <c r="W2" s="9" t="s">
        <v>3075</v>
      </c>
      <c r="X2" s="3">
        <v>45962</v>
      </c>
      <c r="Y2" s="11" t="s">
        <v>3076</v>
      </c>
      <c r="Z2" s="3">
        <v>45992</v>
      </c>
      <c r="AA2" s="9" t="s">
        <v>3077</v>
      </c>
      <c r="AB2" s="3">
        <v>46023</v>
      </c>
      <c r="AC2" s="9" t="s">
        <v>3078</v>
      </c>
      <c r="AD2" s="3">
        <v>46054</v>
      </c>
      <c r="AE2" s="9" t="s">
        <v>3079</v>
      </c>
      <c r="AF2" s="3">
        <v>46082</v>
      </c>
      <c r="AG2" s="9" t="s">
        <v>3080</v>
      </c>
      <c r="AH2" s="3">
        <v>46113</v>
      </c>
      <c r="AI2" s="9" t="s">
        <v>3081</v>
      </c>
      <c r="AJ2" s="3">
        <v>46143</v>
      </c>
      <c r="AK2" s="9" t="s">
        <v>3082</v>
      </c>
      <c r="AL2" s="3">
        <v>46174</v>
      </c>
      <c r="AM2" s="9" t="s">
        <v>3083</v>
      </c>
      <c r="AN2" s="2" t="s">
        <v>3084</v>
      </c>
      <c r="AO2" t="s">
        <v>3085</v>
      </c>
      <c r="AP2" t="s">
        <v>3086</v>
      </c>
    </row>
    <row r="3" spans="1:42" x14ac:dyDescent="0.25">
      <c r="A3" t="s">
        <v>402</v>
      </c>
      <c r="B3" t="s">
        <v>2527</v>
      </c>
      <c r="C3" t="str">
        <f>_xlfn.XLOOKUP(A3,Fore!A:A,Fore!AC:AC)</f>
        <v>AY</v>
      </c>
      <c r="D3" s="4" t="s">
        <v>3057</v>
      </c>
      <c r="E3" s="10" t="str">
        <f>D3</f>
        <v>0</v>
      </c>
      <c r="F3" s="4" t="s">
        <v>3057</v>
      </c>
      <c r="G3" s="10">
        <f>$C$1*D3+(1-$C$1)*E3</f>
        <v>0</v>
      </c>
      <c r="H3" s="4" t="s">
        <v>3057</v>
      </c>
      <c r="I3" s="10">
        <f>$C$1*F3+(1-$C$1)*G3</f>
        <v>0</v>
      </c>
      <c r="J3" s="4">
        <v>3000</v>
      </c>
      <c r="K3" s="10">
        <f>$C$1*H3+(1-$C$1)*I3</f>
        <v>0</v>
      </c>
      <c r="L3" s="4">
        <v>4430</v>
      </c>
      <c r="M3" s="10">
        <f>$C$1*J3+(1-$C$1)*K3</f>
        <v>900</v>
      </c>
      <c r="N3" s="4">
        <v>4821</v>
      </c>
      <c r="O3" s="10">
        <f>$C$1*M3+(1-$C$1)*L3</f>
        <v>3371</v>
      </c>
      <c r="P3" s="4">
        <v>8079.9999999999973</v>
      </c>
      <c r="Q3" s="10">
        <f>$C$1*N3+(1-$C$1)*O3</f>
        <v>3806</v>
      </c>
      <c r="R3" s="4">
        <v>12240.999999999996</v>
      </c>
      <c r="S3" s="10">
        <f>$C$1*P3+(1-$C$1)*Q3</f>
        <v>5088.1999999999989</v>
      </c>
      <c r="T3" s="4">
        <v>7899.9999999999945</v>
      </c>
      <c r="U3" s="10">
        <f>$C$1*R3+(1-$C$1)*S3</f>
        <v>7234.0399999999972</v>
      </c>
      <c r="V3" s="4">
        <v>2224</v>
      </c>
      <c r="W3" s="10">
        <f>$C$1*T3+(1-$C$1)*U3</f>
        <v>7433.8279999999959</v>
      </c>
      <c r="X3" s="4">
        <v>3835.9999999999986</v>
      </c>
      <c r="Y3" s="10">
        <f>$C$1*V3+(1-$C$1)*W3</f>
        <v>5870.8795999999966</v>
      </c>
      <c r="Z3" s="4">
        <v>150</v>
      </c>
      <c r="AA3" s="10">
        <f>$C$1*X3+(1-$C$1)*Y3</f>
        <v>5260.4157199999963</v>
      </c>
      <c r="AB3" s="4">
        <v>1200</v>
      </c>
      <c r="AC3" s="10">
        <f>$C$1*Z3+(1-$C$1)*AA3</f>
        <v>3727.291003999997</v>
      </c>
      <c r="AD3" s="4">
        <v>4013.9999999999995</v>
      </c>
      <c r="AE3" s="10">
        <f>$C$1*AB3+(1-$C$1)*AC3</f>
        <v>2969.1037027999978</v>
      </c>
      <c r="AF3" s="4">
        <v>5676.9999999999991</v>
      </c>
      <c r="AG3" s="10">
        <f>$C$1*AD3+(1-$C$1)*AE3</f>
        <v>3282.5725919599981</v>
      </c>
      <c r="AH3" s="4">
        <v>3489</v>
      </c>
      <c r="AI3" s="10">
        <f>$C$1*AF3+(1-$C$1)*AG3</f>
        <v>4000.9008143719984</v>
      </c>
      <c r="AJ3" s="4">
        <v>9050</v>
      </c>
      <c r="AK3" s="10">
        <f>$C$1*AH3+(1-$C$1)*AI3</f>
        <v>3847.3305700603987</v>
      </c>
      <c r="AL3" s="4">
        <v>3450.0000000000005</v>
      </c>
      <c r="AM3" s="10">
        <f>$C$1*AJ3+(1-$C$1)*AK3</f>
        <v>5408.1313990422786</v>
      </c>
      <c r="AN3" s="5">
        <f>ABS(AL3-AM3)</f>
        <v>1958.1313990422782</v>
      </c>
      <c r="AO3" s="6">
        <f>IFERROR(ABS((AL3-AM3)/AL3),"0")</f>
        <v>0.56757431856297913</v>
      </c>
    </row>
    <row r="4" spans="1:42" x14ac:dyDescent="0.25">
      <c r="A4" t="s">
        <v>586</v>
      </c>
      <c r="B4" t="s">
        <v>2548</v>
      </c>
      <c r="C4" t="str">
        <f>_xlfn.XLOOKUP(A4,Fore!A:A,Fore!AC:AC)</f>
        <v>AY</v>
      </c>
      <c r="D4" s="4" t="s">
        <v>3057</v>
      </c>
      <c r="E4" s="10" t="str">
        <f t="shared" ref="E4:E67" si="0">D4</f>
        <v>0</v>
      </c>
      <c r="F4" s="4" t="s">
        <v>3057</v>
      </c>
      <c r="G4" s="10">
        <f t="shared" ref="G4:G67" si="1">$C$1*D4+(1-$C$1)*E4</f>
        <v>0</v>
      </c>
      <c r="H4" s="4" t="s">
        <v>3057</v>
      </c>
      <c r="I4" s="10">
        <f t="shared" ref="I4:I67" si="2">$C$1*F4+(1-$C$1)*G4</f>
        <v>0</v>
      </c>
      <c r="J4" s="4">
        <v>4300</v>
      </c>
      <c r="K4" s="10">
        <f t="shared" ref="K4:K67" si="3">$C$1*H4+(1-$C$1)*I4</f>
        <v>0</v>
      </c>
      <c r="L4" s="4">
        <v>1005</v>
      </c>
      <c r="M4" s="10">
        <f t="shared" ref="M4:M67" si="4">$C$1*J4+(1-$C$1)*K4</f>
        <v>1290</v>
      </c>
      <c r="N4" s="4">
        <v>3200</v>
      </c>
      <c r="O4" s="10">
        <f t="shared" ref="O4:O67" si="5">$C$1*M4+(1-$C$1)*L4</f>
        <v>1090.5</v>
      </c>
      <c r="P4" s="4">
        <v>7800</v>
      </c>
      <c r="Q4" s="10">
        <f t="shared" ref="Q4:Q67" si="6">$C$1*N4+(1-$C$1)*O4</f>
        <v>1723.35</v>
      </c>
      <c r="R4" s="4">
        <v>7893.9999999999982</v>
      </c>
      <c r="S4" s="10">
        <f t="shared" ref="S4:S67" si="7">$C$1*P4+(1-$C$1)*Q4</f>
        <v>3546.3449999999998</v>
      </c>
      <c r="T4" s="4">
        <v>8183.0000000000009</v>
      </c>
      <c r="U4" s="10">
        <f t="shared" ref="U4:U67" si="8">$C$1*R4+(1-$C$1)*S4</f>
        <v>4850.6414999999997</v>
      </c>
      <c r="V4" s="4">
        <v>4000</v>
      </c>
      <c r="W4" s="10">
        <f t="shared" ref="W4:W67" si="9">$C$1*T4+(1-$C$1)*U4</f>
        <v>5850.3490499999998</v>
      </c>
      <c r="X4" s="4">
        <v>3738.0000000000005</v>
      </c>
      <c r="Y4" s="10">
        <f t="shared" ref="Y4:Y67" si="10">$C$1*V4+(1-$C$1)*W4</f>
        <v>5295.2443349999994</v>
      </c>
      <c r="Z4" s="4">
        <v>200</v>
      </c>
      <c r="AA4" s="10">
        <f t="shared" ref="AA4:AA67" si="11">$C$1*X4+(1-$C$1)*Y4</f>
        <v>4828.0710344999989</v>
      </c>
      <c r="AB4" s="4">
        <v>1900</v>
      </c>
      <c r="AC4" s="10">
        <f t="shared" ref="AC4:AC67" si="12">$C$1*Z4+(1-$C$1)*AA4</f>
        <v>3439.6497241499992</v>
      </c>
      <c r="AD4" s="4">
        <v>3885.7499999999991</v>
      </c>
      <c r="AE4" s="10">
        <f t="shared" ref="AE4:AE67" si="13">$C$1*AB4+(1-$C$1)*AC4</f>
        <v>2977.7548069049994</v>
      </c>
      <c r="AF4" s="4">
        <v>3966</v>
      </c>
      <c r="AG4" s="10">
        <f t="shared" ref="AG4:AG67" si="14">$C$1*AD4+(1-$C$1)*AE4</f>
        <v>3250.1533648334989</v>
      </c>
      <c r="AH4" s="4">
        <v>3204.9990000000007</v>
      </c>
      <c r="AI4" s="10">
        <f t="shared" ref="AI4:AI67" si="15">$C$1*AF4+(1-$C$1)*AG4</f>
        <v>3464.9073553834487</v>
      </c>
      <c r="AJ4" s="4">
        <v>5798.3329999999978</v>
      </c>
      <c r="AK4" s="10">
        <f t="shared" ref="AK4:AK67" si="16">$C$1*AH4+(1-$C$1)*AI4</f>
        <v>3386.9348487684142</v>
      </c>
      <c r="AL4" s="4">
        <v>1100.6669999999999</v>
      </c>
      <c r="AM4" s="10">
        <f t="shared" ref="AM4:AM67" si="17">$C$1*AJ4+(1-$C$1)*AK4</f>
        <v>4110.3542941378892</v>
      </c>
      <c r="AN4" s="5">
        <f t="shared" ref="AN4:AN67" si="18">ABS(AL4-AM4)</f>
        <v>3009.6872941378892</v>
      </c>
      <c r="AO4" s="6">
        <f t="shared" ref="AO4:AO67" si="19">IFERROR(ABS((AL4-AM4)/AL4),"0")</f>
        <v>2.7344213046615273</v>
      </c>
    </row>
    <row r="5" spans="1:42" x14ac:dyDescent="0.25">
      <c r="A5" t="s">
        <v>408</v>
      </c>
      <c r="B5" t="s">
        <v>2528</v>
      </c>
      <c r="C5" t="str">
        <f>_xlfn.XLOOKUP(A5,Fore!A:A,Fore!AC:AC)</f>
        <v>AY</v>
      </c>
      <c r="D5" s="4" t="s">
        <v>3057</v>
      </c>
      <c r="E5" s="10" t="str">
        <f t="shared" si="0"/>
        <v>0</v>
      </c>
      <c r="F5" s="4" t="s">
        <v>3057</v>
      </c>
      <c r="G5" s="10">
        <f t="shared" si="1"/>
        <v>0</v>
      </c>
      <c r="H5" s="4" t="s">
        <v>3057</v>
      </c>
      <c r="I5" s="10">
        <f t="shared" si="2"/>
        <v>0</v>
      </c>
      <c r="J5" s="4">
        <v>1580</v>
      </c>
      <c r="K5" s="10">
        <f t="shared" si="3"/>
        <v>0</v>
      </c>
      <c r="L5" s="4">
        <v>700</v>
      </c>
      <c r="M5" s="10">
        <f t="shared" si="4"/>
        <v>474</v>
      </c>
      <c r="N5" s="4">
        <v>2473.3335999999999</v>
      </c>
      <c r="O5" s="10">
        <f t="shared" si="5"/>
        <v>632.19999999999993</v>
      </c>
      <c r="P5" s="4">
        <v>3777.5</v>
      </c>
      <c r="Q5" s="10">
        <f t="shared" si="6"/>
        <v>1184.5400799999998</v>
      </c>
      <c r="R5" s="4">
        <v>4183.5</v>
      </c>
      <c r="S5" s="10">
        <f t="shared" si="7"/>
        <v>1962.4280559999997</v>
      </c>
      <c r="T5" s="4">
        <v>2838.5000000000014</v>
      </c>
      <c r="U5" s="10">
        <f t="shared" si="8"/>
        <v>2628.7496391999994</v>
      </c>
      <c r="V5" s="4">
        <v>1850</v>
      </c>
      <c r="W5" s="10">
        <f t="shared" si="9"/>
        <v>2691.6747474399999</v>
      </c>
      <c r="X5" s="4">
        <v>2758</v>
      </c>
      <c r="Y5" s="10">
        <f t="shared" si="10"/>
        <v>2439.1723232079999</v>
      </c>
      <c r="Z5" s="4">
        <v>392</v>
      </c>
      <c r="AA5" s="10">
        <f t="shared" si="11"/>
        <v>2534.8206262455997</v>
      </c>
      <c r="AB5" s="4">
        <v>1000</v>
      </c>
      <c r="AC5" s="10">
        <f t="shared" si="12"/>
        <v>1891.9744383719196</v>
      </c>
      <c r="AD5" s="4">
        <v>3933.0000000000014</v>
      </c>
      <c r="AE5" s="10">
        <f t="shared" si="13"/>
        <v>1624.3821068603436</v>
      </c>
      <c r="AF5" s="4">
        <v>5067</v>
      </c>
      <c r="AG5" s="10">
        <f t="shared" si="14"/>
        <v>2316.9674748022408</v>
      </c>
      <c r="AH5" s="4">
        <v>4509.9999999999982</v>
      </c>
      <c r="AI5" s="10">
        <f t="shared" si="15"/>
        <v>3141.9772323615684</v>
      </c>
      <c r="AJ5" s="4">
        <v>9100.0000000000018</v>
      </c>
      <c r="AK5" s="10">
        <f t="shared" si="16"/>
        <v>3552.3840626530973</v>
      </c>
      <c r="AL5" s="4">
        <v>1678.0000000000002</v>
      </c>
      <c r="AM5" s="10">
        <f t="shared" si="17"/>
        <v>5216.6688438571682</v>
      </c>
      <c r="AN5" s="5">
        <f t="shared" si="18"/>
        <v>3538.6688438571682</v>
      </c>
      <c r="AO5" s="6">
        <f t="shared" si="19"/>
        <v>2.1088610511663695</v>
      </c>
    </row>
    <row r="6" spans="1:42" x14ac:dyDescent="0.25">
      <c r="A6" t="s">
        <v>355</v>
      </c>
      <c r="B6" t="s">
        <v>2529</v>
      </c>
      <c r="C6" t="str">
        <f>_xlfn.XLOOKUP(A6,Fore!A:A,Fore!AC:AC)</f>
        <v>AY</v>
      </c>
      <c r="D6" s="4">
        <v>2862</v>
      </c>
      <c r="E6" s="10">
        <f t="shared" si="0"/>
        <v>2862</v>
      </c>
      <c r="F6" s="4">
        <v>3150</v>
      </c>
      <c r="G6" s="10">
        <f t="shared" si="1"/>
        <v>2862</v>
      </c>
      <c r="H6" s="4">
        <v>3200.0007999999993</v>
      </c>
      <c r="I6" s="10">
        <f t="shared" si="2"/>
        <v>2948.3999999999996</v>
      </c>
      <c r="J6" s="4">
        <v>656</v>
      </c>
      <c r="K6" s="10">
        <f t="shared" si="3"/>
        <v>3023.8802399999995</v>
      </c>
      <c r="L6" s="4">
        <v>1183</v>
      </c>
      <c r="M6" s="10">
        <f t="shared" si="4"/>
        <v>2313.5161679999997</v>
      </c>
      <c r="N6" s="4">
        <v>2149.0001000000002</v>
      </c>
      <c r="O6" s="10">
        <f t="shared" si="5"/>
        <v>1522.1548503999998</v>
      </c>
      <c r="P6" s="4">
        <v>3138.9998999999998</v>
      </c>
      <c r="Q6" s="10">
        <f t="shared" si="6"/>
        <v>1710.20842528</v>
      </c>
      <c r="R6" s="4">
        <v>6278.0000000000018</v>
      </c>
      <c r="S6" s="10">
        <f t="shared" si="7"/>
        <v>2138.8458676959999</v>
      </c>
      <c r="T6" s="4">
        <v>3599.9999999999995</v>
      </c>
      <c r="U6" s="10">
        <f t="shared" si="8"/>
        <v>3380.5921073872005</v>
      </c>
      <c r="V6" s="4">
        <v>4162.0000000000009</v>
      </c>
      <c r="W6" s="10">
        <f t="shared" si="9"/>
        <v>3446.4144751710401</v>
      </c>
      <c r="X6" s="4">
        <v>3100</v>
      </c>
      <c r="Y6" s="10">
        <f t="shared" si="10"/>
        <v>3661.0901326197281</v>
      </c>
      <c r="Z6" s="4">
        <v>100</v>
      </c>
      <c r="AA6" s="10">
        <f t="shared" si="11"/>
        <v>3492.7630928338094</v>
      </c>
      <c r="AB6" s="4">
        <v>1500</v>
      </c>
      <c r="AC6" s="10">
        <f t="shared" si="12"/>
        <v>2474.9341649836665</v>
      </c>
      <c r="AD6" s="4">
        <v>800</v>
      </c>
      <c r="AE6" s="10">
        <f t="shared" si="13"/>
        <v>2182.4539154885665</v>
      </c>
      <c r="AF6" s="4">
        <v>2015</v>
      </c>
      <c r="AG6" s="10">
        <f t="shared" si="14"/>
        <v>1767.7177408419964</v>
      </c>
      <c r="AH6" s="4">
        <v>3132</v>
      </c>
      <c r="AI6" s="10">
        <f t="shared" si="15"/>
        <v>1841.9024185893975</v>
      </c>
      <c r="AJ6" s="4">
        <v>2732</v>
      </c>
      <c r="AK6" s="10">
        <f t="shared" si="16"/>
        <v>2228.9316930125779</v>
      </c>
      <c r="AL6" s="4">
        <v>1944.9999999999998</v>
      </c>
      <c r="AM6" s="10">
        <f t="shared" si="17"/>
        <v>2379.8521851088044</v>
      </c>
      <c r="AN6" s="5">
        <f t="shared" si="18"/>
        <v>434.85218510880463</v>
      </c>
      <c r="AO6" s="6">
        <f t="shared" si="19"/>
        <v>0.22357438823074791</v>
      </c>
    </row>
    <row r="7" spans="1:42" x14ac:dyDescent="0.25">
      <c r="A7" t="s">
        <v>354</v>
      </c>
      <c r="B7" t="s">
        <v>2532</v>
      </c>
      <c r="C7" t="str">
        <f>_xlfn.XLOOKUP(A7,Fore!A:A,Fore!AC:AC)</f>
        <v>AY</v>
      </c>
      <c r="D7" s="4" t="s">
        <v>3057</v>
      </c>
      <c r="E7" s="10" t="str">
        <f t="shared" si="0"/>
        <v>0</v>
      </c>
      <c r="F7" s="4" t="s">
        <v>3057</v>
      </c>
      <c r="G7" s="10">
        <f t="shared" si="1"/>
        <v>0</v>
      </c>
      <c r="H7" s="4" t="s">
        <v>3057</v>
      </c>
      <c r="I7" s="10">
        <f t="shared" si="2"/>
        <v>0</v>
      </c>
      <c r="J7" s="4">
        <v>1400</v>
      </c>
      <c r="K7" s="10">
        <f t="shared" si="3"/>
        <v>0</v>
      </c>
      <c r="L7" s="4">
        <v>3046</v>
      </c>
      <c r="M7" s="10">
        <f t="shared" si="4"/>
        <v>420</v>
      </c>
      <c r="N7" s="4">
        <v>1080</v>
      </c>
      <c r="O7" s="10">
        <f t="shared" si="5"/>
        <v>2258.1999999999998</v>
      </c>
      <c r="P7" s="4">
        <v>6007.0000000000009</v>
      </c>
      <c r="Q7" s="10">
        <f t="shared" si="6"/>
        <v>1904.7399999999998</v>
      </c>
      <c r="R7" s="4">
        <v>6512.9999999999973</v>
      </c>
      <c r="S7" s="10">
        <f t="shared" si="7"/>
        <v>3135.4179999999997</v>
      </c>
      <c r="T7" s="4">
        <v>6345.4444999999942</v>
      </c>
      <c r="U7" s="10">
        <f t="shared" si="8"/>
        <v>4148.6925999999985</v>
      </c>
      <c r="V7" s="4">
        <v>3656.9999999999977</v>
      </c>
      <c r="W7" s="10">
        <f t="shared" si="9"/>
        <v>4807.7181699999965</v>
      </c>
      <c r="X7" s="4">
        <v>2000</v>
      </c>
      <c r="Y7" s="10">
        <f t="shared" si="10"/>
        <v>4462.5027189999964</v>
      </c>
      <c r="Z7" s="4" t="s">
        <v>3057</v>
      </c>
      <c r="AA7" s="10">
        <f t="shared" si="11"/>
        <v>3723.7519032999971</v>
      </c>
      <c r="AB7" s="4">
        <v>2200.0000000000009</v>
      </c>
      <c r="AC7" s="10">
        <f t="shared" si="12"/>
        <v>2606.6263323099979</v>
      </c>
      <c r="AD7" s="4">
        <v>2416</v>
      </c>
      <c r="AE7" s="10">
        <f t="shared" si="13"/>
        <v>2484.6384326169987</v>
      </c>
      <c r="AF7" s="4">
        <v>3200</v>
      </c>
      <c r="AG7" s="10">
        <f t="shared" si="14"/>
        <v>2464.0469028318989</v>
      </c>
      <c r="AH7" s="4">
        <v>3000</v>
      </c>
      <c r="AI7" s="10">
        <f t="shared" si="15"/>
        <v>2684.8328319823295</v>
      </c>
      <c r="AJ7" s="4">
        <v>2192</v>
      </c>
      <c r="AK7" s="10">
        <f t="shared" si="16"/>
        <v>2779.3829823876304</v>
      </c>
      <c r="AL7" s="4">
        <v>200</v>
      </c>
      <c r="AM7" s="10">
        <f t="shared" si="17"/>
        <v>2603.1680876713413</v>
      </c>
      <c r="AN7" s="5">
        <f t="shared" si="18"/>
        <v>2403.1680876713413</v>
      </c>
      <c r="AO7" s="6">
        <f t="shared" si="19"/>
        <v>12.015840438356706</v>
      </c>
    </row>
    <row r="8" spans="1:42" x14ac:dyDescent="0.25">
      <c r="A8" t="s">
        <v>356</v>
      </c>
      <c r="B8" t="s">
        <v>2530</v>
      </c>
      <c r="C8" t="str">
        <f>_xlfn.XLOOKUP(A8,Fore!A:A,Fore!AC:AC)</f>
        <v>AY</v>
      </c>
      <c r="D8" s="4" t="s">
        <v>3057</v>
      </c>
      <c r="E8" s="10" t="str">
        <f t="shared" si="0"/>
        <v>0</v>
      </c>
      <c r="F8" s="4" t="s">
        <v>3057</v>
      </c>
      <c r="G8" s="10">
        <f t="shared" si="1"/>
        <v>0</v>
      </c>
      <c r="H8" s="4" t="s">
        <v>3057</v>
      </c>
      <c r="I8" s="10">
        <f t="shared" si="2"/>
        <v>0</v>
      </c>
      <c r="J8" s="4">
        <v>950</v>
      </c>
      <c r="K8" s="10">
        <f t="shared" si="3"/>
        <v>0</v>
      </c>
      <c r="L8" s="4">
        <v>2950.0000000000005</v>
      </c>
      <c r="M8" s="10">
        <f t="shared" si="4"/>
        <v>285</v>
      </c>
      <c r="N8" s="4">
        <v>2126</v>
      </c>
      <c r="O8" s="10">
        <f t="shared" si="5"/>
        <v>2150.5</v>
      </c>
      <c r="P8" s="4">
        <v>4320.3333000000021</v>
      </c>
      <c r="Q8" s="10">
        <f t="shared" si="6"/>
        <v>2143.1499999999996</v>
      </c>
      <c r="R8" s="4">
        <v>5769</v>
      </c>
      <c r="S8" s="10">
        <f t="shared" si="7"/>
        <v>2796.3049900000005</v>
      </c>
      <c r="T8" s="4">
        <v>4400.4999999999973</v>
      </c>
      <c r="U8" s="10">
        <f t="shared" si="8"/>
        <v>3688.1134930000003</v>
      </c>
      <c r="V8" s="4">
        <v>4336.9999999999982</v>
      </c>
      <c r="W8" s="10">
        <f t="shared" si="9"/>
        <v>3901.8294450999992</v>
      </c>
      <c r="X8" s="4">
        <v>3200</v>
      </c>
      <c r="Y8" s="10">
        <f t="shared" si="10"/>
        <v>4032.3806115699986</v>
      </c>
      <c r="Z8" s="4" t="s">
        <v>3057</v>
      </c>
      <c r="AA8" s="10">
        <f t="shared" si="11"/>
        <v>3782.6664280989989</v>
      </c>
      <c r="AB8" s="4">
        <v>50</v>
      </c>
      <c r="AC8" s="10">
        <f t="shared" si="12"/>
        <v>2647.8664996692992</v>
      </c>
      <c r="AD8" s="4">
        <v>2085.79</v>
      </c>
      <c r="AE8" s="10">
        <f t="shared" si="13"/>
        <v>1868.5065497685093</v>
      </c>
      <c r="AF8" s="4">
        <v>1235</v>
      </c>
      <c r="AG8" s="10">
        <f t="shared" si="14"/>
        <v>1933.6915848379563</v>
      </c>
      <c r="AH8" s="4">
        <v>2499</v>
      </c>
      <c r="AI8" s="10">
        <f t="shared" si="15"/>
        <v>1724.0841093865693</v>
      </c>
      <c r="AJ8" s="4">
        <v>3169</v>
      </c>
      <c r="AK8" s="10">
        <f t="shared" si="16"/>
        <v>1956.5588765705984</v>
      </c>
      <c r="AL8" s="4">
        <v>1550</v>
      </c>
      <c r="AM8" s="10">
        <f t="shared" si="17"/>
        <v>2320.2912135994188</v>
      </c>
      <c r="AN8" s="5">
        <f t="shared" si="18"/>
        <v>770.29121359941882</v>
      </c>
      <c r="AO8" s="6">
        <f t="shared" si="19"/>
        <v>0.49696207328994763</v>
      </c>
    </row>
    <row r="9" spans="1:42" x14ac:dyDescent="0.25">
      <c r="A9" t="s">
        <v>404</v>
      </c>
      <c r="B9" t="s">
        <v>2535</v>
      </c>
      <c r="C9" t="str">
        <f>_xlfn.XLOOKUP(A9,Fore!A:A,Fore!AC:AC)</f>
        <v>AY</v>
      </c>
      <c r="D9" s="4" t="s">
        <v>3057</v>
      </c>
      <c r="E9" s="10" t="str">
        <f t="shared" si="0"/>
        <v>0</v>
      </c>
      <c r="F9" s="4" t="s">
        <v>3057</v>
      </c>
      <c r="G9" s="10">
        <f t="shared" si="1"/>
        <v>0</v>
      </c>
      <c r="H9" s="4" t="s">
        <v>3057</v>
      </c>
      <c r="I9" s="10">
        <f t="shared" si="2"/>
        <v>0</v>
      </c>
      <c r="J9" s="4">
        <v>800.66640000000007</v>
      </c>
      <c r="K9" s="10">
        <f t="shared" si="3"/>
        <v>0</v>
      </c>
      <c r="L9" s="4">
        <v>1000</v>
      </c>
      <c r="M9" s="10">
        <f t="shared" si="4"/>
        <v>240.19992000000002</v>
      </c>
      <c r="N9" s="4">
        <v>1000</v>
      </c>
      <c r="O9" s="10">
        <f t="shared" si="5"/>
        <v>772.05997600000001</v>
      </c>
      <c r="P9" s="4">
        <v>2200.333599999999</v>
      </c>
      <c r="Q9" s="10">
        <f t="shared" si="6"/>
        <v>840.44198319999998</v>
      </c>
      <c r="R9" s="4">
        <v>5488.0000000000036</v>
      </c>
      <c r="S9" s="10">
        <f t="shared" si="7"/>
        <v>1248.4094682399996</v>
      </c>
      <c r="T9" s="4">
        <v>4694.4444999999969</v>
      </c>
      <c r="U9" s="10">
        <f t="shared" si="8"/>
        <v>2520.2866277680005</v>
      </c>
      <c r="V9" s="4">
        <v>1529.9999999999993</v>
      </c>
      <c r="W9" s="10">
        <f t="shared" si="9"/>
        <v>3172.5339894375993</v>
      </c>
      <c r="X9" s="4">
        <v>339</v>
      </c>
      <c r="Y9" s="10">
        <f t="shared" si="10"/>
        <v>2679.7737926063191</v>
      </c>
      <c r="Z9" s="4" t="s">
        <v>3057</v>
      </c>
      <c r="AA9" s="10">
        <f t="shared" si="11"/>
        <v>1977.5416548244234</v>
      </c>
      <c r="AB9" s="4" t="s">
        <v>3057</v>
      </c>
      <c r="AC9" s="10">
        <f t="shared" si="12"/>
        <v>1384.2791583770963</v>
      </c>
      <c r="AD9" s="4">
        <v>1220</v>
      </c>
      <c r="AE9" s="10">
        <f t="shared" si="13"/>
        <v>968.99541086396732</v>
      </c>
      <c r="AF9" s="4">
        <v>1500</v>
      </c>
      <c r="AG9" s="10">
        <f t="shared" si="14"/>
        <v>1044.2967876047771</v>
      </c>
      <c r="AH9" s="4">
        <v>2280</v>
      </c>
      <c r="AI9" s="10">
        <f t="shared" si="15"/>
        <v>1181.0077513233441</v>
      </c>
      <c r="AJ9" s="4">
        <v>428.57099999999997</v>
      </c>
      <c r="AK9" s="10">
        <f t="shared" si="16"/>
        <v>1510.7054259263409</v>
      </c>
      <c r="AL9" s="4">
        <v>1099.4290000000001</v>
      </c>
      <c r="AM9" s="10">
        <f t="shared" si="17"/>
        <v>1186.0650981484387</v>
      </c>
      <c r="AN9" s="5">
        <f t="shared" si="18"/>
        <v>86.636098148438577</v>
      </c>
      <c r="AO9" s="6">
        <f t="shared" si="19"/>
        <v>7.8800994105520744E-2</v>
      </c>
    </row>
    <row r="10" spans="1:42" x14ac:dyDescent="0.25">
      <c r="A10" t="s">
        <v>403</v>
      </c>
      <c r="B10" t="s">
        <v>2531</v>
      </c>
      <c r="C10" t="str">
        <f>_xlfn.XLOOKUP(A10,Fore!A:A,Fore!AC:AC)</f>
        <v>AY</v>
      </c>
      <c r="D10" s="4" t="s">
        <v>3057</v>
      </c>
      <c r="E10" s="10" t="str">
        <f t="shared" si="0"/>
        <v>0</v>
      </c>
      <c r="F10" s="4" t="s">
        <v>3057</v>
      </c>
      <c r="G10" s="10">
        <f t="shared" si="1"/>
        <v>0</v>
      </c>
      <c r="H10" s="4" t="s">
        <v>3057</v>
      </c>
      <c r="I10" s="10">
        <f t="shared" si="2"/>
        <v>0</v>
      </c>
      <c r="J10" s="4">
        <v>800</v>
      </c>
      <c r="K10" s="10">
        <f t="shared" si="3"/>
        <v>0</v>
      </c>
      <c r="L10" s="4">
        <v>66.666799999999995</v>
      </c>
      <c r="M10" s="10">
        <f t="shared" si="4"/>
        <v>240</v>
      </c>
      <c r="N10" s="4">
        <v>1853.3334</v>
      </c>
      <c r="O10" s="10">
        <f t="shared" si="5"/>
        <v>118.66676</v>
      </c>
      <c r="P10" s="4">
        <v>2120.9998000000001</v>
      </c>
      <c r="Q10" s="10">
        <f t="shared" si="6"/>
        <v>639.06675199999995</v>
      </c>
      <c r="R10" s="4">
        <v>2600</v>
      </c>
      <c r="S10" s="10">
        <f t="shared" si="7"/>
        <v>1083.6466664</v>
      </c>
      <c r="T10" s="4">
        <v>1900.0000000000005</v>
      </c>
      <c r="U10" s="10">
        <f t="shared" si="8"/>
        <v>1538.55266648</v>
      </c>
      <c r="V10" s="4">
        <v>1030</v>
      </c>
      <c r="W10" s="10">
        <f t="shared" si="9"/>
        <v>1646.986866536</v>
      </c>
      <c r="X10" s="4">
        <v>917</v>
      </c>
      <c r="Y10" s="10">
        <f t="shared" si="10"/>
        <v>1461.8908065751998</v>
      </c>
      <c r="Z10" s="4">
        <v>150</v>
      </c>
      <c r="AA10" s="10">
        <f t="shared" si="11"/>
        <v>1298.4235646026398</v>
      </c>
      <c r="AB10" s="4">
        <v>400</v>
      </c>
      <c r="AC10" s="10">
        <f t="shared" si="12"/>
        <v>953.89649522184777</v>
      </c>
      <c r="AD10" s="4">
        <v>2499.9999999999995</v>
      </c>
      <c r="AE10" s="10">
        <f t="shared" si="13"/>
        <v>787.72754665529339</v>
      </c>
      <c r="AF10" s="4">
        <v>1100</v>
      </c>
      <c r="AG10" s="10">
        <f t="shared" si="14"/>
        <v>1301.4092826587053</v>
      </c>
      <c r="AH10" s="4">
        <v>2732.9999999999995</v>
      </c>
      <c r="AI10" s="10">
        <f t="shared" si="15"/>
        <v>1240.9864978610935</v>
      </c>
      <c r="AJ10" s="4">
        <v>4136</v>
      </c>
      <c r="AK10" s="10">
        <f t="shared" si="16"/>
        <v>1688.5905485027652</v>
      </c>
      <c r="AL10" s="4">
        <v>50</v>
      </c>
      <c r="AM10" s="10">
        <f t="shared" si="17"/>
        <v>2422.8133839519355</v>
      </c>
      <c r="AN10" s="5">
        <f t="shared" si="18"/>
        <v>2372.8133839519355</v>
      </c>
      <c r="AO10" s="6">
        <f t="shared" si="19"/>
        <v>47.45626767903871</v>
      </c>
    </row>
    <row r="11" spans="1:42" x14ac:dyDescent="0.25">
      <c r="A11" t="s">
        <v>492</v>
      </c>
      <c r="B11" t="s">
        <v>2533</v>
      </c>
      <c r="C11" t="str">
        <f>_xlfn.XLOOKUP(A11,Fore!A:A,Fore!AC:AC)</f>
        <v>AX</v>
      </c>
      <c r="D11" s="4" t="s">
        <v>3057</v>
      </c>
      <c r="E11" s="10" t="str">
        <f t="shared" si="0"/>
        <v>0</v>
      </c>
      <c r="F11" s="4" t="s">
        <v>3057</v>
      </c>
      <c r="G11" s="10">
        <f t="shared" si="1"/>
        <v>0</v>
      </c>
      <c r="H11" s="4" t="s">
        <v>3057</v>
      </c>
      <c r="I11" s="10">
        <f t="shared" si="2"/>
        <v>0</v>
      </c>
      <c r="J11" s="4">
        <v>1100</v>
      </c>
      <c r="K11" s="10">
        <f t="shared" si="3"/>
        <v>0</v>
      </c>
      <c r="L11" s="4">
        <v>1500.0001999999999</v>
      </c>
      <c r="M11" s="10">
        <f t="shared" si="4"/>
        <v>330</v>
      </c>
      <c r="N11" s="4">
        <v>1689.9997999999998</v>
      </c>
      <c r="O11" s="10">
        <f t="shared" si="5"/>
        <v>1149.0001399999999</v>
      </c>
      <c r="P11" s="4">
        <v>1260</v>
      </c>
      <c r="Q11" s="10">
        <f t="shared" si="6"/>
        <v>1311.3000379999999</v>
      </c>
      <c r="R11" s="4">
        <v>2421.0000000000014</v>
      </c>
      <c r="S11" s="10">
        <f t="shared" si="7"/>
        <v>1295.9100265999998</v>
      </c>
      <c r="T11" s="4">
        <v>1532.0000000000002</v>
      </c>
      <c r="U11" s="10">
        <f t="shared" si="8"/>
        <v>1633.4370186200003</v>
      </c>
      <c r="V11" s="4">
        <v>3265.9999999999995</v>
      </c>
      <c r="W11" s="10">
        <f t="shared" si="9"/>
        <v>1603.0059130340003</v>
      </c>
      <c r="X11" s="4">
        <v>318</v>
      </c>
      <c r="Y11" s="10">
        <f t="shared" si="10"/>
        <v>2101.9041391238002</v>
      </c>
      <c r="Z11" s="4" t="s">
        <v>3057</v>
      </c>
      <c r="AA11" s="10">
        <f t="shared" si="11"/>
        <v>1566.7328973866602</v>
      </c>
      <c r="AB11" s="4">
        <v>1116</v>
      </c>
      <c r="AC11" s="10">
        <f t="shared" si="12"/>
        <v>1096.713028170662</v>
      </c>
      <c r="AD11" s="4">
        <v>1957.1500000000003</v>
      </c>
      <c r="AE11" s="10">
        <f t="shared" si="13"/>
        <v>1102.4991197194634</v>
      </c>
      <c r="AF11" s="4">
        <v>772</v>
      </c>
      <c r="AG11" s="10">
        <f t="shared" si="14"/>
        <v>1358.8943838036244</v>
      </c>
      <c r="AH11" s="4">
        <v>2228</v>
      </c>
      <c r="AI11" s="10">
        <f t="shared" si="15"/>
        <v>1182.826068662537</v>
      </c>
      <c r="AJ11" s="4">
        <v>2150</v>
      </c>
      <c r="AK11" s="10">
        <f t="shared" si="16"/>
        <v>1496.3782480637758</v>
      </c>
      <c r="AL11" s="4" t="s">
        <v>3057</v>
      </c>
      <c r="AM11" s="10">
        <f t="shared" si="17"/>
        <v>1692.4647736446429</v>
      </c>
      <c r="AN11" s="5">
        <f t="shared" si="18"/>
        <v>1692.4647736446429</v>
      </c>
      <c r="AO11" s="6" t="str">
        <f t="shared" si="19"/>
        <v>0</v>
      </c>
    </row>
    <row r="12" spans="1:42" x14ac:dyDescent="0.25">
      <c r="A12" t="s">
        <v>79</v>
      </c>
      <c r="B12" t="s">
        <v>2536</v>
      </c>
      <c r="C12" t="str">
        <f>_xlfn.XLOOKUP(A12,Fore!A:A,Fore!AC:AC)</f>
        <v>AY</v>
      </c>
      <c r="D12" s="4">
        <v>3400</v>
      </c>
      <c r="E12" s="10">
        <f t="shared" si="0"/>
        <v>3400</v>
      </c>
      <c r="F12" s="4">
        <v>300</v>
      </c>
      <c r="G12" s="10">
        <f t="shared" si="1"/>
        <v>3400</v>
      </c>
      <c r="H12" s="4">
        <v>1868</v>
      </c>
      <c r="I12" s="10">
        <f t="shared" si="2"/>
        <v>2470</v>
      </c>
      <c r="J12" s="4">
        <v>24</v>
      </c>
      <c r="K12" s="10">
        <f t="shared" si="3"/>
        <v>2289.4</v>
      </c>
      <c r="L12" s="4">
        <v>305</v>
      </c>
      <c r="M12" s="10">
        <f t="shared" si="4"/>
        <v>1609.78</v>
      </c>
      <c r="N12" s="4">
        <v>880</v>
      </c>
      <c r="O12" s="10">
        <f t="shared" si="5"/>
        <v>696.43399999999997</v>
      </c>
      <c r="P12" s="4">
        <v>1690.0001</v>
      </c>
      <c r="Q12" s="10">
        <f t="shared" si="6"/>
        <v>751.50379999999996</v>
      </c>
      <c r="R12" s="4">
        <v>927.99990000000025</v>
      </c>
      <c r="S12" s="10">
        <f t="shared" si="7"/>
        <v>1033.05269</v>
      </c>
      <c r="T12" s="4">
        <v>1500</v>
      </c>
      <c r="U12" s="10">
        <f t="shared" si="8"/>
        <v>1001.536853</v>
      </c>
      <c r="V12" s="4">
        <v>1700.0000000000016</v>
      </c>
      <c r="W12" s="10">
        <f t="shared" si="9"/>
        <v>1151.0757970999998</v>
      </c>
      <c r="X12" s="4">
        <v>200</v>
      </c>
      <c r="Y12" s="10">
        <f t="shared" si="10"/>
        <v>1315.7530579700003</v>
      </c>
      <c r="Z12" s="4">
        <v>100</v>
      </c>
      <c r="AA12" s="10">
        <f t="shared" si="11"/>
        <v>981.02714057900016</v>
      </c>
      <c r="AB12" s="4">
        <v>500</v>
      </c>
      <c r="AC12" s="10">
        <f t="shared" si="12"/>
        <v>716.71899840530011</v>
      </c>
      <c r="AD12" s="4">
        <v>43</v>
      </c>
      <c r="AE12" s="10">
        <f t="shared" si="13"/>
        <v>651.70329888370998</v>
      </c>
      <c r="AF12" s="4">
        <v>260</v>
      </c>
      <c r="AG12" s="10">
        <f t="shared" si="14"/>
        <v>469.09230921859694</v>
      </c>
      <c r="AH12" s="4">
        <v>1367</v>
      </c>
      <c r="AI12" s="10">
        <f t="shared" si="15"/>
        <v>406.36461645301785</v>
      </c>
      <c r="AJ12" s="4">
        <v>1750</v>
      </c>
      <c r="AK12" s="10">
        <f t="shared" si="16"/>
        <v>694.55523151711236</v>
      </c>
      <c r="AL12" s="4">
        <v>450</v>
      </c>
      <c r="AM12" s="10">
        <f t="shared" si="17"/>
        <v>1011.1886620619787</v>
      </c>
      <c r="AN12" s="5">
        <f t="shared" si="18"/>
        <v>561.18866206197868</v>
      </c>
      <c r="AO12" s="6">
        <f t="shared" si="19"/>
        <v>1.2470859156932859</v>
      </c>
    </row>
    <row r="13" spans="1:42" x14ac:dyDescent="0.25">
      <c r="A13" t="s">
        <v>359</v>
      </c>
      <c r="B13" t="s">
        <v>2534</v>
      </c>
      <c r="C13" t="str">
        <f>_xlfn.XLOOKUP(A13,Fore!A:A,Fore!AC:AC)</f>
        <v>AY</v>
      </c>
      <c r="D13" s="4" t="s">
        <v>3057</v>
      </c>
      <c r="E13" s="10" t="str">
        <f t="shared" si="0"/>
        <v>0</v>
      </c>
      <c r="F13" s="4" t="s">
        <v>3057</v>
      </c>
      <c r="G13" s="10">
        <f t="shared" si="1"/>
        <v>0</v>
      </c>
      <c r="H13" s="4" t="s">
        <v>3057</v>
      </c>
      <c r="I13" s="10">
        <f t="shared" si="2"/>
        <v>0</v>
      </c>
      <c r="J13" s="4">
        <v>529.99939999999992</v>
      </c>
      <c r="K13" s="10">
        <f t="shared" si="3"/>
        <v>0</v>
      </c>
      <c r="L13" s="4">
        <v>800</v>
      </c>
      <c r="M13" s="10">
        <f t="shared" si="4"/>
        <v>158.99981999999997</v>
      </c>
      <c r="N13" s="4">
        <v>860</v>
      </c>
      <c r="O13" s="10">
        <f t="shared" si="5"/>
        <v>607.69994599999995</v>
      </c>
      <c r="P13" s="4">
        <v>1550</v>
      </c>
      <c r="Q13" s="10">
        <f t="shared" si="6"/>
        <v>683.3899621999999</v>
      </c>
      <c r="R13" s="4">
        <v>1058.9999999999995</v>
      </c>
      <c r="S13" s="10">
        <f t="shared" si="7"/>
        <v>943.37297353999998</v>
      </c>
      <c r="T13" s="4">
        <v>894.00000000000023</v>
      </c>
      <c r="U13" s="10">
        <f t="shared" si="8"/>
        <v>978.06108147799978</v>
      </c>
      <c r="V13" s="4">
        <v>660.99999999999989</v>
      </c>
      <c r="W13" s="10">
        <f t="shared" si="9"/>
        <v>952.8427570345998</v>
      </c>
      <c r="X13" s="4">
        <v>655</v>
      </c>
      <c r="Y13" s="10">
        <f t="shared" si="10"/>
        <v>865.28992992421979</v>
      </c>
      <c r="Z13" s="4">
        <v>80</v>
      </c>
      <c r="AA13" s="10">
        <f t="shared" si="11"/>
        <v>802.20295094695382</v>
      </c>
      <c r="AB13" s="4">
        <v>340</v>
      </c>
      <c r="AC13" s="10">
        <f t="shared" si="12"/>
        <v>585.54206566286769</v>
      </c>
      <c r="AD13" s="4">
        <v>1420</v>
      </c>
      <c r="AE13" s="10">
        <f t="shared" si="13"/>
        <v>511.87944596400735</v>
      </c>
      <c r="AF13" s="4">
        <v>650</v>
      </c>
      <c r="AG13" s="10">
        <f t="shared" si="14"/>
        <v>784.3156121748051</v>
      </c>
      <c r="AH13" s="4">
        <v>2090</v>
      </c>
      <c r="AI13" s="10">
        <f t="shared" si="15"/>
        <v>744.02092852236353</v>
      </c>
      <c r="AJ13" s="4">
        <v>1600</v>
      </c>
      <c r="AK13" s="10">
        <f t="shared" si="16"/>
        <v>1147.8146499656546</v>
      </c>
      <c r="AL13" s="4">
        <v>240</v>
      </c>
      <c r="AM13" s="10">
        <f t="shared" si="17"/>
        <v>1283.4702549759581</v>
      </c>
      <c r="AN13" s="5">
        <f t="shared" si="18"/>
        <v>1043.4702549759581</v>
      </c>
      <c r="AO13" s="6">
        <f t="shared" si="19"/>
        <v>4.3477927290664926</v>
      </c>
    </row>
    <row r="14" spans="1:42" x14ac:dyDescent="0.25">
      <c r="A14" t="s">
        <v>409</v>
      </c>
      <c r="B14" t="s">
        <v>2537</v>
      </c>
      <c r="C14" t="str">
        <f>_xlfn.XLOOKUP(A14,Fore!A:A,Fore!AC:AC)</f>
        <v>AY</v>
      </c>
      <c r="D14" s="4" t="s">
        <v>3057</v>
      </c>
      <c r="E14" s="10" t="str">
        <f t="shared" si="0"/>
        <v>0</v>
      </c>
      <c r="F14" s="4" t="s">
        <v>3057</v>
      </c>
      <c r="G14" s="10">
        <f t="shared" si="1"/>
        <v>0</v>
      </c>
      <c r="H14" s="4" t="s">
        <v>3057</v>
      </c>
      <c r="I14" s="10">
        <f t="shared" si="2"/>
        <v>0</v>
      </c>
      <c r="J14" s="4">
        <v>700</v>
      </c>
      <c r="K14" s="10">
        <f t="shared" si="3"/>
        <v>0</v>
      </c>
      <c r="L14" s="4">
        <v>200</v>
      </c>
      <c r="M14" s="10">
        <f t="shared" si="4"/>
        <v>210</v>
      </c>
      <c r="N14" s="4">
        <v>873.99999999999989</v>
      </c>
      <c r="O14" s="10">
        <f t="shared" si="5"/>
        <v>203</v>
      </c>
      <c r="P14" s="4">
        <v>640</v>
      </c>
      <c r="Q14" s="10">
        <f t="shared" si="6"/>
        <v>404.29999999999995</v>
      </c>
      <c r="R14" s="4">
        <v>1239.5460999999993</v>
      </c>
      <c r="S14" s="10">
        <f t="shared" si="7"/>
        <v>475.00999999999993</v>
      </c>
      <c r="T14" s="4">
        <v>1200.4539</v>
      </c>
      <c r="U14" s="10">
        <f t="shared" si="8"/>
        <v>704.37082999999973</v>
      </c>
      <c r="V14" s="4">
        <v>1705.9999999999995</v>
      </c>
      <c r="W14" s="10">
        <f t="shared" si="9"/>
        <v>853.19575099999975</v>
      </c>
      <c r="X14" s="4">
        <v>596.00000000000011</v>
      </c>
      <c r="Y14" s="10">
        <f t="shared" si="10"/>
        <v>1109.0370256999995</v>
      </c>
      <c r="Z14" s="4" t="s">
        <v>3057</v>
      </c>
      <c r="AA14" s="10">
        <f t="shared" si="11"/>
        <v>955.12591798999972</v>
      </c>
      <c r="AB14" s="4">
        <v>300</v>
      </c>
      <c r="AC14" s="10">
        <f t="shared" si="12"/>
        <v>668.58814259299982</v>
      </c>
      <c r="AD14" s="4">
        <v>1607.72</v>
      </c>
      <c r="AE14" s="10">
        <f t="shared" si="13"/>
        <v>558.01169981509986</v>
      </c>
      <c r="AF14" s="4">
        <v>650</v>
      </c>
      <c r="AG14" s="10">
        <f t="shared" si="14"/>
        <v>872.92418987056988</v>
      </c>
      <c r="AH14" s="4">
        <v>1240.0000000000007</v>
      </c>
      <c r="AI14" s="10">
        <f t="shared" si="15"/>
        <v>806.04693290939883</v>
      </c>
      <c r="AJ14" s="4">
        <v>1175</v>
      </c>
      <c r="AK14" s="10">
        <f t="shared" si="16"/>
        <v>936.2328530365794</v>
      </c>
      <c r="AL14" s="4">
        <v>39</v>
      </c>
      <c r="AM14" s="10">
        <f t="shared" si="17"/>
        <v>1007.8629971256055</v>
      </c>
      <c r="AN14" s="5">
        <f t="shared" si="18"/>
        <v>968.86299712560549</v>
      </c>
      <c r="AO14" s="6">
        <f t="shared" si="19"/>
        <v>24.842640951938602</v>
      </c>
    </row>
    <row r="15" spans="1:42" x14ac:dyDescent="0.25">
      <c r="A15" t="s">
        <v>488</v>
      </c>
      <c r="B15" t="s">
        <v>2539</v>
      </c>
      <c r="C15" t="str">
        <f>_xlfn.XLOOKUP(A15,Fore!A:A,Fore!AC:AC)</f>
        <v>AY</v>
      </c>
      <c r="D15" s="4" t="s">
        <v>3057</v>
      </c>
      <c r="E15" s="10" t="str">
        <f t="shared" si="0"/>
        <v>0</v>
      </c>
      <c r="F15" s="4" t="s">
        <v>3057</v>
      </c>
      <c r="G15" s="10">
        <f t="shared" si="1"/>
        <v>0</v>
      </c>
      <c r="H15" s="4" t="s">
        <v>3057</v>
      </c>
      <c r="I15" s="10">
        <f t="shared" si="2"/>
        <v>0</v>
      </c>
      <c r="J15" s="4" t="s">
        <v>3057</v>
      </c>
      <c r="K15" s="10">
        <f t="shared" si="3"/>
        <v>0</v>
      </c>
      <c r="L15" s="4" t="s">
        <v>3057</v>
      </c>
      <c r="M15" s="10">
        <f t="shared" si="4"/>
        <v>0</v>
      </c>
      <c r="N15" s="4">
        <v>900.00029999999992</v>
      </c>
      <c r="O15" s="10">
        <f t="shared" si="5"/>
        <v>0</v>
      </c>
      <c r="P15" s="4">
        <v>2233.3350999999998</v>
      </c>
      <c r="Q15" s="10">
        <f t="shared" si="6"/>
        <v>270.00008999999994</v>
      </c>
      <c r="R15" s="4" t="s">
        <v>3057</v>
      </c>
      <c r="S15" s="10">
        <f t="shared" si="7"/>
        <v>859.00059299999987</v>
      </c>
      <c r="T15" s="4">
        <v>2366.6645999999992</v>
      </c>
      <c r="U15" s="10">
        <f t="shared" si="8"/>
        <v>601.3004150999999</v>
      </c>
      <c r="V15" s="4">
        <v>999.99999999999977</v>
      </c>
      <c r="W15" s="10">
        <f t="shared" si="9"/>
        <v>1130.9096705699997</v>
      </c>
      <c r="X15" s="4">
        <v>0</v>
      </c>
      <c r="Y15" s="10">
        <f t="shared" si="10"/>
        <v>1091.6367693989996</v>
      </c>
      <c r="Z15" s="4" t="s">
        <v>3057</v>
      </c>
      <c r="AA15" s="10">
        <f t="shared" si="11"/>
        <v>764.14573857929963</v>
      </c>
      <c r="AB15" s="4" t="s">
        <v>3057</v>
      </c>
      <c r="AC15" s="10">
        <f t="shared" si="12"/>
        <v>534.90201700550972</v>
      </c>
      <c r="AD15" s="4">
        <v>1000</v>
      </c>
      <c r="AE15" s="10">
        <f t="shared" si="13"/>
        <v>374.43141190385677</v>
      </c>
      <c r="AF15" s="4">
        <v>1000</v>
      </c>
      <c r="AG15" s="10">
        <f t="shared" si="14"/>
        <v>562.10198833269965</v>
      </c>
      <c r="AH15" s="4">
        <v>1000</v>
      </c>
      <c r="AI15" s="10">
        <f t="shared" si="15"/>
        <v>693.47139183288971</v>
      </c>
      <c r="AJ15" s="4">
        <v>1142</v>
      </c>
      <c r="AK15" s="10">
        <f t="shared" si="16"/>
        <v>785.42997428302283</v>
      </c>
      <c r="AL15" s="4" t="s">
        <v>3057</v>
      </c>
      <c r="AM15" s="10">
        <f t="shared" si="17"/>
        <v>892.40098199811587</v>
      </c>
      <c r="AN15" s="5">
        <f t="shared" si="18"/>
        <v>892.40098199811587</v>
      </c>
      <c r="AO15" s="6" t="str">
        <f t="shared" si="19"/>
        <v>0</v>
      </c>
    </row>
    <row r="16" spans="1:42" x14ac:dyDescent="0.25">
      <c r="A16" t="s">
        <v>407</v>
      </c>
      <c r="B16" t="s">
        <v>2554</v>
      </c>
      <c r="C16" t="str">
        <f>_xlfn.XLOOKUP(A16,Fore!A:A,Fore!AC:AC)</f>
        <v>AZ</v>
      </c>
      <c r="D16" s="4" t="s">
        <v>3057</v>
      </c>
      <c r="E16" s="10" t="str">
        <f t="shared" si="0"/>
        <v>0</v>
      </c>
      <c r="F16" s="4" t="s">
        <v>3057</v>
      </c>
      <c r="G16" s="10">
        <f t="shared" si="1"/>
        <v>0</v>
      </c>
      <c r="H16" s="4" t="s">
        <v>3057</v>
      </c>
      <c r="I16" s="10">
        <f t="shared" si="2"/>
        <v>0</v>
      </c>
      <c r="J16" s="4" t="s">
        <v>3057</v>
      </c>
      <c r="K16" s="10">
        <f t="shared" si="3"/>
        <v>0</v>
      </c>
      <c r="L16" s="4">
        <v>315</v>
      </c>
      <c r="M16" s="10">
        <f t="shared" si="4"/>
        <v>0</v>
      </c>
      <c r="N16" s="4">
        <v>460</v>
      </c>
      <c r="O16" s="10">
        <f t="shared" si="5"/>
        <v>220.5</v>
      </c>
      <c r="P16" s="4">
        <v>295</v>
      </c>
      <c r="Q16" s="10">
        <f t="shared" si="6"/>
        <v>292.35000000000002</v>
      </c>
      <c r="R16" s="4">
        <v>1715.3332000000012</v>
      </c>
      <c r="S16" s="10">
        <f t="shared" si="7"/>
        <v>293.14499999999998</v>
      </c>
      <c r="T16" s="4">
        <v>800</v>
      </c>
      <c r="U16" s="10">
        <f t="shared" si="8"/>
        <v>719.80146000000036</v>
      </c>
      <c r="V16" s="4">
        <v>3385.9999999999995</v>
      </c>
      <c r="W16" s="10">
        <f t="shared" si="9"/>
        <v>743.86102200000028</v>
      </c>
      <c r="X16" s="4">
        <v>1472.9999999999998</v>
      </c>
      <c r="Y16" s="10">
        <f t="shared" si="10"/>
        <v>1536.5027153999999</v>
      </c>
      <c r="Z16" s="4" t="s">
        <v>3057</v>
      </c>
      <c r="AA16" s="10">
        <f t="shared" si="11"/>
        <v>1517.4519007799997</v>
      </c>
      <c r="AB16" s="4">
        <v>100</v>
      </c>
      <c r="AC16" s="10">
        <f t="shared" si="12"/>
        <v>1062.2163305459997</v>
      </c>
      <c r="AD16" s="4" t="s">
        <v>3057</v>
      </c>
      <c r="AE16" s="10">
        <f t="shared" si="13"/>
        <v>773.55143138219967</v>
      </c>
      <c r="AF16" s="4">
        <v>350</v>
      </c>
      <c r="AG16" s="10">
        <f t="shared" si="14"/>
        <v>541.48600196753978</v>
      </c>
      <c r="AH16" s="4">
        <v>900</v>
      </c>
      <c r="AI16" s="10">
        <f t="shared" si="15"/>
        <v>484.04020137727781</v>
      </c>
      <c r="AJ16" s="4">
        <v>49.999099999999999</v>
      </c>
      <c r="AK16" s="10">
        <f t="shared" si="16"/>
        <v>608.82814096409447</v>
      </c>
      <c r="AL16" s="4">
        <v>168.0009</v>
      </c>
      <c r="AM16" s="10">
        <f t="shared" si="17"/>
        <v>441.17942867486613</v>
      </c>
      <c r="AN16" s="5">
        <f t="shared" si="18"/>
        <v>273.17852867486613</v>
      </c>
      <c r="AO16" s="6">
        <f t="shared" si="19"/>
        <v>1.6260539596803716</v>
      </c>
    </row>
    <row r="17" spans="1:41" x14ac:dyDescent="0.25">
      <c r="A17" t="s">
        <v>406</v>
      </c>
      <c r="B17" t="s">
        <v>2538</v>
      </c>
      <c r="C17" t="str">
        <f>_xlfn.XLOOKUP(A17,Fore!A:A,Fore!AC:AC)</f>
        <v>AY</v>
      </c>
      <c r="D17" s="4" t="s">
        <v>3057</v>
      </c>
      <c r="E17" s="10" t="str">
        <f t="shared" si="0"/>
        <v>0</v>
      </c>
      <c r="F17" s="4" t="s">
        <v>3057</v>
      </c>
      <c r="G17" s="10">
        <f t="shared" si="1"/>
        <v>0</v>
      </c>
      <c r="H17" s="4" t="s">
        <v>3057</v>
      </c>
      <c r="I17" s="10">
        <f t="shared" si="2"/>
        <v>0</v>
      </c>
      <c r="J17" s="4">
        <v>397</v>
      </c>
      <c r="K17" s="10">
        <f t="shared" si="3"/>
        <v>0</v>
      </c>
      <c r="L17" s="4">
        <v>938</v>
      </c>
      <c r="M17" s="10">
        <f t="shared" si="4"/>
        <v>119.1</v>
      </c>
      <c r="N17" s="4">
        <v>425</v>
      </c>
      <c r="O17" s="10">
        <f t="shared" si="5"/>
        <v>692.32999999999993</v>
      </c>
      <c r="P17" s="4">
        <v>449</v>
      </c>
      <c r="Q17" s="10">
        <f t="shared" si="6"/>
        <v>612.13099999999986</v>
      </c>
      <c r="R17" s="4">
        <v>1955</v>
      </c>
      <c r="S17" s="10">
        <f t="shared" si="7"/>
        <v>563.19169999999986</v>
      </c>
      <c r="T17" s="4">
        <v>1724</v>
      </c>
      <c r="U17" s="10">
        <f t="shared" si="8"/>
        <v>980.7341899999999</v>
      </c>
      <c r="V17" s="4">
        <v>10</v>
      </c>
      <c r="W17" s="10">
        <f t="shared" si="9"/>
        <v>1203.7139329999998</v>
      </c>
      <c r="X17" s="4">
        <v>466</v>
      </c>
      <c r="Y17" s="10">
        <f t="shared" si="10"/>
        <v>845.59975309999982</v>
      </c>
      <c r="Z17" s="4">
        <v>133</v>
      </c>
      <c r="AA17" s="10">
        <f t="shared" si="11"/>
        <v>731.7198271699998</v>
      </c>
      <c r="AB17" s="4">
        <v>50</v>
      </c>
      <c r="AC17" s="10">
        <f t="shared" si="12"/>
        <v>552.10387901899981</v>
      </c>
      <c r="AD17" s="4">
        <v>786</v>
      </c>
      <c r="AE17" s="10">
        <f t="shared" si="13"/>
        <v>401.47271531329983</v>
      </c>
      <c r="AF17" s="4">
        <v>390</v>
      </c>
      <c r="AG17" s="10">
        <f t="shared" si="14"/>
        <v>516.83090071930985</v>
      </c>
      <c r="AH17" s="4">
        <v>480</v>
      </c>
      <c r="AI17" s="10">
        <f t="shared" si="15"/>
        <v>478.78163050351685</v>
      </c>
      <c r="AJ17" s="4">
        <v>1160</v>
      </c>
      <c r="AK17" s="10">
        <f t="shared" si="16"/>
        <v>479.1471413524618</v>
      </c>
      <c r="AL17" s="4">
        <v>510</v>
      </c>
      <c r="AM17" s="10">
        <f t="shared" si="17"/>
        <v>683.4029989467233</v>
      </c>
      <c r="AN17" s="5">
        <f t="shared" si="18"/>
        <v>173.4029989467233</v>
      </c>
      <c r="AO17" s="6">
        <f t="shared" si="19"/>
        <v>0.34000588028769274</v>
      </c>
    </row>
    <row r="18" spans="1:41" x14ac:dyDescent="0.25">
      <c r="A18" t="s">
        <v>494</v>
      </c>
      <c r="B18" t="s">
        <v>2558</v>
      </c>
      <c r="C18" t="str">
        <f>_xlfn.XLOOKUP(A18,Fore!A:A,Fore!AC:AC)</f>
        <v>AY</v>
      </c>
      <c r="D18" s="4" t="s">
        <v>3057</v>
      </c>
      <c r="E18" s="10" t="str">
        <f t="shared" si="0"/>
        <v>0</v>
      </c>
      <c r="F18" s="4" t="s">
        <v>3057</v>
      </c>
      <c r="G18" s="10">
        <f t="shared" si="1"/>
        <v>0</v>
      </c>
      <c r="H18" s="4" t="s">
        <v>3057</v>
      </c>
      <c r="I18" s="10">
        <f t="shared" si="2"/>
        <v>0</v>
      </c>
      <c r="J18" s="4" t="s">
        <v>3057</v>
      </c>
      <c r="K18" s="10">
        <f t="shared" si="3"/>
        <v>0</v>
      </c>
      <c r="L18" s="4">
        <v>100</v>
      </c>
      <c r="M18" s="10">
        <f t="shared" si="4"/>
        <v>0</v>
      </c>
      <c r="N18" s="4" t="s">
        <v>3057</v>
      </c>
      <c r="O18" s="10">
        <f t="shared" si="5"/>
        <v>70</v>
      </c>
      <c r="P18" s="4">
        <v>2199.9999999999991</v>
      </c>
      <c r="Q18" s="10">
        <f t="shared" si="6"/>
        <v>49</v>
      </c>
      <c r="R18" s="4">
        <v>1103.9999999999995</v>
      </c>
      <c r="S18" s="10">
        <f t="shared" si="7"/>
        <v>694.29999999999961</v>
      </c>
      <c r="T18" s="4">
        <v>2640.0000000000005</v>
      </c>
      <c r="U18" s="10">
        <f t="shared" si="8"/>
        <v>817.20999999999958</v>
      </c>
      <c r="V18" s="4">
        <v>829.00000000000023</v>
      </c>
      <c r="W18" s="10">
        <f t="shared" si="9"/>
        <v>1364.0469999999998</v>
      </c>
      <c r="X18" s="4">
        <v>200</v>
      </c>
      <c r="Y18" s="10">
        <f t="shared" si="10"/>
        <v>1203.5328999999997</v>
      </c>
      <c r="Z18" s="4" t="s">
        <v>3057</v>
      </c>
      <c r="AA18" s="10">
        <f t="shared" si="11"/>
        <v>902.47302999999977</v>
      </c>
      <c r="AB18" s="4" t="s">
        <v>3057</v>
      </c>
      <c r="AC18" s="10">
        <f t="shared" si="12"/>
        <v>631.7311209999998</v>
      </c>
      <c r="AD18" s="4">
        <v>800</v>
      </c>
      <c r="AE18" s="10">
        <f t="shared" si="13"/>
        <v>442.21178469999984</v>
      </c>
      <c r="AF18" s="4">
        <v>400</v>
      </c>
      <c r="AG18" s="10">
        <f t="shared" si="14"/>
        <v>549.54824928999983</v>
      </c>
      <c r="AH18" s="4">
        <v>800</v>
      </c>
      <c r="AI18" s="10">
        <f t="shared" si="15"/>
        <v>504.68377450299988</v>
      </c>
      <c r="AJ18" s="4" t="s">
        <v>3057</v>
      </c>
      <c r="AK18" s="10">
        <f t="shared" si="16"/>
        <v>593.27864215209991</v>
      </c>
      <c r="AL18" s="4" t="s">
        <v>3057</v>
      </c>
      <c r="AM18" s="10">
        <f t="shared" si="17"/>
        <v>415.29504950646992</v>
      </c>
      <c r="AN18" s="5">
        <f t="shared" si="18"/>
        <v>415.29504950646992</v>
      </c>
      <c r="AO18" s="6" t="str">
        <f t="shared" si="19"/>
        <v>0</v>
      </c>
    </row>
    <row r="19" spans="1:41" x14ac:dyDescent="0.25">
      <c r="A19" t="s">
        <v>358</v>
      </c>
      <c r="B19" t="s">
        <v>2544</v>
      </c>
      <c r="C19" t="str">
        <f>_xlfn.XLOOKUP(A19,Fore!A:A,Fore!AC:AC)</f>
        <v>BY</v>
      </c>
      <c r="D19" s="4" t="s">
        <v>3057</v>
      </c>
      <c r="E19" s="10" t="str">
        <f t="shared" si="0"/>
        <v>0</v>
      </c>
      <c r="F19" s="4" t="s">
        <v>3057</v>
      </c>
      <c r="G19" s="10">
        <f t="shared" si="1"/>
        <v>0</v>
      </c>
      <c r="H19" s="4" t="s">
        <v>3057</v>
      </c>
      <c r="I19" s="10">
        <f t="shared" si="2"/>
        <v>0</v>
      </c>
      <c r="J19" s="4">
        <v>101</v>
      </c>
      <c r="K19" s="10">
        <f t="shared" si="3"/>
        <v>0</v>
      </c>
      <c r="L19" s="4">
        <v>115</v>
      </c>
      <c r="M19" s="10">
        <f t="shared" si="4"/>
        <v>30.299999999999997</v>
      </c>
      <c r="N19" s="4">
        <v>540</v>
      </c>
      <c r="O19" s="10">
        <f t="shared" si="5"/>
        <v>89.59</v>
      </c>
      <c r="P19" s="4">
        <v>1340</v>
      </c>
      <c r="Q19" s="10">
        <f t="shared" si="6"/>
        <v>224.71299999999999</v>
      </c>
      <c r="R19" s="4">
        <v>1470.9999999999986</v>
      </c>
      <c r="S19" s="10">
        <f t="shared" si="7"/>
        <v>559.29909999999995</v>
      </c>
      <c r="T19" s="4">
        <v>1160</v>
      </c>
      <c r="U19" s="10">
        <f t="shared" si="8"/>
        <v>832.80936999999949</v>
      </c>
      <c r="V19" s="4">
        <v>400</v>
      </c>
      <c r="W19" s="10">
        <f t="shared" si="9"/>
        <v>930.96655899999962</v>
      </c>
      <c r="X19" s="4">
        <v>591</v>
      </c>
      <c r="Y19" s="10">
        <f t="shared" si="10"/>
        <v>771.6765912999997</v>
      </c>
      <c r="Z19" s="4" t="s">
        <v>3057</v>
      </c>
      <c r="AA19" s="10">
        <f t="shared" si="11"/>
        <v>717.4736139099997</v>
      </c>
      <c r="AB19" s="4" t="s">
        <v>3057</v>
      </c>
      <c r="AC19" s="10">
        <f t="shared" si="12"/>
        <v>502.23152973699973</v>
      </c>
      <c r="AD19" s="4">
        <v>900.00000000000011</v>
      </c>
      <c r="AE19" s="10">
        <f t="shared" si="13"/>
        <v>351.5620708158998</v>
      </c>
      <c r="AF19" s="4">
        <v>262</v>
      </c>
      <c r="AG19" s="10">
        <f t="shared" si="14"/>
        <v>516.0934495711299</v>
      </c>
      <c r="AH19" s="4">
        <v>1060</v>
      </c>
      <c r="AI19" s="10">
        <f t="shared" si="15"/>
        <v>439.8654146997909</v>
      </c>
      <c r="AJ19" s="4">
        <v>300</v>
      </c>
      <c r="AK19" s="10">
        <f t="shared" si="16"/>
        <v>625.9057902898536</v>
      </c>
      <c r="AL19" s="4">
        <v>706.00000000000023</v>
      </c>
      <c r="AM19" s="10">
        <f t="shared" si="17"/>
        <v>528.13405320289758</v>
      </c>
      <c r="AN19" s="5">
        <f t="shared" si="18"/>
        <v>177.86594679710265</v>
      </c>
      <c r="AO19" s="6">
        <f t="shared" si="19"/>
        <v>0.25193476883442295</v>
      </c>
    </row>
    <row r="20" spans="1:41" x14ac:dyDescent="0.25">
      <c r="A20" t="s">
        <v>405</v>
      </c>
      <c r="B20" t="s">
        <v>2550</v>
      </c>
      <c r="C20" t="str">
        <f>_xlfn.XLOOKUP(A20,Fore!A:A,Fore!AC:AC)</f>
        <v>BY</v>
      </c>
      <c r="D20" s="4" t="s">
        <v>3057</v>
      </c>
      <c r="E20" s="10" t="str">
        <f t="shared" si="0"/>
        <v>0</v>
      </c>
      <c r="F20" s="4" t="s">
        <v>3057</v>
      </c>
      <c r="G20" s="10">
        <f t="shared" si="1"/>
        <v>0</v>
      </c>
      <c r="H20" s="4" t="s">
        <v>3057</v>
      </c>
      <c r="I20" s="10">
        <f t="shared" si="2"/>
        <v>0</v>
      </c>
      <c r="J20" s="4">
        <v>398</v>
      </c>
      <c r="K20" s="10">
        <f t="shared" si="3"/>
        <v>0</v>
      </c>
      <c r="L20" s="4">
        <v>200</v>
      </c>
      <c r="M20" s="10">
        <f t="shared" si="4"/>
        <v>119.39999999999999</v>
      </c>
      <c r="N20" s="4">
        <v>500.00019999999995</v>
      </c>
      <c r="O20" s="10">
        <f t="shared" si="5"/>
        <v>175.82</v>
      </c>
      <c r="P20" s="4">
        <v>1001.9997999999999</v>
      </c>
      <c r="Q20" s="10">
        <f t="shared" si="6"/>
        <v>273.07405999999997</v>
      </c>
      <c r="R20" s="4">
        <v>1060</v>
      </c>
      <c r="S20" s="10">
        <f t="shared" si="7"/>
        <v>491.75178199999993</v>
      </c>
      <c r="T20" s="4">
        <v>999.99839999999961</v>
      </c>
      <c r="U20" s="10">
        <f t="shared" si="8"/>
        <v>662.22624739999992</v>
      </c>
      <c r="V20" s="4">
        <v>1410</v>
      </c>
      <c r="W20" s="10">
        <f t="shared" si="9"/>
        <v>763.55789317999984</v>
      </c>
      <c r="X20" s="4">
        <v>855</v>
      </c>
      <c r="Y20" s="10">
        <f t="shared" si="10"/>
        <v>957.49052522599982</v>
      </c>
      <c r="Z20" s="4" t="s">
        <v>3057</v>
      </c>
      <c r="AA20" s="10">
        <f t="shared" si="11"/>
        <v>926.74336765819987</v>
      </c>
      <c r="AB20" s="4">
        <v>550</v>
      </c>
      <c r="AC20" s="10">
        <f t="shared" si="12"/>
        <v>648.72035736073985</v>
      </c>
      <c r="AD20" s="4">
        <v>350</v>
      </c>
      <c r="AE20" s="10">
        <f t="shared" si="13"/>
        <v>619.10425015251781</v>
      </c>
      <c r="AF20" s="4">
        <v>300</v>
      </c>
      <c r="AG20" s="10">
        <f t="shared" si="14"/>
        <v>538.3729751067624</v>
      </c>
      <c r="AH20" s="4">
        <v>24</v>
      </c>
      <c r="AI20" s="10">
        <f t="shared" si="15"/>
        <v>466.86108257473364</v>
      </c>
      <c r="AJ20" s="4" t="s">
        <v>3057</v>
      </c>
      <c r="AK20" s="10">
        <f t="shared" si="16"/>
        <v>334.00275780231351</v>
      </c>
      <c r="AL20" s="4">
        <v>1110.9999999999998</v>
      </c>
      <c r="AM20" s="10">
        <f t="shared" si="17"/>
        <v>233.80193046161943</v>
      </c>
      <c r="AN20" s="5">
        <f t="shared" si="18"/>
        <v>877.19806953838031</v>
      </c>
      <c r="AO20" s="6">
        <f t="shared" si="19"/>
        <v>0.78955721830637304</v>
      </c>
    </row>
    <row r="21" spans="1:41" x14ac:dyDescent="0.25">
      <c r="A21" t="s">
        <v>493</v>
      </c>
      <c r="B21" t="s">
        <v>2541</v>
      </c>
      <c r="C21" t="str">
        <f>_xlfn.XLOOKUP(A21,Fore!A:A,Fore!AC:AC)</f>
        <v>BY</v>
      </c>
      <c r="D21" s="4" t="s">
        <v>3057</v>
      </c>
      <c r="E21" s="10" t="str">
        <f t="shared" si="0"/>
        <v>0</v>
      </c>
      <c r="F21" s="4" t="s">
        <v>3057</v>
      </c>
      <c r="G21" s="10">
        <f t="shared" si="1"/>
        <v>0</v>
      </c>
      <c r="H21" s="4" t="s">
        <v>3057</v>
      </c>
      <c r="I21" s="10">
        <f t="shared" si="2"/>
        <v>0</v>
      </c>
      <c r="J21" s="4" t="s">
        <v>3057</v>
      </c>
      <c r="K21" s="10">
        <f t="shared" si="3"/>
        <v>0</v>
      </c>
      <c r="L21" s="4">
        <v>1000</v>
      </c>
      <c r="M21" s="10">
        <f t="shared" si="4"/>
        <v>0</v>
      </c>
      <c r="N21" s="4" t="s">
        <v>3057</v>
      </c>
      <c r="O21" s="10">
        <f t="shared" si="5"/>
        <v>700</v>
      </c>
      <c r="P21" s="4">
        <v>840</v>
      </c>
      <c r="Q21" s="10">
        <f t="shared" si="6"/>
        <v>489.99999999999994</v>
      </c>
      <c r="R21" s="4">
        <v>1487</v>
      </c>
      <c r="S21" s="10">
        <f t="shared" si="7"/>
        <v>595</v>
      </c>
      <c r="T21" s="4">
        <v>869.99999999999955</v>
      </c>
      <c r="U21" s="10">
        <f t="shared" si="8"/>
        <v>862.59999999999991</v>
      </c>
      <c r="V21" s="4">
        <v>50</v>
      </c>
      <c r="W21" s="10">
        <f t="shared" si="9"/>
        <v>864.81999999999971</v>
      </c>
      <c r="X21" s="4">
        <v>400</v>
      </c>
      <c r="Y21" s="10">
        <f t="shared" si="10"/>
        <v>620.3739999999998</v>
      </c>
      <c r="Z21" s="4">
        <v>50</v>
      </c>
      <c r="AA21" s="10">
        <f t="shared" si="11"/>
        <v>554.26179999999977</v>
      </c>
      <c r="AB21" s="4">
        <v>250</v>
      </c>
      <c r="AC21" s="10">
        <f t="shared" si="12"/>
        <v>402.9832599999998</v>
      </c>
      <c r="AD21" s="4">
        <v>750.00000000000011</v>
      </c>
      <c r="AE21" s="10">
        <f t="shared" si="13"/>
        <v>357.08828199999982</v>
      </c>
      <c r="AF21" s="4">
        <v>750</v>
      </c>
      <c r="AG21" s="10">
        <f t="shared" si="14"/>
        <v>474.96179739999991</v>
      </c>
      <c r="AH21" s="4">
        <v>1000</v>
      </c>
      <c r="AI21" s="10">
        <f t="shared" si="15"/>
        <v>557.4732581799999</v>
      </c>
      <c r="AJ21" s="4">
        <v>850</v>
      </c>
      <c r="AK21" s="10">
        <f t="shared" si="16"/>
        <v>690.23128072599991</v>
      </c>
      <c r="AL21" s="4">
        <v>228.00000000000003</v>
      </c>
      <c r="AM21" s="10">
        <f t="shared" si="17"/>
        <v>738.1618965081999</v>
      </c>
      <c r="AN21" s="5">
        <f t="shared" si="18"/>
        <v>510.1618965081999</v>
      </c>
      <c r="AO21" s="6">
        <f t="shared" si="19"/>
        <v>2.2375521776675433</v>
      </c>
    </row>
    <row r="22" spans="1:41" x14ac:dyDescent="0.25">
      <c r="A22" t="s">
        <v>357</v>
      </c>
      <c r="B22" t="s">
        <v>2546</v>
      </c>
      <c r="C22" t="str">
        <f>_xlfn.XLOOKUP(A22,Fore!A:A,Fore!AC:AC)</f>
        <v>BY</v>
      </c>
      <c r="D22" s="4" t="s">
        <v>3057</v>
      </c>
      <c r="E22" s="10" t="str">
        <f t="shared" si="0"/>
        <v>0</v>
      </c>
      <c r="F22" s="4" t="s">
        <v>3057</v>
      </c>
      <c r="G22" s="10">
        <f t="shared" si="1"/>
        <v>0</v>
      </c>
      <c r="H22" s="4" t="s">
        <v>3057</v>
      </c>
      <c r="I22" s="10">
        <f t="shared" si="2"/>
        <v>0</v>
      </c>
      <c r="J22" s="4">
        <v>1000</v>
      </c>
      <c r="K22" s="10">
        <f t="shared" si="3"/>
        <v>0</v>
      </c>
      <c r="L22" s="4">
        <v>733</v>
      </c>
      <c r="M22" s="10">
        <f t="shared" si="4"/>
        <v>300</v>
      </c>
      <c r="N22" s="4">
        <v>720</v>
      </c>
      <c r="O22" s="10">
        <f t="shared" si="5"/>
        <v>603.1</v>
      </c>
      <c r="P22" s="4">
        <v>300</v>
      </c>
      <c r="Q22" s="10">
        <f t="shared" si="6"/>
        <v>638.17000000000007</v>
      </c>
      <c r="R22" s="4">
        <v>1559</v>
      </c>
      <c r="S22" s="10">
        <f t="shared" si="7"/>
        <v>536.71900000000005</v>
      </c>
      <c r="T22" s="4">
        <v>960.00000000000034</v>
      </c>
      <c r="U22" s="10">
        <f t="shared" si="8"/>
        <v>843.40329999999994</v>
      </c>
      <c r="V22" s="4">
        <v>116</v>
      </c>
      <c r="W22" s="10">
        <f t="shared" si="9"/>
        <v>878.38231000000007</v>
      </c>
      <c r="X22" s="4">
        <v>300</v>
      </c>
      <c r="Y22" s="10">
        <f t="shared" si="10"/>
        <v>649.66761699999995</v>
      </c>
      <c r="Z22" s="4">
        <v>100</v>
      </c>
      <c r="AA22" s="10">
        <f t="shared" si="11"/>
        <v>544.76733189999993</v>
      </c>
      <c r="AB22" s="4">
        <v>80</v>
      </c>
      <c r="AC22" s="10">
        <f t="shared" si="12"/>
        <v>411.33713232999992</v>
      </c>
      <c r="AD22" s="4">
        <v>1004</v>
      </c>
      <c r="AE22" s="10">
        <f t="shared" si="13"/>
        <v>311.93599263099992</v>
      </c>
      <c r="AF22" s="4">
        <v>300.00000000000006</v>
      </c>
      <c r="AG22" s="10">
        <f t="shared" si="14"/>
        <v>519.55519484169986</v>
      </c>
      <c r="AH22" s="4" t="s">
        <v>3057</v>
      </c>
      <c r="AI22" s="10">
        <f t="shared" si="15"/>
        <v>453.68863638918987</v>
      </c>
      <c r="AJ22" s="4">
        <v>1000</v>
      </c>
      <c r="AK22" s="10">
        <f t="shared" si="16"/>
        <v>317.58204547243287</v>
      </c>
      <c r="AL22" s="4">
        <v>230</v>
      </c>
      <c r="AM22" s="10">
        <f t="shared" si="17"/>
        <v>522.30743183070297</v>
      </c>
      <c r="AN22" s="5">
        <f t="shared" si="18"/>
        <v>292.30743183070297</v>
      </c>
      <c r="AO22" s="6">
        <f t="shared" si="19"/>
        <v>1.2709018775247956</v>
      </c>
    </row>
    <row r="23" spans="1:41" x14ac:dyDescent="0.25">
      <c r="A23" t="s">
        <v>414</v>
      </c>
      <c r="B23" t="s">
        <v>2547</v>
      </c>
      <c r="C23" t="str">
        <f>_xlfn.XLOOKUP(A23,Fore!A:A,Fore!AC:AC)</f>
        <v>BY</v>
      </c>
      <c r="D23" s="4">
        <v>944</v>
      </c>
      <c r="E23" s="10">
        <f t="shared" si="0"/>
        <v>944</v>
      </c>
      <c r="F23" s="4">
        <v>1080</v>
      </c>
      <c r="G23" s="10">
        <f t="shared" si="1"/>
        <v>944</v>
      </c>
      <c r="H23" s="4">
        <v>463</v>
      </c>
      <c r="I23" s="10">
        <f t="shared" si="2"/>
        <v>984.8</v>
      </c>
      <c r="J23" s="4" t="s">
        <v>3057</v>
      </c>
      <c r="K23" s="10">
        <f t="shared" si="3"/>
        <v>828.25999999999988</v>
      </c>
      <c r="L23" s="4">
        <v>330</v>
      </c>
      <c r="M23" s="10">
        <f t="shared" si="4"/>
        <v>579.78199999999993</v>
      </c>
      <c r="N23" s="4" t="s">
        <v>3057</v>
      </c>
      <c r="O23" s="10">
        <f t="shared" si="5"/>
        <v>404.93459999999993</v>
      </c>
      <c r="P23" s="4">
        <v>440</v>
      </c>
      <c r="Q23" s="10">
        <f t="shared" si="6"/>
        <v>283.45421999999991</v>
      </c>
      <c r="R23" s="4">
        <v>231</v>
      </c>
      <c r="S23" s="10">
        <f t="shared" si="7"/>
        <v>330.4179539999999</v>
      </c>
      <c r="T23" s="4">
        <v>550</v>
      </c>
      <c r="U23" s="10">
        <f t="shared" si="8"/>
        <v>300.59256779999993</v>
      </c>
      <c r="V23" s="4" t="s">
        <v>3057</v>
      </c>
      <c r="W23" s="10">
        <f t="shared" si="9"/>
        <v>375.41479745999993</v>
      </c>
      <c r="X23" s="4">
        <v>200</v>
      </c>
      <c r="Y23" s="10">
        <f t="shared" si="10"/>
        <v>262.79035822199995</v>
      </c>
      <c r="Z23" s="4">
        <v>42</v>
      </c>
      <c r="AA23" s="10">
        <f t="shared" si="11"/>
        <v>243.95325075539995</v>
      </c>
      <c r="AB23" s="4">
        <v>110.00000000000001</v>
      </c>
      <c r="AC23" s="10">
        <f t="shared" si="12"/>
        <v>183.36727552877994</v>
      </c>
      <c r="AD23" s="4">
        <v>220</v>
      </c>
      <c r="AE23" s="10">
        <f t="shared" si="13"/>
        <v>161.35709287014595</v>
      </c>
      <c r="AF23" s="4">
        <v>330</v>
      </c>
      <c r="AG23" s="10">
        <f t="shared" si="14"/>
        <v>178.94996500910216</v>
      </c>
      <c r="AH23" s="4">
        <v>570</v>
      </c>
      <c r="AI23" s="10">
        <f t="shared" si="15"/>
        <v>224.26497550637151</v>
      </c>
      <c r="AJ23" s="4">
        <v>630</v>
      </c>
      <c r="AK23" s="10">
        <f t="shared" si="16"/>
        <v>327.98548285446009</v>
      </c>
      <c r="AL23" s="4" t="s">
        <v>3057</v>
      </c>
      <c r="AM23" s="10">
        <f t="shared" si="17"/>
        <v>418.58983799812205</v>
      </c>
      <c r="AN23" s="5">
        <f t="shared" si="18"/>
        <v>418.58983799812205</v>
      </c>
      <c r="AO23" s="6" t="str">
        <f t="shared" si="19"/>
        <v>0</v>
      </c>
    </row>
    <row r="24" spans="1:41" x14ac:dyDescent="0.25">
      <c r="A24" t="s">
        <v>735</v>
      </c>
      <c r="B24" t="s">
        <v>2553</v>
      </c>
      <c r="C24" t="str">
        <f>_xlfn.XLOOKUP(A24,Fore!A:A,Fore!AC:AC)</f>
        <v>BX</v>
      </c>
      <c r="D24" s="4" t="s">
        <v>3057</v>
      </c>
      <c r="E24" s="10" t="str">
        <f t="shared" si="0"/>
        <v>0</v>
      </c>
      <c r="F24" s="4" t="s">
        <v>3057</v>
      </c>
      <c r="G24" s="10">
        <f t="shared" si="1"/>
        <v>0</v>
      </c>
      <c r="H24" s="4" t="s">
        <v>3057</v>
      </c>
      <c r="I24" s="10">
        <f t="shared" si="2"/>
        <v>0</v>
      </c>
      <c r="J24" s="4" t="s">
        <v>3057</v>
      </c>
      <c r="K24" s="10">
        <f t="shared" si="3"/>
        <v>0</v>
      </c>
      <c r="L24" s="4">
        <v>1000</v>
      </c>
      <c r="M24" s="10">
        <f t="shared" si="4"/>
        <v>0</v>
      </c>
      <c r="N24" s="4" t="s">
        <v>3057</v>
      </c>
      <c r="O24" s="10">
        <f t="shared" si="5"/>
        <v>700</v>
      </c>
      <c r="P24" s="4">
        <v>1000</v>
      </c>
      <c r="Q24" s="10">
        <f t="shared" si="6"/>
        <v>489.99999999999994</v>
      </c>
      <c r="R24" s="4" t="s">
        <v>3057</v>
      </c>
      <c r="S24" s="10">
        <f t="shared" si="7"/>
        <v>643</v>
      </c>
      <c r="T24" s="4" t="s">
        <v>3057</v>
      </c>
      <c r="U24" s="10">
        <f t="shared" si="8"/>
        <v>450.09999999999997</v>
      </c>
      <c r="V24" s="4">
        <v>1000</v>
      </c>
      <c r="W24" s="10">
        <f t="shared" si="9"/>
        <v>315.06999999999994</v>
      </c>
      <c r="X24" s="4">
        <v>0</v>
      </c>
      <c r="Y24" s="10">
        <f t="shared" si="10"/>
        <v>520.54899999999998</v>
      </c>
      <c r="Z24" s="4" t="s">
        <v>3057</v>
      </c>
      <c r="AA24" s="10">
        <f t="shared" si="11"/>
        <v>364.38429999999994</v>
      </c>
      <c r="AB24" s="4">
        <v>500</v>
      </c>
      <c r="AC24" s="10">
        <f t="shared" si="12"/>
        <v>255.06900999999993</v>
      </c>
      <c r="AD24" s="4">
        <v>1222.22</v>
      </c>
      <c r="AE24" s="10">
        <f t="shared" si="13"/>
        <v>328.54830699999991</v>
      </c>
      <c r="AF24" s="4" t="s">
        <v>3057</v>
      </c>
      <c r="AG24" s="10">
        <f t="shared" si="14"/>
        <v>596.64981489999991</v>
      </c>
      <c r="AH24" s="4">
        <v>1000</v>
      </c>
      <c r="AI24" s="10">
        <f t="shared" si="15"/>
        <v>417.6548704299999</v>
      </c>
      <c r="AJ24" s="4" t="s">
        <v>3057</v>
      </c>
      <c r="AK24" s="10">
        <f t="shared" si="16"/>
        <v>592.35840930099994</v>
      </c>
      <c r="AL24" s="4" t="s">
        <v>3057</v>
      </c>
      <c r="AM24" s="10">
        <f t="shared" si="17"/>
        <v>414.65088651069993</v>
      </c>
      <c r="AN24" s="5">
        <f t="shared" si="18"/>
        <v>414.65088651069993</v>
      </c>
      <c r="AO24" s="6" t="str">
        <f t="shared" si="19"/>
        <v>0</v>
      </c>
    </row>
    <row r="25" spans="1:41" x14ac:dyDescent="0.25">
      <c r="A25" t="s">
        <v>948</v>
      </c>
      <c r="B25" t="s">
        <v>2542</v>
      </c>
      <c r="C25" t="str">
        <f>_xlfn.XLOOKUP(A25,Fore!A:A,Fore!AC:AC)</f>
        <v>BY</v>
      </c>
      <c r="D25" s="4" t="s">
        <v>3057</v>
      </c>
      <c r="E25" s="10" t="str">
        <f t="shared" si="0"/>
        <v>0</v>
      </c>
      <c r="F25" s="4" t="s">
        <v>3057</v>
      </c>
      <c r="G25" s="10">
        <f t="shared" si="1"/>
        <v>0</v>
      </c>
      <c r="H25" s="4" t="s">
        <v>3057</v>
      </c>
      <c r="I25" s="10">
        <f t="shared" si="2"/>
        <v>0</v>
      </c>
      <c r="J25" s="4" t="s">
        <v>3057</v>
      </c>
      <c r="K25" s="10">
        <f t="shared" si="3"/>
        <v>0</v>
      </c>
      <c r="L25" s="4" t="s">
        <v>3057</v>
      </c>
      <c r="M25" s="10">
        <f t="shared" si="4"/>
        <v>0</v>
      </c>
      <c r="N25" s="4" t="s">
        <v>3057</v>
      </c>
      <c r="O25" s="10">
        <f t="shared" si="5"/>
        <v>0</v>
      </c>
      <c r="P25" s="4">
        <v>1667</v>
      </c>
      <c r="Q25" s="10">
        <f t="shared" si="6"/>
        <v>0</v>
      </c>
      <c r="R25" s="4" t="s">
        <v>3057</v>
      </c>
      <c r="S25" s="10">
        <f t="shared" si="7"/>
        <v>500.09999999999997</v>
      </c>
      <c r="T25" s="4" t="s">
        <v>3057</v>
      </c>
      <c r="U25" s="10">
        <f t="shared" si="8"/>
        <v>350.06999999999994</v>
      </c>
      <c r="V25" s="4">
        <v>1000</v>
      </c>
      <c r="W25" s="10">
        <f t="shared" si="9"/>
        <v>245.04899999999995</v>
      </c>
      <c r="X25" s="4">
        <v>0</v>
      </c>
      <c r="Y25" s="10">
        <f t="shared" si="10"/>
        <v>471.53429999999992</v>
      </c>
      <c r="Z25" s="4" t="s">
        <v>3057</v>
      </c>
      <c r="AA25" s="10">
        <f t="shared" si="11"/>
        <v>330.07400999999993</v>
      </c>
      <c r="AB25" s="4" t="s">
        <v>3057</v>
      </c>
      <c r="AC25" s="10">
        <f t="shared" si="12"/>
        <v>231.05180699999994</v>
      </c>
      <c r="AD25" s="4" t="s">
        <v>3057</v>
      </c>
      <c r="AE25" s="10">
        <f t="shared" si="13"/>
        <v>161.73626489999995</v>
      </c>
      <c r="AF25" s="4">
        <v>1000</v>
      </c>
      <c r="AG25" s="10">
        <f t="shared" si="14"/>
        <v>113.21538542999996</v>
      </c>
      <c r="AH25" s="4" t="s">
        <v>3057</v>
      </c>
      <c r="AI25" s="10">
        <f t="shared" si="15"/>
        <v>379.25076980099993</v>
      </c>
      <c r="AJ25" s="4">
        <v>1000</v>
      </c>
      <c r="AK25" s="10">
        <f t="shared" si="16"/>
        <v>265.47553886069994</v>
      </c>
      <c r="AL25" s="4">
        <v>1000</v>
      </c>
      <c r="AM25" s="10">
        <f t="shared" si="17"/>
        <v>485.83287720248995</v>
      </c>
      <c r="AN25" s="5">
        <f t="shared" si="18"/>
        <v>514.16712279751005</v>
      </c>
      <c r="AO25" s="6">
        <f t="shared" si="19"/>
        <v>0.51416712279751009</v>
      </c>
    </row>
    <row r="26" spans="1:41" x14ac:dyDescent="0.25">
      <c r="A26" t="s">
        <v>587</v>
      </c>
      <c r="B26" t="s">
        <v>2549</v>
      </c>
      <c r="C26" t="str">
        <f>_xlfn.XLOOKUP(A26,Fore!A:A,Fore!AC:AC)</f>
        <v>BY</v>
      </c>
      <c r="D26" s="4" t="s">
        <v>3057</v>
      </c>
      <c r="E26" s="10" t="str">
        <f t="shared" si="0"/>
        <v>0</v>
      </c>
      <c r="F26" s="4" t="s">
        <v>3057</v>
      </c>
      <c r="G26" s="10">
        <f t="shared" si="1"/>
        <v>0</v>
      </c>
      <c r="H26" s="4" t="s">
        <v>3057</v>
      </c>
      <c r="I26" s="10">
        <f t="shared" si="2"/>
        <v>0</v>
      </c>
      <c r="J26" s="4" t="s">
        <v>3057</v>
      </c>
      <c r="K26" s="10">
        <f t="shared" si="3"/>
        <v>0</v>
      </c>
      <c r="L26" s="4">
        <v>600</v>
      </c>
      <c r="M26" s="10">
        <f t="shared" si="4"/>
        <v>0</v>
      </c>
      <c r="N26" s="4">
        <v>100</v>
      </c>
      <c r="O26" s="10">
        <f t="shared" si="5"/>
        <v>420</v>
      </c>
      <c r="P26" s="4" t="s">
        <v>3057</v>
      </c>
      <c r="Q26" s="10">
        <f t="shared" si="6"/>
        <v>324</v>
      </c>
      <c r="R26" s="4">
        <v>469.99999999999983</v>
      </c>
      <c r="S26" s="10">
        <f t="shared" si="7"/>
        <v>226.79999999999998</v>
      </c>
      <c r="T26" s="4">
        <v>300</v>
      </c>
      <c r="U26" s="10">
        <f t="shared" si="8"/>
        <v>299.75999999999993</v>
      </c>
      <c r="V26" s="4">
        <v>600</v>
      </c>
      <c r="W26" s="10">
        <f t="shared" si="9"/>
        <v>299.83199999999994</v>
      </c>
      <c r="X26" s="4">
        <v>329.99999999999994</v>
      </c>
      <c r="Y26" s="10">
        <f t="shared" si="10"/>
        <v>389.88239999999996</v>
      </c>
      <c r="Z26" s="4" t="s">
        <v>3057</v>
      </c>
      <c r="AA26" s="10">
        <f t="shared" si="11"/>
        <v>371.91767999999996</v>
      </c>
      <c r="AB26" s="4">
        <v>100</v>
      </c>
      <c r="AC26" s="10">
        <f t="shared" si="12"/>
        <v>260.34237599999994</v>
      </c>
      <c r="AD26" s="4">
        <v>728.55</v>
      </c>
      <c r="AE26" s="10">
        <f t="shared" si="13"/>
        <v>212.23966319999994</v>
      </c>
      <c r="AF26" s="4">
        <v>600</v>
      </c>
      <c r="AG26" s="10">
        <f t="shared" si="14"/>
        <v>367.13276423999991</v>
      </c>
      <c r="AH26" s="4">
        <v>300</v>
      </c>
      <c r="AI26" s="10">
        <f t="shared" si="15"/>
        <v>436.99293496799993</v>
      </c>
      <c r="AJ26" s="4">
        <v>880</v>
      </c>
      <c r="AK26" s="10">
        <f t="shared" si="16"/>
        <v>395.89505447759996</v>
      </c>
      <c r="AL26" s="4">
        <v>100</v>
      </c>
      <c r="AM26" s="10">
        <f t="shared" si="17"/>
        <v>541.12653813431996</v>
      </c>
      <c r="AN26" s="5">
        <f t="shared" si="18"/>
        <v>441.12653813431996</v>
      </c>
      <c r="AO26" s="6">
        <f t="shared" si="19"/>
        <v>4.4112653813431999</v>
      </c>
    </row>
    <row r="27" spans="1:41" x14ac:dyDescent="0.25">
      <c r="A27" t="s">
        <v>363</v>
      </c>
      <c r="B27" t="s">
        <v>2545</v>
      </c>
      <c r="C27" t="str">
        <f>_xlfn.XLOOKUP(A27,Fore!A:A,Fore!AC:AC)</f>
        <v>BY</v>
      </c>
      <c r="D27" s="4" t="s">
        <v>3057</v>
      </c>
      <c r="E27" s="10" t="str">
        <f t="shared" si="0"/>
        <v>0</v>
      </c>
      <c r="F27" s="4" t="s">
        <v>3057</v>
      </c>
      <c r="G27" s="10">
        <f t="shared" si="1"/>
        <v>0</v>
      </c>
      <c r="H27" s="4" t="s">
        <v>3057</v>
      </c>
      <c r="I27" s="10">
        <f t="shared" si="2"/>
        <v>0</v>
      </c>
      <c r="J27" s="4" t="s">
        <v>3057</v>
      </c>
      <c r="K27" s="10">
        <f t="shared" si="3"/>
        <v>0</v>
      </c>
      <c r="L27" s="4">
        <v>500</v>
      </c>
      <c r="M27" s="10">
        <f t="shared" si="4"/>
        <v>0</v>
      </c>
      <c r="N27" s="4">
        <v>260</v>
      </c>
      <c r="O27" s="10">
        <f t="shared" si="5"/>
        <v>350</v>
      </c>
      <c r="P27" s="4" t="s">
        <v>3057</v>
      </c>
      <c r="Q27" s="10">
        <f t="shared" si="6"/>
        <v>323</v>
      </c>
      <c r="R27" s="4">
        <v>500</v>
      </c>
      <c r="S27" s="10">
        <f t="shared" si="7"/>
        <v>226.1</v>
      </c>
      <c r="T27" s="4">
        <v>500</v>
      </c>
      <c r="U27" s="10">
        <f t="shared" si="8"/>
        <v>308.27</v>
      </c>
      <c r="V27" s="4" t="s">
        <v>3057</v>
      </c>
      <c r="W27" s="10">
        <f t="shared" si="9"/>
        <v>365.78899999999999</v>
      </c>
      <c r="X27" s="4">
        <v>0</v>
      </c>
      <c r="Y27" s="10">
        <f t="shared" si="10"/>
        <v>256.0523</v>
      </c>
      <c r="Z27" s="4">
        <v>128</v>
      </c>
      <c r="AA27" s="10">
        <f t="shared" si="11"/>
        <v>179.23660999999998</v>
      </c>
      <c r="AB27" s="4">
        <v>500</v>
      </c>
      <c r="AC27" s="10">
        <f t="shared" si="12"/>
        <v>163.86562699999999</v>
      </c>
      <c r="AD27" s="4">
        <v>500</v>
      </c>
      <c r="AE27" s="10">
        <f t="shared" si="13"/>
        <v>264.70593889999998</v>
      </c>
      <c r="AF27" s="4">
        <v>500</v>
      </c>
      <c r="AG27" s="10">
        <f t="shared" si="14"/>
        <v>335.29415723</v>
      </c>
      <c r="AH27" s="4" t="s">
        <v>3057</v>
      </c>
      <c r="AI27" s="10">
        <f t="shared" si="15"/>
        <v>384.70591006099994</v>
      </c>
      <c r="AJ27" s="4">
        <v>500</v>
      </c>
      <c r="AK27" s="10">
        <f t="shared" si="16"/>
        <v>269.29413704269996</v>
      </c>
      <c r="AL27" s="4">
        <v>1110.9999999999998</v>
      </c>
      <c r="AM27" s="10">
        <f t="shared" si="17"/>
        <v>338.50589592988996</v>
      </c>
      <c r="AN27" s="5">
        <f t="shared" si="18"/>
        <v>772.49410407010987</v>
      </c>
      <c r="AO27" s="6">
        <f t="shared" si="19"/>
        <v>0.69531422508560758</v>
      </c>
    </row>
    <row r="28" spans="1:41" x14ac:dyDescent="0.25">
      <c r="A28" t="s">
        <v>362</v>
      </c>
      <c r="B28" t="s">
        <v>2540</v>
      </c>
      <c r="C28" t="str">
        <f>_xlfn.XLOOKUP(A28,Fore!A:A,Fore!AC:AC)</f>
        <v>BY</v>
      </c>
      <c r="D28" s="4" t="s">
        <v>3057</v>
      </c>
      <c r="E28" s="10" t="str">
        <f t="shared" si="0"/>
        <v>0</v>
      </c>
      <c r="F28" s="4" t="s">
        <v>3057</v>
      </c>
      <c r="G28" s="10">
        <f t="shared" si="1"/>
        <v>0</v>
      </c>
      <c r="H28" s="4" t="s">
        <v>3057</v>
      </c>
      <c r="I28" s="10">
        <f t="shared" si="2"/>
        <v>0</v>
      </c>
      <c r="J28" s="4" t="s">
        <v>3057</v>
      </c>
      <c r="K28" s="10">
        <f t="shared" si="3"/>
        <v>0</v>
      </c>
      <c r="L28" s="4">
        <v>500</v>
      </c>
      <c r="M28" s="10">
        <f t="shared" si="4"/>
        <v>0</v>
      </c>
      <c r="N28" s="4">
        <v>500</v>
      </c>
      <c r="O28" s="10">
        <f t="shared" si="5"/>
        <v>350</v>
      </c>
      <c r="P28" s="4" t="s">
        <v>3057</v>
      </c>
      <c r="Q28" s="10">
        <f t="shared" si="6"/>
        <v>395</v>
      </c>
      <c r="R28" s="4">
        <v>187.00000000000003</v>
      </c>
      <c r="S28" s="10">
        <f t="shared" si="7"/>
        <v>276.5</v>
      </c>
      <c r="T28" s="4">
        <v>500</v>
      </c>
      <c r="U28" s="10">
        <f t="shared" si="8"/>
        <v>249.64999999999998</v>
      </c>
      <c r="V28" s="4" t="s">
        <v>3057</v>
      </c>
      <c r="W28" s="10">
        <f t="shared" si="9"/>
        <v>324.755</v>
      </c>
      <c r="X28" s="4">
        <v>0</v>
      </c>
      <c r="Y28" s="10">
        <f t="shared" si="10"/>
        <v>227.32849999999999</v>
      </c>
      <c r="Z28" s="4" t="s">
        <v>3057</v>
      </c>
      <c r="AA28" s="10">
        <f t="shared" si="11"/>
        <v>159.12994999999998</v>
      </c>
      <c r="AB28" s="4">
        <v>600</v>
      </c>
      <c r="AC28" s="10">
        <f t="shared" si="12"/>
        <v>111.39096499999998</v>
      </c>
      <c r="AD28" s="4">
        <v>100</v>
      </c>
      <c r="AE28" s="10">
        <f t="shared" si="13"/>
        <v>257.97367550000001</v>
      </c>
      <c r="AF28" s="4">
        <v>500</v>
      </c>
      <c r="AG28" s="10">
        <f t="shared" si="14"/>
        <v>210.58157284999999</v>
      </c>
      <c r="AH28" s="4">
        <v>1000</v>
      </c>
      <c r="AI28" s="10">
        <f t="shared" si="15"/>
        <v>297.40710099499995</v>
      </c>
      <c r="AJ28" s="4" t="s">
        <v>3057</v>
      </c>
      <c r="AK28" s="10">
        <f t="shared" si="16"/>
        <v>508.18497069649993</v>
      </c>
      <c r="AL28" s="4">
        <v>1110.9999999999998</v>
      </c>
      <c r="AM28" s="10">
        <f t="shared" si="17"/>
        <v>355.72947948754995</v>
      </c>
      <c r="AN28" s="5">
        <f t="shared" si="18"/>
        <v>755.27052051244982</v>
      </c>
      <c r="AO28" s="6">
        <f t="shared" si="19"/>
        <v>0.67981144960616557</v>
      </c>
    </row>
    <row r="29" spans="1:41" x14ac:dyDescent="0.25">
      <c r="A29" t="s">
        <v>622</v>
      </c>
      <c r="B29" t="s">
        <v>2556</v>
      </c>
      <c r="C29" t="str">
        <f>_xlfn.XLOOKUP(A29,Fore!A:A,Fore!AC:AC)</f>
        <v>BY</v>
      </c>
      <c r="D29" s="4" t="s">
        <v>3057</v>
      </c>
      <c r="E29" s="10" t="str">
        <f t="shared" si="0"/>
        <v>0</v>
      </c>
      <c r="F29" s="4" t="s">
        <v>3057</v>
      </c>
      <c r="G29" s="10">
        <f t="shared" si="1"/>
        <v>0</v>
      </c>
      <c r="H29" s="4" t="s">
        <v>3057</v>
      </c>
      <c r="I29" s="10">
        <f t="shared" si="2"/>
        <v>0</v>
      </c>
      <c r="J29" s="4">
        <v>200</v>
      </c>
      <c r="K29" s="10">
        <f t="shared" si="3"/>
        <v>0</v>
      </c>
      <c r="L29" s="4">
        <v>300</v>
      </c>
      <c r="M29" s="10">
        <f t="shared" si="4"/>
        <v>60</v>
      </c>
      <c r="N29" s="4">
        <v>200</v>
      </c>
      <c r="O29" s="10">
        <f t="shared" si="5"/>
        <v>228</v>
      </c>
      <c r="P29" s="4">
        <v>500</v>
      </c>
      <c r="Q29" s="10">
        <f t="shared" si="6"/>
        <v>219.6</v>
      </c>
      <c r="R29" s="4">
        <v>1190</v>
      </c>
      <c r="S29" s="10">
        <f t="shared" si="7"/>
        <v>303.72000000000003</v>
      </c>
      <c r="T29" s="4">
        <v>600</v>
      </c>
      <c r="U29" s="10">
        <f t="shared" si="8"/>
        <v>569.60400000000004</v>
      </c>
      <c r="V29" s="4" t="s">
        <v>3057</v>
      </c>
      <c r="W29" s="10">
        <f t="shared" si="9"/>
        <v>578.72280000000001</v>
      </c>
      <c r="X29" s="4">
        <v>300</v>
      </c>
      <c r="Y29" s="10">
        <f t="shared" si="10"/>
        <v>405.10595999999998</v>
      </c>
      <c r="Z29" s="4" t="s">
        <v>3057</v>
      </c>
      <c r="AA29" s="10">
        <f t="shared" si="11"/>
        <v>373.57417199999998</v>
      </c>
      <c r="AB29" s="4" t="s">
        <v>3057</v>
      </c>
      <c r="AC29" s="10">
        <f t="shared" si="12"/>
        <v>261.50192039999996</v>
      </c>
      <c r="AD29" s="4">
        <v>642.90000000000009</v>
      </c>
      <c r="AE29" s="10">
        <f t="shared" si="13"/>
        <v>183.05134427999997</v>
      </c>
      <c r="AF29" s="4" t="s">
        <v>3057</v>
      </c>
      <c r="AG29" s="10">
        <f t="shared" si="14"/>
        <v>321.00594099599999</v>
      </c>
      <c r="AH29" s="4">
        <v>700</v>
      </c>
      <c r="AI29" s="10">
        <f t="shared" si="15"/>
        <v>224.70415869719997</v>
      </c>
      <c r="AJ29" s="4">
        <v>160</v>
      </c>
      <c r="AK29" s="10">
        <f t="shared" si="16"/>
        <v>367.29291108804</v>
      </c>
      <c r="AL29" s="4">
        <v>200</v>
      </c>
      <c r="AM29" s="10">
        <f t="shared" si="17"/>
        <v>305.10503776162801</v>
      </c>
      <c r="AN29" s="5">
        <f t="shared" si="18"/>
        <v>105.10503776162801</v>
      </c>
      <c r="AO29" s="6">
        <f t="shared" si="19"/>
        <v>0.52552518880814003</v>
      </c>
    </row>
    <row r="30" spans="1:41" x14ac:dyDescent="0.25">
      <c r="A30" t="s">
        <v>737</v>
      </c>
      <c r="B30" t="s">
        <v>2568</v>
      </c>
      <c r="C30" t="str">
        <f>_xlfn.XLOOKUP(A30,Fore!A:A,Fore!AC:AC)</f>
        <v>BX</v>
      </c>
      <c r="D30" s="4" t="s">
        <v>3057</v>
      </c>
      <c r="E30" s="10" t="str">
        <f t="shared" si="0"/>
        <v>0</v>
      </c>
      <c r="F30" s="4" t="s">
        <v>3057</v>
      </c>
      <c r="G30" s="10">
        <f t="shared" si="1"/>
        <v>0</v>
      </c>
      <c r="H30" s="4" t="s">
        <v>3057</v>
      </c>
      <c r="I30" s="10">
        <f t="shared" si="2"/>
        <v>0</v>
      </c>
      <c r="J30" s="4">
        <v>444.00000000000011</v>
      </c>
      <c r="K30" s="10">
        <f t="shared" si="3"/>
        <v>0</v>
      </c>
      <c r="L30" s="4" t="s">
        <v>3057</v>
      </c>
      <c r="M30" s="10">
        <f t="shared" si="4"/>
        <v>133.20000000000002</v>
      </c>
      <c r="N30" s="4" t="s">
        <v>3057</v>
      </c>
      <c r="O30" s="10">
        <f t="shared" si="5"/>
        <v>39.96</v>
      </c>
      <c r="P30" s="4">
        <v>900.00000000000023</v>
      </c>
      <c r="Q30" s="10">
        <f t="shared" si="6"/>
        <v>27.971999999999998</v>
      </c>
      <c r="R30" s="4">
        <v>799.99999999999977</v>
      </c>
      <c r="S30" s="10">
        <f t="shared" si="7"/>
        <v>289.58040000000005</v>
      </c>
      <c r="T30" s="4" t="s">
        <v>3057</v>
      </c>
      <c r="U30" s="10">
        <f t="shared" si="8"/>
        <v>442.70627999999994</v>
      </c>
      <c r="V30" s="4">
        <v>700.00000000000057</v>
      </c>
      <c r="W30" s="10">
        <f t="shared" si="9"/>
        <v>309.89439599999992</v>
      </c>
      <c r="X30" s="4">
        <v>483.00000000000017</v>
      </c>
      <c r="Y30" s="10">
        <f t="shared" si="10"/>
        <v>426.92607720000012</v>
      </c>
      <c r="Z30" s="4" t="s">
        <v>3057</v>
      </c>
      <c r="AA30" s="10">
        <f t="shared" si="11"/>
        <v>443.74825404000012</v>
      </c>
      <c r="AB30" s="4" t="s">
        <v>3057</v>
      </c>
      <c r="AC30" s="10">
        <f t="shared" si="12"/>
        <v>310.62377782800007</v>
      </c>
      <c r="AD30" s="4">
        <v>999.99999999999966</v>
      </c>
      <c r="AE30" s="10">
        <f t="shared" si="13"/>
        <v>217.43664447960003</v>
      </c>
      <c r="AF30" s="4" t="s">
        <v>3057</v>
      </c>
      <c r="AG30" s="10">
        <f t="shared" si="14"/>
        <v>452.2056511357199</v>
      </c>
      <c r="AH30" s="4">
        <v>564</v>
      </c>
      <c r="AI30" s="10">
        <f t="shared" si="15"/>
        <v>316.54395579500391</v>
      </c>
      <c r="AJ30" s="4" t="s">
        <v>3057</v>
      </c>
      <c r="AK30" s="10">
        <f t="shared" si="16"/>
        <v>390.78076905650272</v>
      </c>
      <c r="AL30" s="4" t="s">
        <v>3057</v>
      </c>
      <c r="AM30" s="10">
        <f t="shared" si="17"/>
        <v>273.54653833955189</v>
      </c>
      <c r="AN30" s="5">
        <f t="shared" si="18"/>
        <v>273.54653833955189</v>
      </c>
      <c r="AO30" s="6" t="str">
        <f t="shared" si="19"/>
        <v>0</v>
      </c>
    </row>
    <row r="31" spans="1:41" x14ac:dyDescent="0.25">
      <c r="A31" t="s">
        <v>626</v>
      </c>
      <c r="B31" t="s">
        <v>2574</v>
      </c>
      <c r="C31" t="str">
        <f>_xlfn.XLOOKUP(A31,Fore!A:A,Fore!AC:AC)</f>
        <v>BY</v>
      </c>
      <c r="D31" s="4">
        <v>425</v>
      </c>
      <c r="E31" s="10">
        <f t="shared" si="0"/>
        <v>425</v>
      </c>
      <c r="F31" s="4">
        <v>475</v>
      </c>
      <c r="G31" s="10">
        <f t="shared" si="1"/>
        <v>425</v>
      </c>
      <c r="H31" s="4">
        <v>144.9999</v>
      </c>
      <c r="I31" s="10">
        <f t="shared" si="2"/>
        <v>440</v>
      </c>
      <c r="J31" s="4" t="s">
        <v>3057</v>
      </c>
      <c r="K31" s="10">
        <f t="shared" si="3"/>
        <v>351.49997000000002</v>
      </c>
      <c r="L31" s="4">
        <v>499.99999999999994</v>
      </c>
      <c r="M31" s="10">
        <f t="shared" si="4"/>
        <v>246.04997900000001</v>
      </c>
      <c r="N31" s="4">
        <v>200</v>
      </c>
      <c r="O31" s="10">
        <f t="shared" si="5"/>
        <v>423.81499369999995</v>
      </c>
      <c r="P31" s="4">
        <v>365</v>
      </c>
      <c r="Q31" s="10">
        <f t="shared" si="6"/>
        <v>356.67049558999992</v>
      </c>
      <c r="R31" s="4">
        <v>450.0003999999999</v>
      </c>
      <c r="S31" s="10">
        <f t="shared" si="7"/>
        <v>359.16934691299991</v>
      </c>
      <c r="T31" s="4">
        <v>500.99960000000021</v>
      </c>
      <c r="U31" s="10">
        <f t="shared" si="8"/>
        <v>386.41866283909985</v>
      </c>
      <c r="V31" s="4">
        <v>1049</v>
      </c>
      <c r="W31" s="10">
        <f t="shared" si="9"/>
        <v>420.79294398736988</v>
      </c>
      <c r="X31" s="4">
        <v>0</v>
      </c>
      <c r="Y31" s="10">
        <f t="shared" si="10"/>
        <v>609.25506079115894</v>
      </c>
      <c r="Z31" s="4" t="s">
        <v>3057</v>
      </c>
      <c r="AA31" s="10">
        <f t="shared" si="11"/>
        <v>426.47854255381122</v>
      </c>
      <c r="AB31" s="4" t="s">
        <v>3057</v>
      </c>
      <c r="AC31" s="10">
        <f t="shared" si="12"/>
        <v>298.53497978766785</v>
      </c>
      <c r="AD31" s="4">
        <v>25</v>
      </c>
      <c r="AE31" s="10">
        <f t="shared" si="13"/>
        <v>208.97448585136749</v>
      </c>
      <c r="AF31" s="4">
        <v>30</v>
      </c>
      <c r="AG31" s="10">
        <f t="shared" si="14"/>
        <v>153.78214009595723</v>
      </c>
      <c r="AH31" s="4">
        <v>240</v>
      </c>
      <c r="AI31" s="10">
        <f t="shared" si="15"/>
        <v>116.64749806717006</v>
      </c>
      <c r="AJ31" s="4">
        <v>205</v>
      </c>
      <c r="AK31" s="10">
        <f t="shared" si="16"/>
        <v>153.65324864701904</v>
      </c>
      <c r="AL31" s="4">
        <v>54</v>
      </c>
      <c r="AM31" s="10">
        <f t="shared" si="17"/>
        <v>169.05727405291333</v>
      </c>
      <c r="AN31" s="5">
        <f t="shared" si="18"/>
        <v>115.05727405291333</v>
      </c>
      <c r="AO31" s="6">
        <f t="shared" si="19"/>
        <v>2.1306902602391355</v>
      </c>
    </row>
    <row r="32" spans="1:41" x14ac:dyDescent="0.25">
      <c r="A32" t="s">
        <v>361</v>
      </c>
      <c r="B32" t="s">
        <v>2569</v>
      </c>
      <c r="C32" t="str">
        <f>_xlfn.XLOOKUP(A32,Fore!A:A,Fore!AC:AC)</f>
        <v>BY</v>
      </c>
      <c r="D32" s="4">
        <v>640</v>
      </c>
      <c r="E32" s="10">
        <f t="shared" si="0"/>
        <v>640</v>
      </c>
      <c r="F32" s="4">
        <v>120</v>
      </c>
      <c r="G32" s="10">
        <f t="shared" si="1"/>
        <v>640</v>
      </c>
      <c r="H32" s="4">
        <v>300</v>
      </c>
      <c r="I32" s="10">
        <f t="shared" si="2"/>
        <v>484</v>
      </c>
      <c r="J32" s="4" t="s">
        <v>3057</v>
      </c>
      <c r="K32" s="10">
        <f t="shared" si="3"/>
        <v>428.79999999999995</v>
      </c>
      <c r="L32" s="4">
        <v>360</v>
      </c>
      <c r="M32" s="10">
        <f t="shared" si="4"/>
        <v>300.15999999999997</v>
      </c>
      <c r="N32" s="4">
        <v>400</v>
      </c>
      <c r="O32" s="10">
        <f t="shared" si="5"/>
        <v>342.04799999999994</v>
      </c>
      <c r="P32" s="4">
        <v>560</v>
      </c>
      <c r="Q32" s="10">
        <f t="shared" si="6"/>
        <v>359.43359999999996</v>
      </c>
      <c r="R32" s="4">
        <v>260.00039999999996</v>
      </c>
      <c r="S32" s="10">
        <f t="shared" si="7"/>
        <v>419.60351999999995</v>
      </c>
      <c r="T32" s="4">
        <v>770.99959999999965</v>
      </c>
      <c r="U32" s="10">
        <f t="shared" si="8"/>
        <v>371.72258399999993</v>
      </c>
      <c r="V32" s="4">
        <v>200</v>
      </c>
      <c r="W32" s="10">
        <f t="shared" si="9"/>
        <v>491.5056887999998</v>
      </c>
      <c r="X32" s="4">
        <v>33.33</v>
      </c>
      <c r="Y32" s="10">
        <f t="shared" si="10"/>
        <v>404.05398215999986</v>
      </c>
      <c r="Z32" s="4" t="s">
        <v>3057</v>
      </c>
      <c r="AA32" s="10">
        <f t="shared" si="11"/>
        <v>292.83678751199989</v>
      </c>
      <c r="AB32" s="4" t="s">
        <v>3057</v>
      </c>
      <c r="AC32" s="10">
        <f t="shared" si="12"/>
        <v>204.98575125839992</v>
      </c>
      <c r="AD32" s="4" t="s">
        <v>3057</v>
      </c>
      <c r="AE32" s="10">
        <f t="shared" si="13"/>
        <v>143.49002588087993</v>
      </c>
      <c r="AF32" s="4">
        <v>230</v>
      </c>
      <c r="AG32" s="10">
        <f t="shared" si="14"/>
        <v>100.44301811661595</v>
      </c>
      <c r="AH32" s="4">
        <v>170</v>
      </c>
      <c r="AI32" s="10">
        <f t="shared" si="15"/>
        <v>139.31011268163115</v>
      </c>
      <c r="AJ32" s="4">
        <v>300</v>
      </c>
      <c r="AK32" s="10">
        <f t="shared" si="16"/>
        <v>148.51707887714178</v>
      </c>
      <c r="AL32" s="4">
        <v>42</v>
      </c>
      <c r="AM32" s="10">
        <f t="shared" si="17"/>
        <v>193.96195521399926</v>
      </c>
      <c r="AN32" s="5">
        <f t="shared" si="18"/>
        <v>151.96195521399926</v>
      </c>
      <c r="AO32" s="6">
        <f t="shared" si="19"/>
        <v>3.6181417908095064</v>
      </c>
    </row>
    <row r="33" spans="1:41" x14ac:dyDescent="0.25">
      <c r="A33" t="s">
        <v>491</v>
      </c>
      <c r="B33" t="s">
        <v>2570</v>
      </c>
      <c r="C33" t="str">
        <f>_xlfn.XLOOKUP(A33,Fore!A:A,Fore!AC:AC)</f>
        <v>BY</v>
      </c>
      <c r="D33" s="4" t="s">
        <v>3057</v>
      </c>
      <c r="E33" s="10" t="str">
        <f t="shared" si="0"/>
        <v>0</v>
      </c>
      <c r="F33" s="4" t="s">
        <v>3057</v>
      </c>
      <c r="G33" s="10">
        <f t="shared" si="1"/>
        <v>0</v>
      </c>
      <c r="H33" s="4" t="s">
        <v>3057</v>
      </c>
      <c r="I33" s="10">
        <f t="shared" si="2"/>
        <v>0</v>
      </c>
      <c r="J33" s="4">
        <v>80</v>
      </c>
      <c r="K33" s="10">
        <f t="shared" si="3"/>
        <v>0</v>
      </c>
      <c r="L33" s="4">
        <v>400</v>
      </c>
      <c r="M33" s="10">
        <f t="shared" si="4"/>
        <v>24</v>
      </c>
      <c r="N33" s="4">
        <v>300</v>
      </c>
      <c r="O33" s="10">
        <f t="shared" si="5"/>
        <v>287.2</v>
      </c>
      <c r="P33" s="4">
        <v>510</v>
      </c>
      <c r="Q33" s="10">
        <f t="shared" si="6"/>
        <v>291.03999999999996</v>
      </c>
      <c r="R33" s="4">
        <v>604.99999999999989</v>
      </c>
      <c r="S33" s="10">
        <f t="shared" si="7"/>
        <v>356.72799999999995</v>
      </c>
      <c r="T33" s="4">
        <v>900</v>
      </c>
      <c r="U33" s="10">
        <f t="shared" si="8"/>
        <v>431.20959999999991</v>
      </c>
      <c r="V33" s="4" t="s">
        <v>3057</v>
      </c>
      <c r="W33" s="10">
        <f t="shared" si="9"/>
        <v>571.84671999999989</v>
      </c>
      <c r="X33" s="4">
        <v>200</v>
      </c>
      <c r="Y33" s="10">
        <f t="shared" si="10"/>
        <v>400.2927039999999</v>
      </c>
      <c r="Z33" s="4" t="s">
        <v>3057</v>
      </c>
      <c r="AA33" s="10">
        <f t="shared" si="11"/>
        <v>340.20489279999993</v>
      </c>
      <c r="AB33" s="4" t="s">
        <v>3057</v>
      </c>
      <c r="AC33" s="10">
        <f t="shared" si="12"/>
        <v>238.14342495999992</v>
      </c>
      <c r="AD33" s="4">
        <v>428.54999999999995</v>
      </c>
      <c r="AE33" s="10">
        <f t="shared" si="13"/>
        <v>166.70039747199993</v>
      </c>
      <c r="AF33" s="4">
        <v>350</v>
      </c>
      <c r="AG33" s="10">
        <f t="shared" si="14"/>
        <v>245.25527823039991</v>
      </c>
      <c r="AH33" s="4">
        <v>300</v>
      </c>
      <c r="AI33" s="10">
        <f t="shared" si="15"/>
        <v>276.67869476127993</v>
      </c>
      <c r="AJ33" s="4" t="s">
        <v>3057</v>
      </c>
      <c r="AK33" s="10">
        <f t="shared" si="16"/>
        <v>283.67508633289594</v>
      </c>
      <c r="AL33" s="4">
        <v>200</v>
      </c>
      <c r="AM33" s="10">
        <f t="shared" si="17"/>
        <v>198.57256043302715</v>
      </c>
      <c r="AN33" s="5">
        <f t="shared" si="18"/>
        <v>1.4274395669728506</v>
      </c>
      <c r="AO33" s="6">
        <f t="shared" si="19"/>
        <v>7.1371978348642529E-3</v>
      </c>
    </row>
    <row r="34" spans="1:41" x14ac:dyDescent="0.25">
      <c r="A34" t="s">
        <v>490</v>
      </c>
      <c r="B34" t="s">
        <v>2560</v>
      </c>
      <c r="C34" t="str">
        <f>_xlfn.XLOOKUP(A34,Fore!A:A,Fore!AC:AC)</f>
        <v>BY</v>
      </c>
      <c r="D34" s="4" t="s">
        <v>3057</v>
      </c>
      <c r="E34" s="10" t="str">
        <f t="shared" si="0"/>
        <v>0</v>
      </c>
      <c r="F34" s="4" t="s">
        <v>3057</v>
      </c>
      <c r="G34" s="10">
        <f t="shared" si="1"/>
        <v>0</v>
      </c>
      <c r="H34" s="4" t="s">
        <v>3057</v>
      </c>
      <c r="I34" s="10">
        <f t="shared" si="2"/>
        <v>0</v>
      </c>
      <c r="J34" s="4">
        <v>200.66649999999998</v>
      </c>
      <c r="K34" s="10">
        <f t="shared" si="3"/>
        <v>0</v>
      </c>
      <c r="L34" s="4">
        <v>100.00019999999999</v>
      </c>
      <c r="M34" s="10">
        <f t="shared" si="4"/>
        <v>60.199949999999994</v>
      </c>
      <c r="N34" s="4">
        <v>200</v>
      </c>
      <c r="O34" s="10">
        <f t="shared" si="5"/>
        <v>88.060124999999985</v>
      </c>
      <c r="P34" s="4">
        <v>632</v>
      </c>
      <c r="Q34" s="10">
        <f t="shared" si="6"/>
        <v>121.64208749999999</v>
      </c>
      <c r="R34" s="4">
        <v>518</v>
      </c>
      <c r="S34" s="10">
        <f t="shared" si="7"/>
        <v>274.74946124999997</v>
      </c>
      <c r="T34" s="4">
        <v>481.99980000000011</v>
      </c>
      <c r="U34" s="10">
        <f t="shared" si="8"/>
        <v>347.72462287499997</v>
      </c>
      <c r="V34" s="4">
        <v>200</v>
      </c>
      <c r="W34" s="10">
        <f t="shared" si="9"/>
        <v>388.0071760125</v>
      </c>
      <c r="X34" s="4">
        <v>50</v>
      </c>
      <c r="Y34" s="10">
        <f t="shared" si="10"/>
        <v>331.60502320874997</v>
      </c>
      <c r="Z34" s="4" t="s">
        <v>3057</v>
      </c>
      <c r="AA34" s="10">
        <f t="shared" si="11"/>
        <v>247.12351624612495</v>
      </c>
      <c r="AB34" s="4" t="s">
        <v>3057</v>
      </c>
      <c r="AC34" s="10">
        <f t="shared" si="12"/>
        <v>172.98646137228747</v>
      </c>
      <c r="AD34" s="4">
        <v>308.54999999999995</v>
      </c>
      <c r="AE34" s="10">
        <f t="shared" si="13"/>
        <v>121.09052296060122</v>
      </c>
      <c r="AF34" s="4">
        <v>518</v>
      </c>
      <c r="AG34" s="10">
        <f t="shared" si="14"/>
        <v>177.32836607242083</v>
      </c>
      <c r="AH34" s="4">
        <v>560</v>
      </c>
      <c r="AI34" s="10">
        <f t="shared" si="15"/>
        <v>279.52985625069459</v>
      </c>
      <c r="AJ34" s="4">
        <v>160</v>
      </c>
      <c r="AK34" s="10">
        <f t="shared" si="16"/>
        <v>363.67089937548621</v>
      </c>
      <c r="AL34" s="4" t="s">
        <v>3057</v>
      </c>
      <c r="AM34" s="10">
        <f t="shared" si="17"/>
        <v>302.5696295628403</v>
      </c>
      <c r="AN34" s="5">
        <f t="shared" si="18"/>
        <v>302.5696295628403</v>
      </c>
      <c r="AO34" s="6" t="str">
        <f t="shared" si="19"/>
        <v>0</v>
      </c>
    </row>
    <row r="35" spans="1:41" x14ac:dyDescent="0.25">
      <c r="A35" t="s">
        <v>744</v>
      </c>
      <c r="B35" t="s">
        <v>2564</v>
      </c>
      <c r="C35" t="str">
        <f>_xlfn.XLOOKUP(A35,Fore!A:A,Fore!AC:AC)</f>
        <v>BY</v>
      </c>
      <c r="D35" s="4" t="s">
        <v>3057</v>
      </c>
      <c r="E35" s="10" t="str">
        <f t="shared" si="0"/>
        <v>0</v>
      </c>
      <c r="F35" s="4" t="s">
        <v>3057</v>
      </c>
      <c r="G35" s="10">
        <f t="shared" si="1"/>
        <v>0</v>
      </c>
      <c r="H35" s="4" t="s">
        <v>3057</v>
      </c>
      <c r="I35" s="10">
        <f t="shared" si="2"/>
        <v>0</v>
      </c>
      <c r="J35" s="4">
        <v>200</v>
      </c>
      <c r="K35" s="10">
        <f t="shared" si="3"/>
        <v>0</v>
      </c>
      <c r="L35" s="4">
        <v>600</v>
      </c>
      <c r="M35" s="10">
        <f t="shared" si="4"/>
        <v>60</v>
      </c>
      <c r="N35" s="4" t="s">
        <v>3057</v>
      </c>
      <c r="O35" s="10">
        <f t="shared" si="5"/>
        <v>438</v>
      </c>
      <c r="P35" s="4" t="s">
        <v>3057</v>
      </c>
      <c r="Q35" s="10">
        <f t="shared" si="6"/>
        <v>306.59999999999997</v>
      </c>
      <c r="R35" s="4">
        <v>520</v>
      </c>
      <c r="S35" s="10">
        <f t="shared" si="7"/>
        <v>214.61999999999998</v>
      </c>
      <c r="T35" s="4">
        <v>386.99999999999994</v>
      </c>
      <c r="U35" s="10">
        <f t="shared" si="8"/>
        <v>306.23399999999998</v>
      </c>
      <c r="V35" s="4">
        <v>20</v>
      </c>
      <c r="W35" s="10">
        <f t="shared" si="9"/>
        <v>330.46379999999994</v>
      </c>
      <c r="X35" s="4">
        <v>400</v>
      </c>
      <c r="Y35" s="10">
        <f t="shared" si="10"/>
        <v>237.32465999999994</v>
      </c>
      <c r="Z35" s="4" t="s">
        <v>3057</v>
      </c>
      <c r="AA35" s="10">
        <f t="shared" si="11"/>
        <v>286.12726199999997</v>
      </c>
      <c r="AB35" s="4">
        <v>1200</v>
      </c>
      <c r="AC35" s="10">
        <f t="shared" si="12"/>
        <v>200.28908339999998</v>
      </c>
      <c r="AD35" s="4" t="s">
        <v>3057</v>
      </c>
      <c r="AE35" s="10">
        <f t="shared" si="13"/>
        <v>500.20235837999996</v>
      </c>
      <c r="AF35" s="4" t="s">
        <v>3057</v>
      </c>
      <c r="AG35" s="10">
        <f t="shared" si="14"/>
        <v>350.14165086599996</v>
      </c>
      <c r="AH35" s="4" t="s">
        <v>3057</v>
      </c>
      <c r="AI35" s="10">
        <f t="shared" si="15"/>
        <v>245.09915560619996</v>
      </c>
      <c r="AJ35" s="4">
        <v>600</v>
      </c>
      <c r="AK35" s="10">
        <f t="shared" si="16"/>
        <v>171.56940892433997</v>
      </c>
      <c r="AL35" s="4" t="s">
        <v>3057</v>
      </c>
      <c r="AM35" s="10">
        <f t="shared" si="17"/>
        <v>300.09858624703799</v>
      </c>
      <c r="AN35" s="5">
        <f t="shared" si="18"/>
        <v>300.09858624703799</v>
      </c>
      <c r="AO35" s="6" t="str">
        <f t="shared" si="19"/>
        <v>0</v>
      </c>
    </row>
    <row r="36" spans="1:41" x14ac:dyDescent="0.25">
      <c r="A36" t="s">
        <v>621</v>
      </c>
      <c r="B36" t="s">
        <v>2563</v>
      </c>
      <c r="C36" t="str">
        <f>_xlfn.XLOOKUP(A36,Fore!A:A,Fore!AC:AC)</f>
        <v>BX</v>
      </c>
      <c r="D36" s="4" t="s">
        <v>3057</v>
      </c>
      <c r="E36" s="10" t="str">
        <f t="shared" si="0"/>
        <v>0</v>
      </c>
      <c r="F36" s="4" t="s">
        <v>3057</v>
      </c>
      <c r="G36" s="10">
        <f t="shared" si="1"/>
        <v>0</v>
      </c>
      <c r="H36" s="4" t="s">
        <v>3057</v>
      </c>
      <c r="I36" s="10">
        <f t="shared" si="2"/>
        <v>0</v>
      </c>
      <c r="J36" s="4">
        <v>300</v>
      </c>
      <c r="K36" s="10">
        <f t="shared" si="3"/>
        <v>0</v>
      </c>
      <c r="L36" s="4" t="s">
        <v>3057</v>
      </c>
      <c r="M36" s="10">
        <f t="shared" si="4"/>
        <v>90</v>
      </c>
      <c r="N36" s="4">
        <v>400</v>
      </c>
      <c r="O36" s="10">
        <f t="shared" si="5"/>
        <v>27</v>
      </c>
      <c r="P36" s="4" t="s">
        <v>3057</v>
      </c>
      <c r="Q36" s="10">
        <f t="shared" si="6"/>
        <v>138.9</v>
      </c>
      <c r="R36" s="4">
        <v>599.99999999999989</v>
      </c>
      <c r="S36" s="10">
        <f t="shared" si="7"/>
        <v>97.23</v>
      </c>
      <c r="T36" s="4">
        <v>397.99999999999994</v>
      </c>
      <c r="U36" s="10">
        <f t="shared" si="8"/>
        <v>248.06099999999998</v>
      </c>
      <c r="V36" s="4">
        <v>700</v>
      </c>
      <c r="W36" s="10">
        <f t="shared" si="9"/>
        <v>293.04269999999997</v>
      </c>
      <c r="X36" s="4">
        <v>100</v>
      </c>
      <c r="Y36" s="10">
        <f t="shared" si="10"/>
        <v>415.12988999999993</v>
      </c>
      <c r="Z36" s="4" t="s">
        <v>3057</v>
      </c>
      <c r="AA36" s="10">
        <f t="shared" si="11"/>
        <v>320.59092299999992</v>
      </c>
      <c r="AB36" s="4" t="s">
        <v>3057</v>
      </c>
      <c r="AC36" s="10">
        <f t="shared" si="12"/>
        <v>224.41364609999994</v>
      </c>
      <c r="AD36" s="4">
        <v>365</v>
      </c>
      <c r="AE36" s="10">
        <f t="shared" si="13"/>
        <v>157.08955226999996</v>
      </c>
      <c r="AF36" s="4">
        <v>200</v>
      </c>
      <c r="AG36" s="10">
        <f t="shared" si="14"/>
        <v>219.46268658899996</v>
      </c>
      <c r="AH36" s="4">
        <v>200</v>
      </c>
      <c r="AI36" s="10">
        <f t="shared" si="15"/>
        <v>213.62388061229996</v>
      </c>
      <c r="AJ36" s="4">
        <v>400</v>
      </c>
      <c r="AK36" s="10">
        <f t="shared" si="16"/>
        <v>209.53671642860996</v>
      </c>
      <c r="AL36" s="4" t="s">
        <v>3057</v>
      </c>
      <c r="AM36" s="10">
        <f t="shared" si="17"/>
        <v>266.675701500027</v>
      </c>
      <c r="AN36" s="5">
        <f t="shared" si="18"/>
        <v>266.675701500027</v>
      </c>
      <c r="AO36" s="6" t="str">
        <f t="shared" si="19"/>
        <v>0</v>
      </c>
    </row>
    <row r="37" spans="1:41" x14ac:dyDescent="0.25">
      <c r="A37" t="s">
        <v>555</v>
      </c>
      <c r="B37" t="s">
        <v>2561</v>
      </c>
      <c r="C37" t="str">
        <f>_xlfn.XLOOKUP(A37,Fore!A:A,Fore!AC:AC)</f>
        <v>BY</v>
      </c>
      <c r="D37" s="4" t="s">
        <v>3057</v>
      </c>
      <c r="E37" s="10" t="str">
        <f t="shared" si="0"/>
        <v>0</v>
      </c>
      <c r="F37" s="4" t="s">
        <v>3057</v>
      </c>
      <c r="G37" s="10">
        <f t="shared" si="1"/>
        <v>0</v>
      </c>
      <c r="H37" s="4" t="s">
        <v>3057</v>
      </c>
      <c r="I37" s="10">
        <f t="shared" si="2"/>
        <v>0</v>
      </c>
      <c r="J37" s="4">
        <v>100</v>
      </c>
      <c r="K37" s="10">
        <f t="shared" si="3"/>
        <v>0</v>
      </c>
      <c r="L37" s="4">
        <v>400</v>
      </c>
      <c r="M37" s="10">
        <f t="shared" si="4"/>
        <v>30</v>
      </c>
      <c r="N37" s="4">
        <v>200</v>
      </c>
      <c r="O37" s="10">
        <f t="shared" si="5"/>
        <v>289</v>
      </c>
      <c r="P37" s="4">
        <v>220</v>
      </c>
      <c r="Q37" s="10">
        <f t="shared" si="6"/>
        <v>262.29999999999995</v>
      </c>
      <c r="R37" s="4" t="s">
        <v>3057</v>
      </c>
      <c r="S37" s="10">
        <f t="shared" si="7"/>
        <v>249.60999999999996</v>
      </c>
      <c r="T37" s="4">
        <v>600</v>
      </c>
      <c r="U37" s="10">
        <f t="shared" si="8"/>
        <v>174.72699999999995</v>
      </c>
      <c r="V37" s="4">
        <v>199.99999999999994</v>
      </c>
      <c r="W37" s="10">
        <f t="shared" si="9"/>
        <v>302.30889999999994</v>
      </c>
      <c r="X37" s="4">
        <v>173</v>
      </c>
      <c r="Y37" s="10">
        <f t="shared" si="10"/>
        <v>271.61622999999992</v>
      </c>
      <c r="Z37" s="4" t="s">
        <v>3057</v>
      </c>
      <c r="AA37" s="10">
        <f t="shared" si="11"/>
        <v>242.03136099999995</v>
      </c>
      <c r="AB37" s="4">
        <v>100</v>
      </c>
      <c r="AC37" s="10">
        <f t="shared" si="12"/>
        <v>169.42195269999996</v>
      </c>
      <c r="AD37" s="4">
        <v>300</v>
      </c>
      <c r="AE37" s="10">
        <f t="shared" si="13"/>
        <v>148.59536688999998</v>
      </c>
      <c r="AF37" s="4">
        <v>400</v>
      </c>
      <c r="AG37" s="10">
        <f t="shared" si="14"/>
        <v>194.01675682299998</v>
      </c>
      <c r="AH37" s="4">
        <v>100</v>
      </c>
      <c r="AI37" s="10">
        <f t="shared" si="15"/>
        <v>255.81172977609998</v>
      </c>
      <c r="AJ37" s="4">
        <v>500</v>
      </c>
      <c r="AK37" s="10">
        <f t="shared" si="16"/>
        <v>209.06821084326998</v>
      </c>
      <c r="AL37" s="4" t="s">
        <v>3057</v>
      </c>
      <c r="AM37" s="10">
        <f t="shared" si="17"/>
        <v>296.34774759028898</v>
      </c>
      <c r="AN37" s="5">
        <f t="shared" si="18"/>
        <v>296.34774759028898</v>
      </c>
      <c r="AO37" s="6" t="str">
        <f t="shared" si="19"/>
        <v>0</v>
      </c>
    </row>
    <row r="38" spans="1:41" x14ac:dyDescent="0.25">
      <c r="A38" t="s">
        <v>625</v>
      </c>
      <c r="B38" t="s">
        <v>2892</v>
      </c>
      <c r="C38" t="str">
        <f>_xlfn.XLOOKUP(A38,Fore!A:A,Fore!AC:AC)</f>
        <v>BY</v>
      </c>
      <c r="D38" s="4" t="s">
        <v>3057</v>
      </c>
      <c r="E38" s="10" t="str">
        <f t="shared" si="0"/>
        <v>0</v>
      </c>
      <c r="F38" s="4" t="s">
        <v>3057</v>
      </c>
      <c r="G38" s="10">
        <f t="shared" si="1"/>
        <v>0</v>
      </c>
      <c r="H38" s="4" t="s">
        <v>3057</v>
      </c>
      <c r="I38" s="10">
        <f t="shared" si="2"/>
        <v>0</v>
      </c>
      <c r="J38" s="4">
        <v>200</v>
      </c>
      <c r="K38" s="10">
        <f t="shared" si="3"/>
        <v>0</v>
      </c>
      <c r="L38" s="4">
        <v>500</v>
      </c>
      <c r="M38" s="10">
        <f t="shared" si="4"/>
        <v>60</v>
      </c>
      <c r="N38" s="4">
        <v>420</v>
      </c>
      <c r="O38" s="10">
        <f t="shared" si="5"/>
        <v>368</v>
      </c>
      <c r="P38" s="4">
        <v>320</v>
      </c>
      <c r="Q38" s="10">
        <f t="shared" si="6"/>
        <v>383.59999999999997</v>
      </c>
      <c r="R38" s="4">
        <v>895.83429999999987</v>
      </c>
      <c r="S38" s="10">
        <f t="shared" si="7"/>
        <v>364.52</v>
      </c>
      <c r="T38" s="4">
        <v>425.16569999999996</v>
      </c>
      <c r="U38" s="10">
        <f t="shared" si="8"/>
        <v>523.91428999999994</v>
      </c>
      <c r="V38" s="4">
        <v>200</v>
      </c>
      <c r="W38" s="10">
        <f t="shared" si="9"/>
        <v>494.28971299999989</v>
      </c>
      <c r="X38" s="4">
        <v>200</v>
      </c>
      <c r="Y38" s="10">
        <f t="shared" si="10"/>
        <v>406.00279909999989</v>
      </c>
      <c r="Z38" s="4" t="s">
        <v>3057</v>
      </c>
      <c r="AA38" s="10">
        <f t="shared" si="11"/>
        <v>344.20195936999988</v>
      </c>
      <c r="AB38" s="4" t="s">
        <v>3057</v>
      </c>
      <c r="AC38" s="10">
        <f t="shared" si="12"/>
        <v>240.94137155899989</v>
      </c>
      <c r="AD38" s="4" t="s">
        <v>3057</v>
      </c>
      <c r="AE38" s="10">
        <f t="shared" si="13"/>
        <v>168.65896009129992</v>
      </c>
      <c r="AF38" s="4">
        <v>42</v>
      </c>
      <c r="AG38" s="10">
        <f t="shared" si="14"/>
        <v>118.06127206390994</v>
      </c>
      <c r="AH38" s="4" t="s">
        <v>3057</v>
      </c>
      <c r="AI38" s="10">
        <f t="shared" si="15"/>
        <v>95.242890444736943</v>
      </c>
      <c r="AJ38" s="4" t="s">
        <v>3057</v>
      </c>
      <c r="AK38" s="10">
        <f t="shared" si="16"/>
        <v>66.670023311315859</v>
      </c>
      <c r="AL38" s="4" t="s">
        <v>3057</v>
      </c>
      <c r="AM38" s="10">
        <f t="shared" si="17"/>
        <v>46.669016317921098</v>
      </c>
      <c r="AN38" s="5">
        <f t="shared" si="18"/>
        <v>46.669016317921098</v>
      </c>
      <c r="AO38" s="6" t="str">
        <f t="shared" si="19"/>
        <v>0</v>
      </c>
    </row>
    <row r="39" spans="1:41" x14ac:dyDescent="0.25">
      <c r="A39" t="s">
        <v>360</v>
      </c>
      <c r="C39" t="str">
        <f>_xlfn.XLOOKUP(A39,Fore!A:A,Fore!AC:AC)</f>
        <v>BY</v>
      </c>
      <c r="D39" s="4">
        <v>336</v>
      </c>
      <c r="E39" s="10">
        <f t="shared" si="0"/>
        <v>336</v>
      </c>
      <c r="F39" s="4">
        <v>196</v>
      </c>
      <c r="G39" s="10">
        <f t="shared" si="1"/>
        <v>336</v>
      </c>
      <c r="H39" s="4">
        <v>256</v>
      </c>
      <c r="I39" s="10">
        <f t="shared" si="2"/>
        <v>294</v>
      </c>
      <c r="J39" s="4">
        <v>44</v>
      </c>
      <c r="K39" s="10">
        <f t="shared" si="3"/>
        <v>282.59999999999997</v>
      </c>
      <c r="L39" s="4">
        <v>100</v>
      </c>
      <c r="M39" s="10">
        <f t="shared" si="4"/>
        <v>211.01999999999995</v>
      </c>
      <c r="N39" s="4">
        <v>84</v>
      </c>
      <c r="O39" s="10">
        <f t="shared" si="5"/>
        <v>133.30599999999998</v>
      </c>
      <c r="P39" s="4">
        <v>28</v>
      </c>
      <c r="Q39" s="10">
        <f t="shared" si="6"/>
        <v>118.51419999999999</v>
      </c>
      <c r="R39" s="4">
        <v>116</v>
      </c>
      <c r="S39" s="10">
        <f t="shared" si="7"/>
        <v>91.359939999999995</v>
      </c>
      <c r="T39" s="4">
        <v>272</v>
      </c>
      <c r="U39" s="10">
        <f t="shared" si="8"/>
        <v>98.751957999999988</v>
      </c>
      <c r="V39" s="4">
        <v>84</v>
      </c>
      <c r="W39" s="10">
        <f t="shared" si="9"/>
        <v>150.7263706</v>
      </c>
      <c r="X39" s="4">
        <v>84</v>
      </c>
      <c r="Y39" s="10">
        <f t="shared" si="10"/>
        <v>130.70845942</v>
      </c>
      <c r="Z39" s="4">
        <v>178</v>
      </c>
      <c r="AA39" s="10">
        <f t="shared" si="11"/>
        <v>116.695921594</v>
      </c>
      <c r="AB39" s="4">
        <v>250</v>
      </c>
      <c r="AC39" s="10">
        <f t="shared" si="12"/>
        <v>135.08714511579998</v>
      </c>
      <c r="AD39" s="4">
        <v>168</v>
      </c>
      <c r="AE39" s="10">
        <f t="shared" si="13"/>
        <v>169.56100158106</v>
      </c>
      <c r="AF39" s="4">
        <v>304</v>
      </c>
      <c r="AG39" s="10">
        <f t="shared" si="14"/>
        <v>169.092701106742</v>
      </c>
      <c r="AH39" s="4">
        <v>140</v>
      </c>
      <c r="AI39" s="10">
        <f t="shared" si="15"/>
        <v>209.5648907747194</v>
      </c>
      <c r="AJ39" s="4">
        <v>332</v>
      </c>
      <c r="AK39" s="10">
        <f t="shared" si="16"/>
        <v>188.69542354230356</v>
      </c>
      <c r="AL39" s="4">
        <v>92</v>
      </c>
      <c r="AM39" s="10">
        <f t="shared" si="17"/>
        <v>231.68679647961247</v>
      </c>
      <c r="AN39" s="5">
        <f t="shared" si="18"/>
        <v>139.68679647961247</v>
      </c>
      <c r="AO39" s="6">
        <f t="shared" si="19"/>
        <v>1.5183347443436137</v>
      </c>
    </row>
    <row r="40" spans="1:41" x14ac:dyDescent="0.25">
      <c r="A40" t="s">
        <v>1785</v>
      </c>
      <c r="B40" t="s">
        <v>2543</v>
      </c>
      <c r="C40" t="str">
        <f>_xlfn.XLOOKUP(A40,Fore!A:A,Fore!AC:AC)</f>
        <v>BY</v>
      </c>
      <c r="D40" s="4" t="s">
        <v>3057</v>
      </c>
      <c r="E40" s="10" t="str">
        <f t="shared" si="0"/>
        <v>0</v>
      </c>
      <c r="F40" s="4" t="s">
        <v>3057</v>
      </c>
      <c r="G40" s="10">
        <f t="shared" si="1"/>
        <v>0</v>
      </c>
      <c r="H40" s="4" t="s">
        <v>3057</v>
      </c>
      <c r="I40" s="10">
        <f t="shared" si="2"/>
        <v>0</v>
      </c>
      <c r="J40" s="4" t="s">
        <v>3057</v>
      </c>
      <c r="K40" s="10">
        <f t="shared" si="3"/>
        <v>0</v>
      </c>
      <c r="L40" s="4" t="s">
        <v>3057</v>
      </c>
      <c r="M40" s="10">
        <f t="shared" si="4"/>
        <v>0</v>
      </c>
      <c r="N40" s="4" t="s">
        <v>3057</v>
      </c>
      <c r="O40" s="10">
        <f t="shared" si="5"/>
        <v>0</v>
      </c>
      <c r="P40" s="4" t="s">
        <v>3057</v>
      </c>
      <c r="Q40" s="10">
        <f t="shared" si="6"/>
        <v>0</v>
      </c>
      <c r="R40" s="4" t="s">
        <v>3057</v>
      </c>
      <c r="S40" s="10">
        <f t="shared" si="7"/>
        <v>0</v>
      </c>
      <c r="T40" s="4">
        <v>555.55560000000014</v>
      </c>
      <c r="U40" s="10">
        <f t="shared" si="8"/>
        <v>0</v>
      </c>
      <c r="V40" s="4" t="s">
        <v>3057</v>
      </c>
      <c r="W40" s="10">
        <f t="shared" si="9"/>
        <v>166.66668000000004</v>
      </c>
      <c r="X40" s="4">
        <v>0</v>
      </c>
      <c r="Y40" s="10">
        <f t="shared" si="10"/>
        <v>116.66667600000002</v>
      </c>
      <c r="Z40" s="4" t="s">
        <v>3057</v>
      </c>
      <c r="AA40" s="10">
        <f t="shared" si="11"/>
        <v>81.666673200000005</v>
      </c>
      <c r="AB40" s="4" t="s">
        <v>3057</v>
      </c>
      <c r="AC40" s="10">
        <f t="shared" si="12"/>
        <v>57.166671239999999</v>
      </c>
      <c r="AD40" s="4" t="s">
        <v>3057</v>
      </c>
      <c r="AE40" s="10">
        <f t="shared" si="13"/>
        <v>40.016669867999994</v>
      </c>
      <c r="AF40" s="4">
        <v>500</v>
      </c>
      <c r="AG40" s="10">
        <f t="shared" si="14"/>
        <v>28.011668907599994</v>
      </c>
      <c r="AH40" s="4" t="s">
        <v>3057</v>
      </c>
      <c r="AI40" s="10">
        <f t="shared" si="15"/>
        <v>169.60816823531999</v>
      </c>
      <c r="AJ40" s="4" t="s">
        <v>3057</v>
      </c>
      <c r="AK40" s="10">
        <f t="shared" si="16"/>
        <v>118.72571776472398</v>
      </c>
      <c r="AL40" s="4">
        <v>1999.9999999999998</v>
      </c>
      <c r="AM40" s="10">
        <f t="shared" si="17"/>
        <v>83.108002435306787</v>
      </c>
      <c r="AN40" s="5">
        <f t="shared" si="18"/>
        <v>1916.8919975646929</v>
      </c>
      <c r="AO40" s="6">
        <f t="shared" si="19"/>
        <v>0.9584459987823466</v>
      </c>
    </row>
    <row r="41" spans="1:41" x14ac:dyDescent="0.25">
      <c r="A41" t="s">
        <v>1629</v>
      </c>
      <c r="B41" t="s">
        <v>2964</v>
      </c>
      <c r="C41" t="str">
        <f>_xlfn.XLOOKUP(A41,Fore!A:A,Fore!AC:AC)</f>
        <v>BY</v>
      </c>
      <c r="D41" s="4" t="s">
        <v>3057</v>
      </c>
      <c r="E41" s="10" t="str">
        <f t="shared" si="0"/>
        <v>0</v>
      </c>
      <c r="F41" s="4" t="s">
        <v>3057</v>
      </c>
      <c r="G41" s="10">
        <f t="shared" si="1"/>
        <v>0</v>
      </c>
      <c r="H41" s="4" t="s">
        <v>3057</v>
      </c>
      <c r="I41" s="10">
        <f t="shared" si="2"/>
        <v>0</v>
      </c>
      <c r="J41" s="4" t="s">
        <v>3057</v>
      </c>
      <c r="K41" s="10">
        <f t="shared" si="3"/>
        <v>0</v>
      </c>
      <c r="L41" s="4" t="s">
        <v>3057</v>
      </c>
      <c r="M41" s="10">
        <f t="shared" si="4"/>
        <v>0</v>
      </c>
      <c r="N41" s="4" t="s">
        <v>3057</v>
      </c>
      <c r="O41" s="10">
        <f t="shared" si="5"/>
        <v>0</v>
      </c>
      <c r="P41" s="4">
        <v>262.5</v>
      </c>
      <c r="Q41" s="10">
        <f t="shared" si="6"/>
        <v>0</v>
      </c>
      <c r="R41" s="4">
        <v>1650</v>
      </c>
      <c r="S41" s="10">
        <f t="shared" si="7"/>
        <v>78.75</v>
      </c>
      <c r="T41" s="4" t="s">
        <v>3057</v>
      </c>
      <c r="U41" s="10">
        <f t="shared" si="8"/>
        <v>550.125</v>
      </c>
      <c r="V41" s="4" t="s">
        <v>3057</v>
      </c>
      <c r="W41" s="10">
        <f t="shared" si="9"/>
        <v>385.08749999999998</v>
      </c>
      <c r="X41" s="4">
        <v>300</v>
      </c>
      <c r="Y41" s="10">
        <f t="shared" si="10"/>
        <v>269.56124999999997</v>
      </c>
      <c r="Z41" s="4" t="s">
        <v>3057</v>
      </c>
      <c r="AA41" s="10">
        <f t="shared" si="11"/>
        <v>278.69287499999996</v>
      </c>
      <c r="AB41" s="4" t="s">
        <v>3057</v>
      </c>
      <c r="AC41" s="10">
        <f t="shared" si="12"/>
        <v>195.08501249999995</v>
      </c>
      <c r="AD41" s="4">
        <v>5</v>
      </c>
      <c r="AE41" s="10">
        <f t="shared" si="13"/>
        <v>136.55950874999996</v>
      </c>
      <c r="AF41" s="4">
        <v>800</v>
      </c>
      <c r="AG41" s="10">
        <f t="shared" si="14"/>
        <v>97.091656124999972</v>
      </c>
      <c r="AH41" s="4" t="s">
        <v>3057</v>
      </c>
      <c r="AI41" s="10">
        <f t="shared" si="15"/>
        <v>307.96415928749997</v>
      </c>
      <c r="AJ41" s="4" t="s">
        <v>3057</v>
      </c>
      <c r="AK41" s="10">
        <f t="shared" si="16"/>
        <v>215.57491150124997</v>
      </c>
      <c r="AL41" s="4" t="s">
        <v>3057</v>
      </c>
      <c r="AM41" s="10">
        <f t="shared" si="17"/>
        <v>150.90243805087496</v>
      </c>
      <c r="AN41" s="5">
        <f t="shared" si="18"/>
        <v>150.90243805087496</v>
      </c>
      <c r="AO41" s="6" t="str">
        <f t="shared" si="19"/>
        <v>0</v>
      </c>
    </row>
    <row r="42" spans="1:41" x14ac:dyDescent="0.25">
      <c r="A42" t="s">
        <v>1527</v>
      </c>
      <c r="B42" t="s">
        <v>2886</v>
      </c>
      <c r="C42" t="str">
        <f>_xlfn.XLOOKUP(A42,Fore!A:A,Fore!AC:AC)</f>
        <v>BY</v>
      </c>
      <c r="D42" s="4" t="s">
        <v>3057</v>
      </c>
      <c r="E42" s="10" t="str">
        <f t="shared" si="0"/>
        <v>0</v>
      </c>
      <c r="F42" s="4" t="s">
        <v>3057</v>
      </c>
      <c r="G42" s="10">
        <f t="shared" si="1"/>
        <v>0</v>
      </c>
      <c r="H42" s="4" t="s">
        <v>3057</v>
      </c>
      <c r="I42" s="10">
        <f t="shared" si="2"/>
        <v>0</v>
      </c>
      <c r="J42" s="4" t="s">
        <v>3057</v>
      </c>
      <c r="K42" s="10">
        <f t="shared" si="3"/>
        <v>0</v>
      </c>
      <c r="L42" s="4" t="s">
        <v>3057</v>
      </c>
      <c r="M42" s="10">
        <f t="shared" si="4"/>
        <v>0</v>
      </c>
      <c r="N42" s="4">
        <v>1000</v>
      </c>
      <c r="O42" s="10">
        <f t="shared" si="5"/>
        <v>0</v>
      </c>
      <c r="P42" s="4" t="s">
        <v>3057</v>
      </c>
      <c r="Q42" s="10">
        <f t="shared" si="6"/>
        <v>300</v>
      </c>
      <c r="R42" s="4" t="s">
        <v>3057</v>
      </c>
      <c r="S42" s="10">
        <f t="shared" si="7"/>
        <v>210</v>
      </c>
      <c r="T42" s="4" t="s">
        <v>3057</v>
      </c>
      <c r="U42" s="10">
        <f t="shared" si="8"/>
        <v>147</v>
      </c>
      <c r="V42" s="4" t="s">
        <v>3057</v>
      </c>
      <c r="W42" s="10">
        <f t="shared" si="9"/>
        <v>102.89999999999999</v>
      </c>
      <c r="X42" s="4">
        <v>0</v>
      </c>
      <c r="Y42" s="10">
        <f t="shared" si="10"/>
        <v>72.029999999999987</v>
      </c>
      <c r="Z42" s="4" t="s">
        <v>3057</v>
      </c>
      <c r="AA42" s="10">
        <f t="shared" si="11"/>
        <v>50.420999999999985</v>
      </c>
      <c r="AB42" s="4">
        <v>1000</v>
      </c>
      <c r="AC42" s="10">
        <f t="shared" si="12"/>
        <v>35.294699999999985</v>
      </c>
      <c r="AD42" s="4">
        <v>1000</v>
      </c>
      <c r="AE42" s="10">
        <f t="shared" si="13"/>
        <v>324.70628999999997</v>
      </c>
      <c r="AF42" s="4" t="s">
        <v>3057</v>
      </c>
      <c r="AG42" s="10">
        <f t="shared" si="14"/>
        <v>527.29440299999999</v>
      </c>
      <c r="AH42" s="4" t="s">
        <v>3057</v>
      </c>
      <c r="AI42" s="10">
        <f t="shared" si="15"/>
        <v>369.10608209999998</v>
      </c>
      <c r="AJ42" s="4" t="s">
        <v>3057</v>
      </c>
      <c r="AK42" s="10">
        <f t="shared" si="16"/>
        <v>258.37425746999998</v>
      </c>
      <c r="AL42" s="4" t="s">
        <v>3057</v>
      </c>
      <c r="AM42" s="10">
        <f t="shared" si="17"/>
        <v>180.86198022899998</v>
      </c>
      <c r="AN42" s="5">
        <f t="shared" si="18"/>
        <v>180.86198022899998</v>
      </c>
      <c r="AO42" s="6" t="str">
        <f t="shared" si="19"/>
        <v>0</v>
      </c>
    </row>
    <row r="43" spans="1:41" x14ac:dyDescent="0.25">
      <c r="A43" t="s">
        <v>659</v>
      </c>
      <c r="B43" t="s">
        <v>2602</v>
      </c>
      <c r="C43" t="str">
        <f>_xlfn.XLOOKUP(A43,Fore!A:A,Fore!AC:AC)</f>
        <v>BY</v>
      </c>
      <c r="D43" s="4" t="s">
        <v>3057</v>
      </c>
      <c r="E43" s="10" t="str">
        <f t="shared" si="0"/>
        <v>0</v>
      </c>
      <c r="F43" s="4" t="s">
        <v>3057</v>
      </c>
      <c r="G43" s="10">
        <f t="shared" si="1"/>
        <v>0</v>
      </c>
      <c r="H43" s="4" t="s">
        <v>3057</v>
      </c>
      <c r="I43" s="10">
        <f t="shared" si="2"/>
        <v>0</v>
      </c>
      <c r="J43" s="4">
        <v>400</v>
      </c>
      <c r="K43" s="10">
        <f t="shared" si="3"/>
        <v>0</v>
      </c>
      <c r="L43" s="4">
        <v>200</v>
      </c>
      <c r="M43" s="10">
        <f t="shared" si="4"/>
        <v>120</v>
      </c>
      <c r="N43" s="4">
        <v>224.97589999999991</v>
      </c>
      <c r="O43" s="10">
        <f t="shared" si="5"/>
        <v>176</v>
      </c>
      <c r="P43" s="4">
        <v>100.0241</v>
      </c>
      <c r="Q43" s="10">
        <f t="shared" si="6"/>
        <v>190.69276999999994</v>
      </c>
      <c r="R43" s="4">
        <v>424.99999999999994</v>
      </c>
      <c r="S43" s="10">
        <f t="shared" si="7"/>
        <v>163.49216899999993</v>
      </c>
      <c r="T43" s="4">
        <v>452.75869999999935</v>
      </c>
      <c r="U43" s="10">
        <f t="shared" si="8"/>
        <v>241.94451829999991</v>
      </c>
      <c r="V43" s="4">
        <v>125</v>
      </c>
      <c r="W43" s="10">
        <f t="shared" si="9"/>
        <v>305.1887728099997</v>
      </c>
      <c r="X43" s="4">
        <v>125</v>
      </c>
      <c r="Y43" s="10">
        <f t="shared" si="10"/>
        <v>251.13214096699977</v>
      </c>
      <c r="Z43" s="4">
        <v>100</v>
      </c>
      <c r="AA43" s="10">
        <f t="shared" si="11"/>
        <v>213.29249867689984</v>
      </c>
      <c r="AB43" s="4" t="s">
        <v>3057</v>
      </c>
      <c r="AC43" s="10">
        <f t="shared" si="12"/>
        <v>179.30474907382987</v>
      </c>
      <c r="AD43" s="4" t="s">
        <v>3057</v>
      </c>
      <c r="AE43" s="10">
        <f t="shared" si="13"/>
        <v>125.51332435168089</v>
      </c>
      <c r="AF43" s="4">
        <v>350</v>
      </c>
      <c r="AG43" s="10">
        <f t="shared" si="14"/>
        <v>87.859327046176617</v>
      </c>
      <c r="AH43" s="4" t="s">
        <v>3057</v>
      </c>
      <c r="AI43" s="10">
        <f t="shared" si="15"/>
        <v>166.50152893232362</v>
      </c>
      <c r="AJ43" s="4">
        <v>300</v>
      </c>
      <c r="AK43" s="10">
        <f t="shared" si="16"/>
        <v>116.55107025262653</v>
      </c>
      <c r="AL43" s="4" t="s">
        <v>3057</v>
      </c>
      <c r="AM43" s="10">
        <f t="shared" si="17"/>
        <v>171.58574917683856</v>
      </c>
      <c r="AN43" s="5">
        <f t="shared" si="18"/>
        <v>171.58574917683856</v>
      </c>
      <c r="AO43" s="6" t="str">
        <f t="shared" si="19"/>
        <v>0</v>
      </c>
    </row>
    <row r="44" spans="1:41" x14ac:dyDescent="0.25">
      <c r="A44" t="s">
        <v>733</v>
      </c>
      <c r="B44" t="s">
        <v>2559</v>
      </c>
      <c r="C44" t="str">
        <f>_xlfn.XLOOKUP(A44,Fore!A:A,Fore!AC:AC)</f>
        <v>BY</v>
      </c>
      <c r="D44" s="4" t="s">
        <v>3057</v>
      </c>
      <c r="E44" s="10" t="str">
        <f t="shared" si="0"/>
        <v>0</v>
      </c>
      <c r="F44" s="4" t="s">
        <v>3057</v>
      </c>
      <c r="G44" s="10">
        <f t="shared" si="1"/>
        <v>0</v>
      </c>
      <c r="H44" s="4">
        <v>416</v>
      </c>
      <c r="I44" s="10">
        <f t="shared" si="2"/>
        <v>0</v>
      </c>
      <c r="J44" s="4">
        <v>64</v>
      </c>
      <c r="K44" s="10">
        <f t="shared" si="3"/>
        <v>124.8</v>
      </c>
      <c r="L44" s="4">
        <v>128</v>
      </c>
      <c r="M44" s="10">
        <f t="shared" si="4"/>
        <v>106.56</v>
      </c>
      <c r="N44" s="4">
        <v>96</v>
      </c>
      <c r="O44" s="10">
        <f t="shared" si="5"/>
        <v>121.568</v>
      </c>
      <c r="P44" s="4">
        <v>32</v>
      </c>
      <c r="Q44" s="10">
        <f t="shared" si="6"/>
        <v>113.8976</v>
      </c>
      <c r="R44" s="4">
        <v>160</v>
      </c>
      <c r="S44" s="10">
        <f t="shared" si="7"/>
        <v>89.328319999999991</v>
      </c>
      <c r="T44" s="4">
        <v>320</v>
      </c>
      <c r="U44" s="10">
        <f t="shared" si="8"/>
        <v>110.52982399999999</v>
      </c>
      <c r="V44" s="4">
        <v>96</v>
      </c>
      <c r="W44" s="10">
        <f t="shared" si="9"/>
        <v>173.37087679999999</v>
      </c>
      <c r="X44" s="4">
        <v>96</v>
      </c>
      <c r="Y44" s="10">
        <f t="shared" si="10"/>
        <v>150.15961375999998</v>
      </c>
      <c r="Z44" s="4">
        <v>32</v>
      </c>
      <c r="AA44" s="10">
        <f t="shared" si="11"/>
        <v>133.91172963199998</v>
      </c>
      <c r="AB44" s="4" t="s">
        <v>3057</v>
      </c>
      <c r="AC44" s="10">
        <f t="shared" si="12"/>
        <v>103.33821074239997</v>
      </c>
      <c r="AD44" s="4">
        <v>192</v>
      </c>
      <c r="AE44" s="10">
        <f t="shared" si="13"/>
        <v>72.336747519679975</v>
      </c>
      <c r="AF44" s="4">
        <v>412</v>
      </c>
      <c r="AG44" s="10">
        <f t="shared" si="14"/>
        <v>108.23572326377598</v>
      </c>
      <c r="AH44" s="4">
        <v>310</v>
      </c>
      <c r="AI44" s="10">
        <f t="shared" si="15"/>
        <v>199.36500628464319</v>
      </c>
      <c r="AJ44" s="4">
        <v>384</v>
      </c>
      <c r="AK44" s="10">
        <f t="shared" si="16"/>
        <v>232.55550439925022</v>
      </c>
      <c r="AL44" s="4">
        <v>64</v>
      </c>
      <c r="AM44" s="10">
        <f t="shared" si="17"/>
        <v>277.98885307947512</v>
      </c>
      <c r="AN44" s="5">
        <f t="shared" si="18"/>
        <v>213.98885307947512</v>
      </c>
      <c r="AO44" s="6">
        <f t="shared" si="19"/>
        <v>3.3435758293667988</v>
      </c>
    </row>
    <row r="45" spans="1:41" x14ac:dyDescent="0.25">
      <c r="A45" t="s">
        <v>487</v>
      </c>
      <c r="B45" t="s">
        <v>2963</v>
      </c>
      <c r="C45" t="str">
        <f>_xlfn.XLOOKUP(A45,Fore!A:A,Fore!AC:AC)</f>
        <v>BY</v>
      </c>
      <c r="D45" s="4" t="s">
        <v>3057</v>
      </c>
      <c r="E45" s="10" t="str">
        <f t="shared" si="0"/>
        <v>0</v>
      </c>
      <c r="F45" s="4" t="s">
        <v>3057</v>
      </c>
      <c r="G45" s="10">
        <f t="shared" si="1"/>
        <v>0</v>
      </c>
      <c r="H45" s="4" t="s">
        <v>3057</v>
      </c>
      <c r="I45" s="10">
        <f t="shared" si="2"/>
        <v>0</v>
      </c>
      <c r="J45" s="4" t="s">
        <v>3057</v>
      </c>
      <c r="K45" s="10">
        <f t="shared" si="3"/>
        <v>0</v>
      </c>
      <c r="L45" s="4" t="s">
        <v>3057</v>
      </c>
      <c r="M45" s="10">
        <f t="shared" si="4"/>
        <v>0</v>
      </c>
      <c r="N45" s="4" t="s">
        <v>3057</v>
      </c>
      <c r="O45" s="10">
        <f t="shared" si="5"/>
        <v>0</v>
      </c>
      <c r="P45" s="4">
        <v>1800</v>
      </c>
      <c r="Q45" s="10">
        <f t="shared" si="6"/>
        <v>0</v>
      </c>
      <c r="R45" s="4" t="s">
        <v>3057</v>
      </c>
      <c r="S45" s="10">
        <f t="shared" si="7"/>
        <v>540</v>
      </c>
      <c r="T45" s="4" t="s">
        <v>3057</v>
      </c>
      <c r="U45" s="10">
        <f t="shared" si="8"/>
        <v>378</v>
      </c>
      <c r="V45" s="4">
        <v>800</v>
      </c>
      <c r="W45" s="10">
        <f t="shared" si="9"/>
        <v>264.59999999999997</v>
      </c>
      <c r="X45" s="4">
        <v>0</v>
      </c>
      <c r="Y45" s="10">
        <f t="shared" si="10"/>
        <v>425.21999999999997</v>
      </c>
      <c r="Z45" s="4" t="s">
        <v>3057</v>
      </c>
      <c r="AA45" s="10">
        <f t="shared" si="11"/>
        <v>297.65399999999994</v>
      </c>
      <c r="AB45" s="4" t="s">
        <v>3057</v>
      </c>
      <c r="AC45" s="10">
        <f t="shared" si="12"/>
        <v>208.35779999999994</v>
      </c>
      <c r="AD45" s="4" t="s">
        <v>3057</v>
      </c>
      <c r="AE45" s="10">
        <f t="shared" si="13"/>
        <v>145.85045999999994</v>
      </c>
      <c r="AF45" s="4">
        <v>200</v>
      </c>
      <c r="AG45" s="10">
        <f t="shared" si="14"/>
        <v>102.09532199999995</v>
      </c>
      <c r="AH45" s="4" t="s">
        <v>3057</v>
      </c>
      <c r="AI45" s="10">
        <f t="shared" si="15"/>
        <v>131.46672539999997</v>
      </c>
      <c r="AJ45" s="4" t="s">
        <v>3057</v>
      </c>
      <c r="AK45" s="10">
        <f t="shared" si="16"/>
        <v>92.026707779999981</v>
      </c>
      <c r="AL45" s="4" t="s">
        <v>3057</v>
      </c>
      <c r="AM45" s="10">
        <f t="shared" si="17"/>
        <v>64.418695445999987</v>
      </c>
      <c r="AN45" s="5">
        <f t="shared" si="18"/>
        <v>64.418695445999987</v>
      </c>
      <c r="AO45" s="6" t="str">
        <f t="shared" si="19"/>
        <v>0</v>
      </c>
    </row>
    <row r="46" spans="1:41" x14ac:dyDescent="0.25">
      <c r="A46" t="s">
        <v>1089</v>
      </c>
      <c r="B46" t="s">
        <v>2565</v>
      </c>
      <c r="C46" t="str">
        <f>_xlfn.XLOOKUP(A46,Fore!A:A,Fore!AC:AC)</f>
        <v>BY</v>
      </c>
      <c r="D46" s="4" t="s">
        <v>3057</v>
      </c>
      <c r="E46" s="10" t="str">
        <f t="shared" si="0"/>
        <v>0</v>
      </c>
      <c r="F46" s="4" t="s">
        <v>3057</v>
      </c>
      <c r="G46" s="10">
        <f t="shared" si="1"/>
        <v>0</v>
      </c>
      <c r="H46" s="4" t="s">
        <v>3057</v>
      </c>
      <c r="I46" s="10">
        <f t="shared" si="2"/>
        <v>0</v>
      </c>
      <c r="J46" s="4">
        <v>250</v>
      </c>
      <c r="K46" s="10">
        <f t="shared" si="3"/>
        <v>0</v>
      </c>
      <c r="L46" s="4" t="s">
        <v>3057</v>
      </c>
      <c r="M46" s="10">
        <f t="shared" si="4"/>
        <v>75</v>
      </c>
      <c r="N46" s="4" t="s">
        <v>3057</v>
      </c>
      <c r="O46" s="10">
        <f t="shared" si="5"/>
        <v>22.5</v>
      </c>
      <c r="P46" s="4" t="s">
        <v>3057</v>
      </c>
      <c r="Q46" s="10">
        <f t="shared" si="6"/>
        <v>15.749999999999998</v>
      </c>
      <c r="R46" s="4" t="s">
        <v>3057</v>
      </c>
      <c r="S46" s="10">
        <f t="shared" si="7"/>
        <v>11.024999999999999</v>
      </c>
      <c r="T46" s="4" t="s">
        <v>3057</v>
      </c>
      <c r="U46" s="10">
        <f t="shared" si="8"/>
        <v>7.7174999999999985</v>
      </c>
      <c r="V46" s="4" t="s">
        <v>3057</v>
      </c>
      <c r="W46" s="10">
        <f t="shared" si="9"/>
        <v>5.4022499999999987</v>
      </c>
      <c r="X46" s="4">
        <v>1750</v>
      </c>
      <c r="Y46" s="10">
        <f t="shared" si="10"/>
        <v>3.7815749999999988</v>
      </c>
      <c r="Z46" s="4" t="s">
        <v>3057</v>
      </c>
      <c r="AA46" s="10">
        <f t="shared" si="11"/>
        <v>527.64710249999996</v>
      </c>
      <c r="AB46" s="4" t="s">
        <v>3057</v>
      </c>
      <c r="AC46" s="10">
        <f t="shared" si="12"/>
        <v>369.35297174999994</v>
      </c>
      <c r="AD46" s="4">
        <v>194</v>
      </c>
      <c r="AE46" s="10">
        <f t="shared" si="13"/>
        <v>258.54708022499995</v>
      </c>
      <c r="AF46" s="4" t="s">
        <v>3057</v>
      </c>
      <c r="AG46" s="10">
        <f t="shared" si="14"/>
        <v>239.18295615749994</v>
      </c>
      <c r="AH46" s="4" t="s">
        <v>3057</v>
      </c>
      <c r="AI46" s="10">
        <f t="shared" si="15"/>
        <v>167.42806931024995</v>
      </c>
      <c r="AJ46" s="4">
        <v>600</v>
      </c>
      <c r="AK46" s="10">
        <f t="shared" si="16"/>
        <v>117.19964851717496</v>
      </c>
      <c r="AL46" s="4" t="s">
        <v>3057</v>
      </c>
      <c r="AM46" s="10">
        <f t="shared" si="17"/>
        <v>262.03975396202247</v>
      </c>
      <c r="AN46" s="5">
        <f t="shared" si="18"/>
        <v>262.03975396202247</v>
      </c>
      <c r="AO46" s="6" t="str">
        <f t="shared" si="19"/>
        <v>0</v>
      </c>
    </row>
    <row r="47" spans="1:41" x14ac:dyDescent="0.25">
      <c r="A47" t="s">
        <v>1095</v>
      </c>
      <c r="B47" t="s">
        <v>2902</v>
      </c>
      <c r="C47" t="str">
        <f>_xlfn.XLOOKUP(A47,Fore!A:A,Fore!AC:AC)</f>
        <v>BY</v>
      </c>
      <c r="D47" s="4" t="s">
        <v>3057</v>
      </c>
      <c r="E47" s="10" t="str">
        <f t="shared" si="0"/>
        <v>0</v>
      </c>
      <c r="F47" s="4" t="s">
        <v>3057</v>
      </c>
      <c r="G47" s="10">
        <f t="shared" si="1"/>
        <v>0</v>
      </c>
      <c r="H47" s="4" t="s">
        <v>3057</v>
      </c>
      <c r="I47" s="10">
        <f t="shared" si="2"/>
        <v>0</v>
      </c>
      <c r="J47" s="4">
        <v>350</v>
      </c>
      <c r="K47" s="10">
        <f t="shared" si="3"/>
        <v>0</v>
      </c>
      <c r="L47" s="4">
        <v>50</v>
      </c>
      <c r="M47" s="10">
        <f t="shared" si="4"/>
        <v>105</v>
      </c>
      <c r="N47" s="4">
        <v>66.666799999999995</v>
      </c>
      <c r="O47" s="10">
        <f t="shared" si="5"/>
        <v>66.5</v>
      </c>
      <c r="P47" s="4">
        <v>300</v>
      </c>
      <c r="Q47" s="10">
        <f t="shared" si="6"/>
        <v>66.550039999999996</v>
      </c>
      <c r="R47" s="4">
        <v>200.33320000000001</v>
      </c>
      <c r="S47" s="10">
        <f t="shared" si="7"/>
        <v>136.58502799999999</v>
      </c>
      <c r="T47" s="4" t="s">
        <v>3057</v>
      </c>
      <c r="U47" s="10">
        <f t="shared" si="8"/>
        <v>155.70947959999998</v>
      </c>
      <c r="V47" s="4">
        <v>540</v>
      </c>
      <c r="W47" s="10">
        <f t="shared" si="9"/>
        <v>108.99663571999999</v>
      </c>
      <c r="X47" s="4">
        <v>800</v>
      </c>
      <c r="Y47" s="10">
        <f t="shared" si="10"/>
        <v>238.297645004</v>
      </c>
      <c r="Z47" s="4" t="s">
        <v>3057</v>
      </c>
      <c r="AA47" s="10">
        <f t="shared" si="11"/>
        <v>406.80835150279995</v>
      </c>
      <c r="AB47" s="4">
        <v>200</v>
      </c>
      <c r="AC47" s="10">
        <f t="shared" si="12"/>
        <v>284.76584605195995</v>
      </c>
      <c r="AD47" s="4" t="s">
        <v>3057</v>
      </c>
      <c r="AE47" s="10">
        <f t="shared" si="13"/>
        <v>259.336092236372</v>
      </c>
      <c r="AF47" s="4">
        <v>250</v>
      </c>
      <c r="AG47" s="10">
        <f t="shared" si="14"/>
        <v>181.53526456546038</v>
      </c>
      <c r="AH47" s="4" t="s">
        <v>3057</v>
      </c>
      <c r="AI47" s="10">
        <f t="shared" si="15"/>
        <v>202.07468519582227</v>
      </c>
      <c r="AJ47" s="4" t="s">
        <v>3057</v>
      </c>
      <c r="AK47" s="10">
        <f t="shared" si="16"/>
        <v>141.45227963707558</v>
      </c>
      <c r="AL47" s="4" t="s">
        <v>3057</v>
      </c>
      <c r="AM47" s="10">
        <f t="shared" si="17"/>
        <v>99.016595745952898</v>
      </c>
      <c r="AN47" s="5">
        <f t="shared" si="18"/>
        <v>99.016595745952898</v>
      </c>
      <c r="AO47" s="6" t="str">
        <f t="shared" si="19"/>
        <v>0</v>
      </c>
    </row>
    <row r="48" spans="1:41" x14ac:dyDescent="0.25">
      <c r="A48" t="s">
        <v>676</v>
      </c>
      <c r="B48" t="s">
        <v>2586</v>
      </c>
      <c r="C48" t="str">
        <f>_xlfn.XLOOKUP(A48,Fore!A:A,Fore!AC:AC)</f>
        <v>BY</v>
      </c>
      <c r="D48" s="4" t="s">
        <v>3057</v>
      </c>
      <c r="E48" s="10" t="str">
        <f t="shared" si="0"/>
        <v>0</v>
      </c>
      <c r="F48" s="4" t="s">
        <v>3057</v>
      </c>
      <c r="G48" s="10">
        <f t="shared" si="1"/>
        <v>0</v>
      </c>
      <c r="H48" s="4" t="s">
        <v>3057</v>
      </c>
      <c r="I48" s="10">
        <f t="shared" si="2"/>
        <v>0</v>
      </c>
      <c r="J48" s="4" t="s">
        <v>3057</v>
      </c>
      <c r="K48" s="10">
        <f t="shared" si="3"/>
        <v>0</v>
      </c>
      <c r="L48" s="4">
        <v>175</v>
      </c>
      <c r="M48" s="10">
        <f t="shared" si="4"/>
        <v>0</v>
      </c>
      <c r="N48" s="4" t="s">
        <v>3057</v>
      </c>
      <c r="O48" s="10">
        <f t="shared" si="5"/>
        <v>122.49999999999999</v>
      </c>
      <c r="P48" s="4">
        <v>325</v>
      </c>
      <c r="Q48" s="10">
        <f t="shared" si="6"/>
        <v>85.749999999999986</v>
      </c>
      <c r="R48" s="4">
        <v>287.69360000000006</v>
      </c>
      <c r="S48" s="10">
        <f t="shared" si="7"/>
        <v>157.52499999999998</v>
      </c>
      <c r="T48" s="4" t="s">
        <v>3057</v>
      </c>
      <c r="U48" s="10">
        <f t="shared" si="8"/>
        <v>196.57558</v>
      </c>
      <c r="V48" s="4">
        <v>886.00000000000034</v>
      </c>
      <c r="W48" s="10">
        <f t="shared" si="9"/>
        <v>137.60290599999999</v>
      </c>
      <c r="X48" s="4">
        <v>500</v>
      </c>
      <c r="Y48" s="10">
        <f t="shared" si="10"/>
        <v>362.12203420000003</v>
      </c>
      <c r="Z48" s="4" t="s">
        <v>3057</v>
      </c>
      <c r="AA48" s="10">
        <f t="shared" si="11"/>
        <v>403.48542394000003</v>
      </c>
      <c r="AB48" s="4" t="s">
        <v>3057</v>
      </c>
      <c r="AC48" s="10">
        <f t="shared" si="12"/>
        <v>282.439796758</v>
      </c>
      <c r="AD48" s="4" t="s">
        <v>3057</v>
      </c>
      <c r="AE48" s="10">
        <f t="shared" si="13"/>
        <v>197.70785773059998</v>
      </c>
      <c r="AF48" s="4">
        <v>83</v>
      </c>
      <c r="AG48" s="10">
        <f t="shared" si="14"/>
        <v>138.39550041141999</v>
      </c>
      <c r="AH48" s="4">
        <v>8</v>
      </c>
      <c r="AI48" s="10">
        <f t="shared" si="15"/>
        <v>121.77685028799399</v>
      </c>
      <c r="AJ48" s="4">
        <v>191</v>
      </c>
      <c r="AK48" s="10">
        <f t="shared" si="16"/>
        <v>87.643795201595793</v>
      </c>
      <c r="AL48" s="4" t="s">
        <v>3057</v>
      </c>
      <c r="AM48" s="10">
        <f t="shared" si="17"/>
        <v>118.65065664111705</v>
      </c>
      <c r="AN48" s="5">
        <f t="shared" si="18"/>
        <v>118.65065664111705</v>
      </c>
      <c r="AO48" s="6" t="str">
        <f t="shared" si="19"/>
        <v>0</v>
      </c>
    </row>
    <row r="49" spans="1:41" x14ac:dyDescent="0.25">
      <c r="A49" t="s">
        <v>623</v>
      </c>
      <c r="B49" t="s">
        <v>2562</v>
      </c>
      <c r="C49" t="str">
        <f>_xlfn.XLOOKUP(A49,Fore!A:A,Fore!AC:AC)</f>
        <v>CY</v>
      </c>
      <c r="D49" s="4" t="s">
        <v>3057</v>
      </c>
      <c r="E49" s="10" t="str">
        <f t="shared" si="0"/>
        <v>0</v>
      </c>
      <c r="F49" s="4" t="s">
        <v>3057</v>
      </c>
      <c r="G49" s="10">
        <f t="shared" si="1"/>
        <v>0</v>
      </c>
      <c r="H49" s="4" t="s">
        <v>3057</v>
      </c>
      <c r="I49" s="10">
        <f t="shared" si="2"/>
        <v>0</v>
      </c>
      <c r="J49" s="4">
        <v>140</v>
      </c>
      <c r="K49" s="10">
        <f t="shared" si="3"/>
        <v>0</v>
      </c>
      <c r="L49" s="4">
        <v>360</v>
      </c>
      <c r="M49" s="10">
        <f t="shared" si="4"/>
        <v>42</v>
      </c>
      <c r="N49" s="4">
        <v>200.00039999999996</v>
      </c>
      <c r="O49" s="10">
        <f t="shared" si="5"/>
        <v>264.59999999999997</v>
      </c>
      <c r="P49" s="4">
        <v>54</v>
      </c>
      <c r="Q49" s="10">
        <f t="shared" si="6"/>
        <v>245.22011999999995</v>
      </c>
      <c r="R49" s="4">
        <v>119.00000000000001</v>
      </c>
      <c r="S49" s="10">
        <f t="shared" si="7"/>
        <v>187.85408399999994</v>
      </c>
      <c r="T49" s="4" t="s">
        <v>3057</v>
      </c>
      <c r="U49" s="10">
        <f t="shared" si="8"/>
        <v>167.19785879999995</v>
      </c>
      <c r="V49" s="4">
        <v>97</v>
      </c>
      <c r="W49" s="10">
        <f t="shared" si="9"/>
        <v>117.03850115999995</v>
      </c>
      <c r="X49" s="4">
        <v>0</v>
      </c>
      <c r="Y49" s="10">
        <f t="shared" si="10"/>
        <v>111.02695081199995</v>
      </c>
      <c r="Z49" s="4" t="s">
        <v>3057</v>
      </c>
      <c r="AA49" s="10">
        <f t="shared" si="11"/>
        <v>77.718865568399963</v>
      </c>
      <c r="AB49" s="4">
        <v>284</v>
      </c>
      <c r="AC49" s="10">
        <f t="shared" si="12"/>
        <v>54.403205897879971</v>
      </c>
      <c r="AD49" s="4">
        <v>385</v>
      </c>
      <c r="AE49" s="10">
        <f t="shared" si="13"/>
        <v>123.28224412851597</v>
      </c>
      <c r="AF49" s="4" t="s">
        <v>3057</v>
      </c>
      <c r="AG49" s="10">
        <f t="shared" si="14"/>
        <v>201.79757088996118</v>
      </c>
      <c r="AH49" s="4">
        <v>435.00000000000006</v>
      </c>
      <c r="AI49" s="10">
        <f t="shared" si="15"/>
        <v>141.25829962297283</v>
      </c>
      <c r="AJ49" s="4">
        <v>250</v>
      </c>
      <c r="AK49" s="10">
        <f t="shared" si="16"/>
        <v>229.38080973608098</v>
      </c>
      <c r="AL49" s="4" t="s">
        <v>3057</v>
      </c>
      <c r="AM49" s="10">
        <f t="shared" si="17"/>
        <v>235.56656681525666</v>
      </c>
      <c r="AN49" s="5">
        <f t="shared" si="18"/>
        <v>235.56656681525666</v>
      </c>
      <c r="AO49" s="6" t="str">
        <f t="shared" si="19"/>
        <v>0</v>
      </c>
    </row>
    <row r="50" spans="1:41" x14ac:dyDescent="0.25">
      <c r="A50" t="s">
        <v>596</v>
      </c>
      <c r="B50" t="s">
        <v>2552</v>
      </c>
      <c r="C50" t="str">
        <f>_xlfn.XLOOKUP(A50,Fore!A:A,Fore!AC:AC)</f>
        <v>CY</v>
      </c>
      <c r="D50" s="4" t="s">
        <v>3057</v>
      </c>
      <c r="E50" s="10" t="str">
        <f t="shared" si="0"/>
        <v>0</v>
      </c>
      <c r="F50" s="4" t="s">
        <v>3057</v>
      </c>
      <c r="G50" s="10">
        <f t="shared" si="1"/>
        <v>0</v>
      </c>
      <c r="H50" s="4" t="s">
        <v>3057</v>
      </c>
      <c r="I50" s="10">
        <f t="shared" si="2"/>
        <v>0</v>
      </c>
      <c r="J50" s="4" t="s">
        <v>3057</v>
      </c>
      <c r="K50" s="10">
        <f t="shared" si="3"/>
        <v>0</v>
      </c>
      <c r="L50" s="4" t="s">
        <v>3057</v>
      </c>
      <c r="M50" s="10">
        <f t="shared" si="4"/>
        <v>0</v>
      </c>
      <c r="N50" s="4" t="s">
        <v>3057</v>
      </c>
      <c r="O50" s="10">
        <f t="shared" si="5"/>
        <v>0</v>
      </c>
      <c r="P50" s="4">
        <v>250.00000000000003</v>
      </c>
      <c r="Q50" s="10">
        <f t="shared" si="6"/>
        <v>0</v>
      </c>
      <c r="R50" s="4" t="s">
        <v>3057</v>
      </c>
      <c r="S50" s="10">
        <f t="shared" si="7"/>
        <v>75</v>
      </c>
      <c r="T50" s="4" t="s">
        <v>3057</v>
      </c>
      <c r="U50" s="10">
        <f t="shared" si="8"/>
        <v>52.5</v>
      </c>
      <c r="V50" s="4" t="s">
        <v>3057</v>
      </c>
      <c r="W50" s="10">
        <f t="shared" si="9"/>
        <v>36.75</v>
      </c>
      <c r="X50" s="4">
        <v>0</v>
      </c>
      <c r="Y50" s="10">
        <f t="shared" si="10"/>
        <v>25.724999999999998</v>
      </c>
      <c r="Z50" s="4" t="s">
        <v>3057</v>
      </c>
      <c r="AA50" s="10">
        <f t="shared" si="11"/>
        <v>18.007499999999997</v>
      </c>
      <c r="AB50" s="4" t="s">
        <v>3057</v>
      </c>
      <c r="AC50" s="10">
        <f t="shared" si="12"/>
        <v>12.605249999999996</v>
      </c>
      <c r="AD50" s="4" t="s">
        <v>3057</v>
      </c>
      <c r="AE50" s="10">
        <f t="shared" si="13"/>
        <v>8.8236749999999962</v>
      </c>
      <c r="AF50" s="4">
        <v>1000</v>
      </c>
      <c r="AG50" s="10">
        <f t="shared" si="14"/>
        <v>6.1765724999999971</v>
      </c>
      <c r="AH50" s="4">
        <v>1000</v>
      </c>
      <c r="AI50" s="10">
        <f t="shared" si="15"/>
        <v>304.32360075000003</v>
      </c>
      <c r="AJ50" s="4" t="s">
        <v>3057</v>
      </c>
      <c r="AK50" s="10">
        <f t="shared" si="16"/>
        <v>513.02652052500002</v>
      </c>
      <c r="AL50" s="4" t="s">
        <v>3057</v>
      </c>
      <c r="AM50" s="10">
        <f t="shared" si="17"/>
        <v>359.11856436749997</v>
      </c>
      <c r="AN50" s="5">
        <f t="shared" si="18"/>
        <v>359.11856436749997</v>
      </c>
      <c r="AO50" s="6" t="str">
        <f t="shared" si="19"/>
        <v>0</v>
      </c>
    </row>
    <row r="51" spans="1:41" x14ac:dyDescent="0.25">
      <c r="A51" t="s">
        <v>945</v>
      </c>
      <c r="B51" t="s">
        <v>2581</v>
      </c>
      <c r="C51" t="str">
        <f>_xlfn.XLOOKUP(A51,Fore!A:A,Fore!AC:AC)</f>
        <v>CY</v>
      </c>
      <c r="D51" s="4" t="s">
        <v>3057</v>
      </c>
      <c r="E51" s="10" t="str">
        <f t="shared" si="0"/>
        <v>0</v>
      </c>
      <c r="F51" s="4" t="s">
        <v>3057</v>
      </c>
      <c r="G51" s="10">
        <f t="shared" si="1"/>
        <v>0</v>
      </c>
      <c r="H51" s="4" t="s">
        <v>3057</v>
      </c>
      <c r="I51" s="10">
        <f t="shared" si="2"/>
        <v>0</v>
      </c>
      <c r="J51" s="4">
        <v>200</v>
      </c>
      <c r="K51" s="10">
        <f t="shared" si="3"/>
        <v>0</v>
      </c>
      <c r="L51" s="4" t="s">
        <v>3057</v>
      </c>
      <c r="M51" s="10">
        <f t="shared" si="4"/>
        <v>60</v>
      </c>
      <c r="N51" s="4">
        <v>250</v>
      </c>
      <c r="O51" s="10">
        <f t="shared" si="5"/>
        <v>18</v>
      </c>
      <c r="P51" s="4">
        <v>92.999999999999986</v>
      </c>
      <c r="Q51" s="10">
        <f t="shared" si="6"/>
        <v>87.6</v>
      </c>
      <c r="R51" s="4">
        <v>555.55560000000014</v>
      </c>
      <c r="S51" s="10">
        <f t="shared" si="7"/>
        <v>89.219999999999985</v>
      </c>
      <c r="T51" s="4" t="s">
        <v>3057</v>
      </c>
      <c r="U51" s="10">
        <f t="shared" si="8"/>
        <v>229.12068000000002</v>
      </c>
      <c r="V51" s="4" t="s">
        <v>3057</v>
      </c>
      <c r="W51" s="10">
        <f t="shared" si="9"/>
        <v>160.38447600000001</v>
      </c>
      <c r="X51" s="4">
        <v>0</v>
      </c>
      <c r="Y51" s="10">
        <f t="shared" si="10"/>
        <v>112.2691332</v>
      </c>
      <c r="Z51" s="4" t="s">
        <v>3057</v>
      </c>
      <c r="AA51" s="10">
        <f t="shared" si="11"/>
        <v>78.588393239999988</v>
      </c>
      <c r="AB51" s="4">
        <v>300</v>
      </c>
      <c r="AC51" s="10">
        <f t="shared" si="12"/>
        <v>55.01187526799999</v>
      </c>
      <c r="AD51" s="4" t="s">
        <v>3057</v>
      </c>
      <c r="AE51" s="10">
        <f t="shared" si="13"/>
        <v>128.50831268759998</v>
      </c>
      <c r="AF51" s="4">
        <v>500</v>
      </c>
      <c r="AG51" s="10">
        <f t="shared" si="14"/>
        <v>89.955818881319985</v>
      </c>
      <c r="AH51" s="4">
        <v>300</v>
      </c>
      <c r="AI51" s="10">
        <f t="shared" si="15"/>
        <v>212.96907321692399</v>
      </c>
      <c r="AJ51" s="4" t="s">
        <v>3057</v>
      </c>
      <c r="AK51" s="10">
        <f t="shared" si="16"/>
        <v>239.07835125184678</v>
      </c>
      <c r="AL51" s="4" t="s">
        <v>3057</v>
      </c>
      <c r="AM51" s="10">
        <f t="shared" si="17"/>
        <v>167.35484587629273</v>
      </c>
      <c r="AN51" s="5">
        <f t="shared" si="18"/>
        <v>167.35484587629273</v>
      </c>
      <c r="AO51" s="6" t="str">
        <f t="shared" si="19"/>
        <v>0</v>
      </c>
    </row>
    <row r="52" spans="1:41" x14ac:dyDescent="0.25">
      <c r="A52" t="s">
        <v>162</v>
      </c>
      <c r="B52" t="s">
        <v>2578</v>
      </c>
      <c r="C52" t="str">
        <f>_xlfn.XLOOKUP(A52,Fore!A:A,Fore!AC:AC)</f>
        <v>CX</v>
      </c>
      <c r="D52" s="4" t="s">
        <v>3057</v>
      </c>
      <c r="E52" s="10" t="str">
        <f t="shared" si="0"/>
        <v>0</v>
      </c>
      <c r="F52" s="4" t="s">
        <v>3057</v>
      </c>
      <c r="G52" s="10">
        <f t="shared" si="1"/>
        <v>0</v>
      </c>
      <c r="H52" s="4" t="s">
        <v>3057</v>
      </c>
      <c r="I52" s="10">
        <f t="shared" si="2"/>
        <v>0</v>
      </c>
      <c r="J52" s="4">
        <v>139</v>
      </c>
      <c r="K52" s="10">
        <f t="shared" si="3"/>
        <v>0</v>
      </c>
      <c r="L52" s="4">
        <v>190.00000000000006</v>
      </c>
      <c r="M52" s="10">
        <f t="shared" si="4"/>
        <v>41.699999999999996</v>
      </c>
      <c r="N52" s="4">
        <v>125</v>
      </c>
      <c r="O52" s="10">
        <f t="shared" si="5"/>
        <v>145.51000000000002</v>
      </c>
      <c r="P52" s="4">
        <v>168.00000000000006</v>
      </c>
      <c r="Q52" s="10">
        <f t="shared" si="6"/>
        <v>139.35700000000003</v>
      </c>
      <c r="R52" s="4">
        <v>158</v>
      </c>
      <c r="S52" s="10">
        <f t="shared" si="7"/>
        <v>147.94990000000001</v>
      </c>
      <c r="T52" s="4">
        <v>177</v>
      </c>
      <c r="U52" s="10">
        <f t="shared" si="8"/>
        <v>150.96493000000001</v>
      </c>
      <c r="V52" s="4">
        <v>91.000000000000028</v>
      </c>
      <c r="W52" s="10">
        <f t="shared" si="9"/>
        <v>158.775451</v>
      </c>
      <c r="X52" s="4">
        <v>80</v>
      </c>
      <c r="Y52" s="10">
        <f t="shared" si="10"/>
        <v>138.44281570000001</v>
      </c>
      <c r="Z52" s="4" t="s">
        <v>3057</v>
      </c>
      <c r="AA52" s="10">
        <f t="shared" si="11"/>
        <v>120.90997099000001</v>
      </c>
      <c r="AB52" s="4">
        <v>194</v>
      </c>
      <c r="AC52" s="10">
        <f t="shared" si="12"/>
        <v>84.636979693000001</v>
      </c>
      <c r="AD52" s="4">
        <v>89.999999999999986</v>
      </c>
      <c r="AE52" s="10">
        <f t="shared" si="13"/>
        <v>117.44588578509999</v>
      </c>
      <c r="AF52" s="4">
        <v>160</v>
      </c>
      <c r="AG52" s="10">
        <f t="shared" si="14"/>
        <v>109.21212004956999</v>
      </c>
      <c r="AH52" s="4">
        <v>135.00000000000003</v>
      </c>
      <c r="AI52" s="10">
        <f t="shared" si="15"/>
        <v>124.44848403469899</v>
      </c>
      <c r="AJ52" s="4">
        <v>117.99999999999999</v>
      </c>
      <c r="AK52" s="10">
        <f t="shared" si="16"/>
        <v>127.61393882428931</v>
      </c>
      <c r="AL52" s="4">
        <v>176.00000000000006</v>
      </c>
      <c r="AM52" s="10">
        <f t="shared" si="17"/>
        <v>124.7297571770025</v>
      </c>
      <c r="AN52" s="5">
        <f t="shared" si="18"/>
        <v>51.27024282299756</v>
      </c>
      <c r="AO52" s="6">
        <f t="shared" si="19"/>
        <v>0.2913081978579406</v>
      </c>
    </row>
    <row r="53" spans="1:41" x14ac:dyDescent="0.25">
      <c r="A53" t="s">
        <v>652</v>
      </c>
      <c r="B53" t="s">
        <v>2609</v>
      </c>
      <c r="C53" t="str">
        <f>_xlfn.XLOOKUP(A53,Fore!A:A,Fore!AC:AC)</f>
        <v>CY</v>
      </c>
      <c r="D53" s="4" t="s">
        <v>3057</v>
      </c>
      <c r="E53" s="10" t="str">
        <f t="shared" si="0"/>
        <v>0</v>
      </c>
      <c r="F53" s="4" t="s">
        <v>3057</v>
      </c>
      <c r="G53" s="10">
        <f t="shared" si="1"/>
        <v>0</v>
      </c>
      <c r="H53" s="4" t="s">
        <v>3057</v>
      </c>
      <c r="I53" s="10">
        <f t="shared" si="2"/>
        <v>0</v>
      </c>
      <c r="J53" s="4" t="s">
        <v>3057</v>
      </c>
      <c r="K53" s="10">
        <f t="shared" si="3"/>
        <v>0</v>
      </c>
      <c r="L53" s="4" t="s">
        <v>3057</v>
      </c>
      <c r="M53" s="10">
        <f t="shared" si="4"/>
        <v>0</v>
      </c>
      <c r="N53" s="4">
        <v>199.99999999999997</v>
      </c>
      <c r="O53" s="10">
        <f t="shared" si="5"/>
        <v>0</v>
      </c>
      <c r="P53" s="4">
        <v>300</v>
      </c>
      <c r="Q53" s="10">
        <f t="shared" si="6"/>
        <v>59.999999999999986</v>
      </c>
      <c r="R53" s="4">
        <v>50</v>
      </c>
      <c r="S53" s="10">
        <f t="shared" si="7"/>
        <v>132</v>
      </c>
      <c r="T53" s="4">
        <v>275.03999999999996</v>
      </c>
      <c r="U53" s="10">
        <f t="shared" si="8"/>
        <v>107.39999999999999</v>
      </c>
      <c r="V53" s="4">
        <v>549.99999999999989</v>
      </c>
      <c r="W53" s="10">
        <f t="shared" si="9"/>
        <v>157.69199999999998</v>
      </c>
      <c r="X53" s="4">
        <v>0</v>
      </c>
      <c r="Y53" s="10">
        <f t="shared" si="10"/>
        <v>275.38439999999997</v>
      </c>
      <c r="Z53" s="4" t="s">
        <v>3057</v>
      </c>
      <c r="AA53" s="10">
        <f t="shared" si="11"/>
        <v>192.76907999999997</v>
      </c>
      <c r="AB53" s="4">
        <v>200</v>
      </c>
      <c r="AC53" s="10">
        <f t="shared" si="12"/>
        <v>134.93835599999997</v>
      </c>
      <c r="AD53" s="4">
        <v>300</v>
      </c>
      <c r="AE53" s="10">
        <f t="shared" si="13"/>
        <v>154.45684919999997</v>
      </c>
      <c r="AF53" s="4" t="s">
        <v>3057</v>
      </c>
      <c r="AG53" s="10">
        <f t="shared" si="14"/>
        <v>198.11979443999996</v>
      </c>
      <c r="AH53" s="4">
        <v>16</v>
      </c>
      <c r="AI53" s="10">
        <f t="shared" si="15"/>
        <v>138.68385610799996</v>
      </c>
      <c r="AJ53" s="4">
        <v>66</v>
      </c>
      <c r="AK53" s="10">
        <f t="shared" si="16"/>
        <v>101.87869927559996</v>
      </c>
      <c r="AL53" s="4" t="s">
        <v>3057</v>
      </c>
      <c r="AM53" s="10">
        <f t="shared" si="17"/>
        <v>91.115089492919964</v>
      </c>
      <c r="AN53" s="5">
        <f t="shared" si="18"/>
        <v>91.115089492919964</v>
      </c>
      <c r="AO53" s="6" t="str">
        <f t="shared" si="19"/>
        <v>0</v>
      </c>
    </row>
    <row r="54" spans="1:41" x14ac:dyDescent="0.25">
      <c r="A54" t="s">
        <v>624</v>
      </c>
      <c r="B54" t="s">
        <v>2555</v>
      </c>
      <c r="C54" t="str">
        <f>_xlfn.XLOOKUP(A54,Fore!A:A,Fore!AC:AC)</f>
        <v>CY</v>
      </c>
      <c r="D54" s="4" t="s">
        <v>3057</v>
      </c>
      <c r="E54" s="10" t="str">
        <f t="shared" si="0"/>
        <v>0</v>
      </c>
      <c r="F54" s="4" t="s">
        <v>3057</v>
      </c>
      <c r="G54" s="10">
        <f t="shared" si="1"/>
        <v>0</v>
      </c>
      <c r="H54" s="4" t="s">
        <v>3057</v>
      </c>
      <c r="I54" s="10">
        <f t="shared" si="2"/>
        <v>0</v>
      </c>
      <c r="J54" s="4" t="s">
        <v>3057</v>
      </c>
      <c r="K54" s="10">
        <f t="shared" si="3"/>
        <v>0</v>
      </c>
      <c r="L54" s="4">
        <v>70</v>
      </c>
      <c r="M54" s="10">
        <f t="shared" si="4"/>
        <v>0</v>
      </c>
      <c r="N54" s="4" t="s">
        <v>3057</v>
      </c>
      <c r="O54" s="10">
        <f t="shared" si="5"/>
        <v>49</v>
      </c>
      <c r="P54" s="4">
        <v>320</v>
      </c>
      <c r="Q54" s="10">
        <f t="shared" si="6"/>
        <v>34.299999999999997</v>
      </c>
      <c r="R54" s="4">
        <v>288.75</v>
      </c>
      <c r="S54" s="10">
        <f t="shared" si="7"/>
        <v>120.00999999999999</v>
      </c>
      <c r="T54" s="4">
        <v>210</v>
      </c>
      <c r="U54" s="10">
        <f t="shared" si="8"/>
        <v>170.63200000000001</v>
      </c>
      <c r="V54" s="4">
        <v>100</v>
      </c>
      <c r="W54" s="10">
        <f t="shared" si="9"/>
        <v>182.44239999999999</v>
      </c>
      <c r="X54" s="4">
        <v>0</v>
      </c>
      <c r="Y54" s="10">
        <f t="shared" si="10"/>
        <v>157.70967999999999</v>
      </c>
      <c r="Z54" s="4" t="s">
        <v>3057</v>
      </c>
      <c r="AA54" s="10">
        <f t="shared" si="11"/>
        <v>110.39677599999999</v>
      </c>
      <c r="AB54" s="4" t="s">
        <v>3057</v>
      </c>
      <c r="AC54" s="10">
        <f t="shared" si="12"/>
        <v>77.277743199999989</v>
      </c>
      <c r="AD54" s="4">
        <v>14</v>
      </c>
      <c r="AE54" s="10">
        <f t="shared" si="13"/>
        <v>54.094420239999991</v>
      </c>
      <c r="AF54" s="4" t="s">
        <v>3057</v>
      </c>
      <c r="AG54" s="10">
        <f t="shared" si="14"/>
        <v>42.066094167999992</v>
      </c>
      <c r="AH54" s="4">
        <v>340</v>
      </c>
      <c r="AI54" s="10">
        <f t="shared" si="15"/>
        <v>29.446265917599991</v>
      </c>
      <c r="AJ54" s="4">
        <v>600</v>
      </c>
      <c r="AK54" s="10">
        <f t="shared" si="16"/>
        <v>122.61238614231999</v>
      </c>
      <c r="AL54" s="4" t="s">
        <v>3057</v>
      </c>
      <c r="AM54" s="10">
        <f t="shared" si="17"/>
        <v>265.82867029962398</v>
      </c>
      <c r="AN54" s="5">
        <f t="shared" si="18"/>
        <v>265.82867029962398</v>
      </c>
      <c r="AO54" s="6" t="str">
        <f t="shared" si="19"/>
        <v>0</v>
      </c>
    </row>
    <row r="55" spans="1:41" x14ac:dyDescent="0.25">
      <c r="A55" t="s">
        <v>732</v>
      </c>
      <c r="B55" t="s">
        <v>2591</v>
      </c>
      <c r="C55" t="str">
        <f>_xlfn.XLOOKUP(A55,Fore!A:A,Fore!AC:AC)</f>
        <v>CY</v>
      </c>
      <c r="D55" s="4" t="s">
        <v>3057</v>
      </c>
      <c r="E55" s="10" t="str">
        <f t="shared" si="0"/>
        <v>0</v>
      </c>
      <c r="F55" s="4" t="s">
        <v>3057</v>
      </c>
      <c r="G55" s="10">
        <f t="shared" si="1"/>
        <v>0</v>
      </c>
      <c r="H55" s="4" t="s">
        <v>3057</v>
      </c>
      <c r="I55" s="10">
        <f t="shared" si="2"/>
        <v>0</v>
      </c>
      <c r="J55" s="4" t="s">
        <v>3057</v>
      </c>
      <c r="K55" s="10">
        <f t="shared" si="3"/>
        <v>0</v>
      </c>
      <c r="L55" s="4">
        <v>200</v>
      </c>
      <c r="M55" s="10">
        <f t="shared" si="4"/>
        <v>0</v>
      </c>
      <c r="N55" s="4">
        <v>200.00010000000003</v>
      </c>
      <c r="O55" s="10">
        <f t="shared" si="5"/>
        <v>140</v>
      </c>
      <c r="P55" s="4" t="s">
        <v>3057</v>
      </c>
      <c r="Q55" s="10">
        <f t="shared" si="6"/>
        <v>158.00003000000001</v>
      </c>
      <c r="R55" s="4">
        <v>600</v>
      </c>
      <c r="S55" s="10">
        <f t="shared" si="7"/>
        <v>110.600021</v>
      </c>
      <c r="T55" s="4">
        <v>150</v>
      </c>
      <c r="U55" s="10">
        <f t="shared" si="8"/>
        <v>257.42001470000002</v>
      </c>
      <c r="V55" s="4">
        <v>150</v>
      </c>
      <c r="W55" s="10">
        <f t="shared" si="9"/>
        <v>225.19401028999999</v>
      </c>
      <c r="X55" s="4">
        <v>73.000000000000014</v>
      </c>
      <c r="Y55" s="10">
        <f t="shared" si="10"/>
        <v>202.63580720299998</v>
      </c>
      <c r="Z55" s="4" t="s">
        <v>3057</v>
      </c>
      <c r="AA55" s="10">
        <f t="shared" si="11"/>
        <v>163.74506504209998</v>
      </c>
      <c r="AB55" s="4" t="s">
        <v>3057</v>
      </c>
      <c r="AC55" s="10">
        <f t="shared" si="12"/>
        <v>114.62154552946998</v>
      </c>
      <c r="AD55" s="4">
        <v>146</v>
      </c>
      <c r="AE55" s="10">
        <f t="shared" si="13"/>
        <v>80.235081870628989</v>
      </c>
      <c r="AF55" s="4" t="s">
        <v>3057</v>
      </c>
      <c r="AG55" s="10">
        <f t="shared" si="14"/>
        <v>99.964557309440295</v>
      </c>
      <c r="AH55" s="4">
        <v>130</v>
      </c>
      <c r="AI55" s="10">
        <f t="shared" si="15"/>
        <v>69.975190116608204</v>
      </c>
      <c r="AJ55" s="4" t="s">
        <v>3057</v>
      </c>
      <c r="AK55" s="10">
        <f t="shared" si="16"/>
        <v>87.98263308162575</v>
      </c>
      <c r="AL55" s="4">
        <v>30</v>
      </c>
      <c r="AM55" s="10">
        <f t="shared" si="17"/>
        <v>61.587843157138018</v>
      </c>
      <c r="AN55" s="5">
        <f t="shared" si="18"/>
        <v>31.587843157138018</v>
      </c>
      <c r="AO55" s="6">
        <f t="shared" si="19"/>
        <v>1.052928105237934</v>
      </c>
    </row>
    <row r="56" spans="1:41" x14ac:dyDescent="0.25">
      <c r="A56" t="s">
        <v>103</v>
      </c>
      <c r="B56" t="s">
        <v>2695</v>
      </c>
      <c r="C56" t="str">
        <f>_xlfn.XLOOKUP(A56,Fore!A:A,Fore!AC:AC)</f>
        <v>CY</v>
      </c>
      <c r="D56" s="4" t="s">
        <v>3057</v>
      </c>
      <c r="E56" s="10" t="str">
        <f t="shared" si="0"/>
        <v>0</v>
      </c>
      <c r="F56" s="4" t="s">
        <v>3057</v>
      </c>
      <c r="G56" s="10">
        <f t="shared" si="1"/>
        <v>0</v>
      </c>
      <c r="H56" s="4" t="s">
        <v>3057</v>
      </c>
      <c r="I56" s="10">
        <f t="shared" si="2"/>
        <v>0</v>
      </c>
      <c r="J56" s="4">
        <v>89</v>
      </c>
      <c r="K56" s="10">
        <f t="shared" si="3"/>
        <v>0</v>
      </c>
      <c r="L56" s="4">
        <v>196.50020000000006</v>
      </c>
      <c r="M56" s="10">
        <f t="shared" si="4"/>
        <v>26.7</v>
      </c>
      <c r="N56" s="4">
        <v>218.49979999999996</v>
      </c>
      <c r="O56" s="10">
        <f t="shared" si="5"/>
        <v>145.56014000000002</v>
      </c>
      <c r="P56" s="4">
        <v>148</v>
      </c>
      <c r="Q56" s="10">
        <f t="shared" si="6"/>
        <v>167.442038</v>
      </c>
      <c r="R56" s="4">
        <v>36.999999999999993</v>
      </c>
      <c r="S56" s="10">
        <f t="shared" si="7"/>
        <v>161.60942659999998</v>
      </c>
      <c r="T56" s="4">
        <v>83.999999999999957</v>
      </c>
      <c r="U56" s="10">
        <f t="shared" si="8"/>
        <v>124.22659861999998</v>
      </c>
      <c r="V56" s="4">
        <v>56.999999999999986</v>
      </c>
      <c r="W56" s="10">
        <f t="shared" si="9"/>
        <v>112.15861903399997</v>
      </c>
      <c r="X56" s="4">
        <v>34.999999999999993</v>
      </c>
      <c r="Y56" s="10">
        <f t="shared" si="10"/>
        <v>95.611033323799973</v>
      </c>
      <c r="Z56" s="4">
        <v>14</v>
      </c>
      <c r="AA56" s="10">
        <f t="shared" si="11"/>
        <v>77.427723326659972</v>
      </c>
      <c r="AB56" s="4">
        <v>72</v>
      </c>
      <c r="AC56" s="10">
        <f t="shared" si="12"/>
        <v>58.399406328661982</v>
      </c>
      <c r="AD56" s="4">
        <v>120.99999999999997</v>
      </c>
      <c r="AE56" s="10">
        <f t="shared" si="13"/>
        <v>62.479584430063383</v>
      </c>
      <c r="AF56" s="4">
        <v>274</v>
      </c>
      <c r="AG56" s="10">
        <f t="shared" si="14"/>
        <v>80.035709101044347</v>
      </c>
      <c r="AH56" s="4">
        <v>73.000000000000014</v>
      </c>
      <c r="AI56" s="10">
        <f t="shared" si="15"/>
        <v>138.22499637073105</v>
      </c>
      <c r="AJ56" s="4">
        <v>93</v>
      </c>
      <c r="AK56" s="10">
        <f t="shared" si="16"/>
        <v>118.65749745951173</v>
      </c>
      <c r="AL56" s="4">
        <v>124.00000000000001</v>
      </c>
      <c r="AM56" s="10">
        <f t="shared" si="17"/>
        <v>110.96024822165822</v>
      </c>
      <c r="AN56" s="5">
        <f t="shared" si="18"/>
        <v>13.039751778341795</v>
      </c>
      <c r="AO56" s="6">
        <f t="shared" si="19"/>
        <v>0.10515928853501447</v>
      </c>
    </row>
    <row r="57" spans="1:41" x14ac:dyDescent="0.25">
      <c r="A57" t="s">
        <v>383</v>
      </c>
      <c r="B57" t="s">
        <v>2583</v>
      </c>
      <c r="C57" t="str">
        <f>_xlfn.XLOOKUP(A57,Fore!A:A,Fore!AC:AC)</f>
        <v>CY</v>
      </c>
      <c r="D57" s="4">
        <v>79</v>
      </c>
      <c r="E57" s="10">
        <f t="shared" si="0"/>
        <v>79</v>
      </c>
      <c r="F57" s="4">
        <v>144</v>
      </c>
      <c r="G57" s="10">
        <f t="shared" si="1"/>
        <v>79</v>
      </c>
      <c r="H57" s="4">
        <v>208</v>
      </c>
      <c r="I57" s="10">
        <f t="shared" si="2"/>
        <v>98.5</v>
      </c>
      <c r="J57" s="4">
        <v>32</v>
      </c>
      <c r="K57" s="10">
        <f t="shared" si="3"/>
        <v>131.35</v>
      </c>
      <c r="L57" s="4">
        <v>64</v>
      </c>
      <c r="M57" s="10">
        <f t="shared" si="4"/>
        <v>101.54499999999999</v>
      </c>
      <c r="N57" s="4">
        <v>48</v>
      </c>
      <c r="O57" s="10">
        <f t="shared" si="5"/>
        <v>75.263499999999993</v>
      </c>
      <c r="P57" s="4">
        <v>16</v>
      </c>
      <c r="Q57" s="10">
        <f t="shared" si="6"/>
        <v>67.08444999999999</v>
      </c>
      <c r="R57" s="4">
        <v>112</v>
      </c>
      <c r="S57" s="10">
        <f t="shared" si="7"/>
        <v>51.759114999999987</v>
      </c>
      <c r="T57" s="4">
        <v>160</v>
      </c>
      <c r="U57" s="10">
        <f t="shared" si="8"/>
        <v>69.831380499999995</v>
      </c>
      <c r="V57" s="4">
        <v>48</v>
      </c>
      <c r="W57" s="10">
        <f t="shared" si="9"/>
        <v>96.881966349999999</v>
      </c>
      <c r="X57" s="4">
        <v>48</v>
      </c>
      <c r="Y57" s="10">
        <f t="shared" si="10"/>
        <v>82.217376444999985</v>
      </c>
      <c r="Z57" s="4">
        <v>16</v>
      </c>
      <c r="AA57" s="10">
        <f t="shared" si="11"/>
        <v>71.952163511499975</v>
      </c>
      <c r="AB57" s="4">
        <v>50</v>
      </c>
      <c r="AC57" s="10">
        <f t="shared" si="12"/>
        <v>55.166514458049974</v>
      </c>
      <c r="AD57" s="4">
        <v>96</v>
      </c>
      <c r="AE57" s="10">
        <f t="shared" si="13"/>
        <v>53.616560120634979</v>
      </c>
      <c r="AF57" s="4">
        <v>206</v>
      </c>
      <c r="AG57" s="10">
        <f t="shared" si="14"/>
        <v>66.33159208444448</v>
      </c>
      <c r="AH57" s="4">
        <v>80</v>
      </c>
      <c r="AI57" s="10">
        <f t="shared" si="15"/>
        <v>108.23211445911113</v>
      </c>
      <c r="AJ57" s="4">
        <v>192</v>
      </c>
      <c r="AK57" s="10">
        <f t="shared" si="16"/>
        <v>99.762480121377791</v>
      </c>
      <c r="AL57" s="4">
        <v>32</v>
      </c>
      <c r="AM57" s="10">
        <f t="shared" si="17"/>
        <v>127.43373608496444</v>
      </c>
      <c r="AN57" s="5">
        <f t="shared" si="18"/>
        <v>95.433736084964437</v>
      </c>
      <c r="AO57" s="6">
        <f t="shared" si="19"/>
        <v>2.9823042526551387</v>
      </c>
    </row>
    <row r="58" spans="1:41" x14ac:dyDescent="0.25">
      <c r="A58" t="s">
        <v>661</v>
      </c>
      <c r="B58" t="s">
        <v>2643</v>
      </c>
      <c r="C58" t="str">
        <f>_xlfn.XLOOKUP(A58,Fore!A:A,Fore!AC:AC)</f>
        <v>CY</v>
      </c>
      <c r="D58" s="4" t="s">
        <v>3057</v>
      </c>
      <c r="E58" s="10" t="str">
        <f t="shared" si="0"/>
        <v>0</v>
      </c>
      <c r="F58" s="4" t="s">
        <v>3057</v>
      </c>
      <c r="G58" s="10">
        <f t="shared" si="1"/>
        <v>0</v>
      </c>
      <c r="H58" s="4" t="s">
        <v>3057</v>
      </c>
      <c r="I58" s="10">
        <f t="shared" si="2"/>
        <v>0</v>
      </c>
      <c r="J58" s="4">
        <v>244.99999999999972</v>
      </c>
      <c r="K58" s="10">
        <f t="shared" si="3"/>
        <v>0</v>
      </c>
      <c r="L58" s="4">
        <v>133.50000000000003</v>
      </c>
      <c r="M58" s="10">
        <f t="shared" si="4"/>
        <v>73.499999999999915</v>
      </c>
      <c r="N58" s="4">
        <v>112.24999999999996</v>
      </c>
      <c r="O58" s="10">
        <f t="shared" si="5"/>
        <v>115.49999999999999</v>
      </c>
      <c r="P58" s="4">
        <v>67.748400000000004</v>
      </c>
      <c r="Q58" s="10">
        <f t="shared" si="6"/>
        <v>114.52499999999996</v>
      </c>
      <c r="R58" s="4">
        <v>119</v>
      </c>
      <c r="S58" s="10">
        <f t="shared" si="7"/>
        <v>100.49201999999997</v>
      </c>
      <c r="T58" s="4">
        <v>88</v>
      </c>
      <c r="U58" s="10">
        <f t="shared" si="8"/>
        <v>106.04441399999996</v>
      </c>
      <c r="V58" s="4">
        <v>145.8300000000001</v>
      </c>
      <c r="W58" s="10">
        <f t="shared" si="9"/>
        <v>100.63108979999996</v>
      </c>
      <c r="X58" s="4">
        <v>71</v>
      </c>
      <c r="Y58" s="10">
        <f t="shared" si="10"/>
        <v>114.19076286000001</v>
      </c>
      <c r="Z58" s="4" t="s">
        <v>3057</v>
      </c>
      <c r="AA58" s="10">
        <f t="shared" si="11"/>
        <v>101.233534002</v>
      </c>
      <c r="AB58" s="4">
        <v>26.000000000000007</v>
      </c>
      <c r="AC58" s="10">
        <f t="shared" si="12"/>
        <v>70.863473801399991</v>
      </c>
      <c r="AD58" s="4">
        <v>35</v>
      </c>
      <c r="AE58" s="10">
        <f t="shared" si="13"/>
        <v>57.404431660979995</v>
      </c>
      <c r="AF58" s="4">
        <v>201.00000000000011</v>
      </c>
      <c r="AG58" s="10">
        <f t="shared" si="14"/>
        <v>50.683102162685991</v>
      </c>
      <c r="AH58" s="4">
        <v>176.00000000000006</v>
      </c>
      <c r="AI58" s="10">
        <f t="shared" si="15"/>
        <v>95.778171513880224</v>
      </c>
      <c r="AJ58" s="4">
        <v>20</v>
      </c>
      <c r="AK58" s="10">
        <f t="shared" si="16"/>
        <v>119.84472005971617</v>
      </c>
      <c r="AL58" s="4" t="s">
        <v>3057</v>
      </c>
      <c r="AM58" s="10">
        <f t="shared" si="17"/>
        <v>89.891304041801305</v>
      </c>
      <c r="AN58" s="5">
        <f t="shared" si="18"/>
        <v>89.891304041801305</v>
      </c>
      <c r="AO58" s="6" t="str">
        <f t="shared" si="19"/>
        <v>0</v>
      </c>
    </row>
    <row r="59" spans="1:41" x14ac:dyDescent="0.25">
      <c r="A59" t="s">
        <v>1524</v>
      </c>
      <c r="B59" t="s">
        <v>2585</v>
      </c>
      <c r="C59" t="str">
        <f>_xlfn.XLOOKUP(A59,Fore!A:A,Fore!AC:AC)</f>
        <v>CX</v>
      </c>
      <c r="D59" s="4" t="s">
        <v>3057</v>
      </c>
      <c r="E59" s="10" t="str">
        <f t="shared" si="0"/>
        <v>0</v>
      </c>
      <c r="F59" s="4" t="s">
        <v>3057</v>
      </c>
      <c r="G59" s="10">
        <f t="shared" si="1"/>
        <v>0</v>
      </c>
      <c r="H59" s="4" t="s">
        <v>3057</v>
      </c>
      <c r="I59" s="10">
        <f t="shared" si="2"/>
        <v>0</v>
      </c>
      <c r="J59" s="4" t="s">
        <v>3057</v>
      </c>
      <c r="K59" s="10">
        <f t="shared" si="3"/>
        <v>0</v>
      </c>
      <c r="L59" s="4" t="s">
        <v>3057</v>
      </c>
      <c r="M59" s="10">
        <f t="shared" si="4"/>
        <v>0</v>
      </c>
      <c r="N59" s="4">
        <v>250</v>
      </c>
      <c r="O59" s="10">
        <f t="shared" si="5"/>
        <v>0</v>
      </c>
      <c r="P59" s="4" t="s">
        <v>3057</v>
      </c>
      <c r="Q59" s="10">
        <f t="shared" si="6"/>
        <v>75</v>
      </c>
      <c r="R59" s="4" t="s">
        <v>3057</v>
      </c>
      <c r="S59" s="10">
        <f t="shared" si="7"/>
        <v>52.5</v>
      </c>
      <c r="T59" s="4" t="s">
        <v>3057</v>
      </c>
      <c r="U59" s="10">
        <f t="shared" si="8"/>
        <v>36.75</v>
      </c>
      <c r="V59" s="4">
        <v>300</v>
      </c>
      <c r="W59" s="10">
        <f t="shared" si="9"/>
        <v>25.724999999999998</v>
      </c>
      <c r="X59" s="4">
        <v>350</v>
      </c>
      <c r="Y59" s="10">
        <f t="shared" si="10"/>
        <v>108.00749999999999</v>
      </c>
      <c r="Z59" s="4" t="s">
        <v>3057</v>
      </c>
      <c r="AA59" s="10">
        <f t="shared" si="11"/>
        <v>180.60524999999998</v>
      </c>
      <c r="AB59" s="4" t="s">
        <v>3057</v>
      </c>
      <c r="AC59" s="10">
        <f t="shared" si="12"/>
        <v>126.42367499999997</v>
      </c>
      <c r="AD59" s="4">
        <v>200</v>
      </c>
      <c r="AE59" s="10">
        <f t="shared" si="13"/>
        <v>88.496572499999971</v>
      </c>
      <c r="AF59" s="4" t="s">
        <v>3057</v>
      </c>
      <c r="AG59" s="10">
        <f t="shared" si="14"/>
        <v>121.94760074999998</v>
      </c>
      <c r="AH59" s="4">
        <v>200</v>
      </c>
      <c r="AI59" s="10">
        <f t="shared" si="15"/>
        <v>85.363320524999978</v>
      </c>
      <c r="AJ59" s="4" t="s">
        <v>3057</v>
      </c>
      <c r="AK59" s="10">
        <f t="shared" si="16"/>
        <v>119.75432436749998</v>
      </c>
      <c r="AL59" s="4" t="s">
        <v>3057</v>
      </c>
      <c r="AM59" s="10">
        <f t="shared" si="17"/>
        <v>83.828027057249983</v>
      </c>
      <c r="AN59" s="5">
        <f t="shared" si="18"/>
        <v>83.828027057249983</v>
      </c>
      <c r="AO59" s="6" t="str">
        <f t="shared" si="19"/>
        <v>0</v>
      </c>
    </row>
    <row r="60" spans="1:41" x14ac:dyDescent="0.25">
      <c r="A60" t="s">
        <v>556</v>
      </c>
      <c r="B60" t="s">
        <v>2577</v>
      </c>
      <c r="C60" t="str">
        <f>_xlfn.XLOOKUP(A60,Fore!A:A,Fore!AC:AC)</f>
        <v>CY</v>
      </c>
      <c r="D60" s="4" t="s">
        <v>3057</v>
      </c>
      <c r="E60" s="10" t="str">
        <f t="shared" si="0"/>
        <v>0</v>
      </c>
      <c r="F60" s="4" t="s">
        <v>3057</v>
      </c>
      <c r="G60" s="10">
        <f t="shared" si="1"/>
        <v>0</v>
      </c>
      <c r="H60" s="4" t="s">
        <v>3057</v>
      </c>
      <c r="I60" s="10">
        <f t="shared" si="2"/>
        <v>0</v>
      </c>
      <c r="J60" s="4" t="s">
        <v>3057</v>
      </c>
      <c r="K60" s="10">
        <f t="shared" si="3"/>
        <v>0</v>
      </c>
      <c r="L60" s="4">
        <v>200</v>
      </c>
      <c r="M60" s="10">
        <f t="shared" si="4"/>
        <v>0</v>
      </c>
      <c r="N60" s="4">
        <v>250</v>
      </c>
      <c r="O60" s="10">
        <f t="shared" si="5"/>
        <v>140</v>
      </c>
      <c r="P60" s="4">
        <v>199.99999999999997</v>
      </c>
      <c r="Q60" s="10">
        <f t="shared" si="6"/>
        <v>173</v>
      </c>
      <c r="R60" s="4" t="s">
        <v>3057</v>
      </c>
      <c r="S60" s="10">
        <f t="shared" si="7"/>
        <v>181.09999999999997</v>
      </c>
      <c r="T60" s="4" t="s">
        <v>3057</v>
      </c>
      <c r="U60" s="10">
        <f t="shared" si="8"/>
        <v>126.76999999999997</v>
      </c>
      <c r="V60" s="4" t="s">
        <v>3057</v>
      </c>
      <c r="W60" s="10">
        <f t="shared" si="9"/>
        <v>88.738999999999976</v>
      </c>
      <c r="X60" s="4">
        <v>0</v>
      </c>
      <c r="Y60" s="10">
        <f t="shared" si="10"/>
        <v>62.117299999999979</v>
      </c>
      <c r="Z60" s="4" t="s">
        <v>3057</v>
      </c>
      <c r="AA60" s="10">
        <f t="shared" si="11"/>
        <v>43.482109999999984</v>
      </c>
      <c r="AB60" s="4" t="s">
        <v>3057</v>
      </c>
      <c r="AC60" s="10">
        <f t="shared" si="12"/>
        <v>30.437476999999987</v>
      </c>
      <c r="AD60" s="4">
        <v>200</v>
      </c>
      <c r="AE60" s="10">
        <f t="shared" si="13"/>
        <v>21.306233899999988</v>
      </c>
      <c r="AF60" s="4" t="s">
        <v>3057</v>
      </c>
      <c r="AG60" s="10">
        <f t="shared" si="14"/>
        <v>74.914363729999991</v>
      </c>
      <c r="AH60" s="4">
        <v>439</v>
      </c>
      <c r="AI60" s="10">
        <f t="shared" si="15"/>
        <v>52.440054610999994</v>
      </c>
      <c r="AJ60" s="4" t="s">
        <v>3057</v>
      </c>
      <c r="AK60" s="10">
        <f t="shared" si="16"/>
        <v>168.40803822769999</v>
      </c>
      <c r="AL60" s="4" t="s">
        <v>3057</v>
      </c>
      <c r="AM60" s="10">
        <f t="shared" si="17"/>
        <v>117.88562675938998</v>
      </c>
      <c r="AN60" s="5">
        <f t="shared" si="18"/>
        <v>117.88562675938998</v>
      </c>
      <c r="AO60" s="6" t="str">
        <f t="shared" si="19"/>
        <v>0</v>
      </c>
    </row>
    <row r="61" spans="1:41" x14ac:dyDescent="0.25">
      <c r="A61" t="s">
        <v>466</v>
      </c>
      <c r="B61" t="s">
        <v>2579</v>
      </c>
      <c r="C61" t="str">
        <f>_xlfn.XLOOKUP(A61,Fore!A:A,Fore!AC:AC)</f>
        <v>CY</v>
      </c>
      <c r="D61" s="4" t="s">
        <v>3057</v>
      </c>
      <c r="E61" s="10" t="str">
        <f t="shared" si="0"/>
        <v>0</v>
      </c>
      <c r="F61" s="4" t="s">
        <v>3057</v>
      </c>
      <c r="G61" s="10">
        <f t="shared" si="1"/>
        <v>0</v>
      </c>
      <c r="H61" s="4" t="s">
        <v>3057</v>
      </c>
      <c r="I61" s="10">
        <f t="shared" si="2"/>
        <v>0</v>
      </c>
      <c r="J61" s="4">
        <v>250</v>
      </c>
      <c r="K61" s="10">
        <f t="shared" si="3"/>
        <v>0</v>
      </c>
      <c r="L61" s="4" t="s">
        <v>3057</v>
      </c>
      <c r="M61" s="10">
        <f t="shared" si="4"/>
        <v>75</v>
      </c>
      <c r="N61" s="4" t="s">
        <v>3057</v>
      </c>
      <c r="O61" s="10">
        <f t="shared" si="5"/>
        <v>22.5</v>
      </c>
      <c r="P61" s="4">
        <v>1</v>
      </c>
      <c r="Q61" s="10">
        <f t="shared" si="6"/>
        <v>15.749999999999998</v>
      </c>
      <c r="R61" s="4" t="s">
        <v>3057</v>
      </c>
      <c r="S61" s="10">
        <f t="shared" si="7"/>
        <v>11.324999999999999</v>
      </c>
      <c r="T61" s="4" t="s">
        <v>3057</v>
      </c>
      <c r="U61" s="10">
        <f t="shared" si="8"/>
        <v>7.9274999999999993</v>
      </c>
      <c r="V61" s="4">
        <v>500</v>
      </c>
      <c r="W61" s="10">
        <f t="shared" si="9"/>
        <v>5.5492499999999989</v>
      </c>
      <c r="X61" s="4">
        <v>0</v>
      </c>
      <c r="Y61" s="10">
        <f t="shared" si="10"/>
        <v>153.88447500000001</v>
      </c>
      <c r="Z61" s="4" t="s">
        <v>3057</v>
      </c>
      <c r="AA61" s="10">
        <f t="shared" si="11"/>
        <v>107.7191325</v>
      </c>
      <c r="AB61" s="4" t="s">
        <v>3057</v>
      </c>
      <c r="AC61" s="10">
        <f t="shared" si="12"/>
        <v>75.403392749999995</v>
      </c>
      <c r="AD61" s="4" t="s">
        <v>3057</v>
      </c>
      <c r="AE61" s="10">
        <f t="shared" si="13"/>
        <v>52.782374924999992</v>
      </c>
      <c r="AF61" s="4" t="s">
        <v>3057</v>
      </c>
      <c r="AG61" s="10">
        <f t="shared" si="14"/>
        <v>36.947662447499994</v>
      </c>
      <c r="AH61" s="4">
        <v>400</v>
      </c>
      <c r="AI61" s="10">
        <f t="shared" si="15"/>
        <v>25.863363713249996</v>
      </c>
      <c r="AJ61" s="4" t="s">
        <v>3057</v>
      </c>
      <c r="AK61" s="10">
        <f t="shared" si="16"/>
        <v>138.10435459927498</v>
      </c>
      <c r="AL61" s="4" t="s">
        <v>3057</v>
      </c>
      <c r="AM61" s="10">
        <f t="shared" si="17"/>
        <v>96.673048219492486</v>
      </c>
      <c r="AN61" s="5">
        <f t="shared" si="18"/>
        <v>96.673048219492486</v>
      </c>
      <c r="AO61" s="6" t="str">
        <f t="shared" si="19"/>
        <v>0</v>
      </c>
    </row>
    <row r="62" spans="1:41" x14ac:dyDescent="0.25">
      <c r="A62" t="s">
        <v>923</v>
      </c>
      <c r="B62" t="s">
        <v>2596</v>
      </c>
      <c r="C62" t="str">
        <f>_xlfn.XLOOKUP(A62,Fore!A:A,Fore!AC:AC)</f>
        <v>CX</v>
      </c>
      <c r="D62" s="4" t="s">
        <v>3057</v>
      </c>
      <c r="E62" s="10" t="str">
        <f t="shared" si="0"/>
        <v>0</v>
      </c>
      <c r="F62" s="4" t="s">
        <v>3057</v>
      </c>
      <c r="G62" s="10">
        <f t="shared" si="1"/>
        <v>0</v>
      </c>
      <c r="H62" s="4" t="s">
        <v>3057</v>
      </c>
      <c r="I62" s="10">
        <f t="shared" si="2"/>
        <v>0</v>
      </c>
      <c r="J62" s="4">
        <v>113</v>
      </c>
      <c r="K62" s="10">
        <f t="shared" si="3"/>
        <v>0</v>
      </c>
      <c r="L62" s="4">
        <v>107</v>
      </c>
      <c r="M62" s="10">
        <f t="shared" si="4"/>
        <v>33.9</v>
      </c>
      <c r="N62" s="4">
        <v>68.999999999999986</v>
      </c>
      <c r="O62" s="10">
        <f t="shared" si="5"/>
        <v>85.07</v>
      </c>
      <c r="P62" s="4">
        <v>94</v>
      </c>
      <c r="Q62" s="10">
        <f t="shared" si="6"/>
        <v>80.248999999999995</v>
      </c>
      <c r="R62" s="4">
        <v>99</v>
      </c>
      <c r="S62" s="10">
        <f t="shared" si="7"/>
        <v>84.374299999999991</v>
      </c>
      <c r="T62" s="4">
        <v>86.000000000000014</v>
      </c>
      <c r="U62" s="10">
        <f t="shared" si="8"/>
        <v>88.762009999999989</v>
      </c>
      <c r="V62" s="4">
        <v>89.000000000000028</v>
      </c>
      <c r="W62" s="10">
        <f t="shared" si="9"/>
        <v>87.933406999999988</v>
      </c>
      <c r="X62" s="4">
        <v>76.999999999999986</v>
      </c>
      <c r="Y62" s="10">
        <f t="shared" si="10"/>
        <v>88.2533849</v>
      </c>
      <c r="Z62" s="4">
        <v>23</v>
      </c>
      <c r="AA62" s="10">
        <f t="shared" si="11"/>
        <v>84.877369429999987</v>
      </c>
      <c r="AB62" s="4">
        <v>35</v>
      </c>
      <c r="AC62" s="10">
        <f t="shared" si="12"/>
        <v>66.314158600999988</v>
      </c>
      <c r="AD62" s="4">
        <v>94</v>
      </c>
      <c r="AE62" s="10">
        <f t="shared" si="13"/>
        <v>56.919911020699992</v>
      </c>
      <c r="AF62" s="4">
        <v>93</v>
      </c>
      <c r="AG62" s="10">
        <f t="shared" si="14"/>
        <v>68.043937714489985</v>
      </c>
      <c r="AH62" s="4">
        <v>125.99999999999996</v>
      </c>
      <c r="AI62" s="10">
        <f t="shared" si="15"/>
        <v>75.530756400142991</v>
      </c>
      <c r="AJ62" s="4" t="s">
        <v>3057</v>
      </c>
      <c r="AK62" s="10">
        <f t="shared" si="16"/>
        <v>90.671529480100077</v>
      </c>
      <c r="AL62" s="4" t="s">
        <v>3057</v>
      </c>
      <c r="AM62" s="10">
        <f t="shared" si="17"/>
        <v>63.470070636070048</v>
      </c>
      <c r="AN62" s="5">
        <f t="shared" si="18"/>
        <v>63.470070636070048</v>
      </c>
      <c r="AO62" s="6" t="str">
        <f t="shared" si="19"/>
        <v>0</v>
      </c>
    </row>
    <row r="63" spans="1:41" x14ac:dyDescent="0.25">
      <c r="A63" t="s">
        <v>2256</v>
      </c>
      <c r="B63" t="s">
        <v>2551</v>
      </c>
      <c r="C63" t="str">
        <f>_xlfn.XLOOKUP(A63,Fore!A:A,Fore!AC:AC)</f>
        <v>CY</v>
      </c>
      <c r="D63" s="4" t="s">
        <v>3057</v>
      </c>
      <c r="E63" s="10" t="str">
        <f t="shared" si="0"/>
        <v>0</v>
      </c>
      <c r="F63" s="4" t="s">
        <v>3057</v>
      </c>
      <c r="G63" s="10">
        <f t="shared" si="1"/>
        <v>0</v>
      </c>
      <c r="H63" s="4" t="s">
        <v>3057</v>
      </c>
      <c r="I63" s="10">
        <f t="shared" si="2"/>
        <v>0</v>
      </c>
      <c r="J63" s="4" t="s">
        <v>3057</v>
      </c>
      <c r="K63" s="10">
        <f t="shared" si="3"/>
        <v>0</v>
      </c>
      <c r="L63" s="4" t="s">
        <v>3057</v>
      </c>
      <c r="M63" s="10">
        <f t="shared" si="4"/>
        <v>0</v>
      </c>
      <c r="N63" s="4" t="s">
        <v>3057</v>
      </c>
      <c r="O63" s="10">
        <f t="shared" si="5"/>
        <v>0</v>
      </c>
      <c r="P63" s="4" t="s">
        <v>3057</v>
      </c>
      <c r="Q63" s="10">
        <f t="shared" si="6"/>
        <v>0</v>
      </c>
      <c r="R63" s="4" t="s">
        <v>3057</v>
      </c>
      <c r="S63" s="10">
        <f t="shared" si="7"/>
        <v>0</v>
      </c>
      <c r="T63" s="4" t="s">
        <v>3057</v>
      </c>
      <c r="U63" s="10">
        <f t="shared" si="8"/>
        <v>0</v>
      </c>
      <c r="V63" s="4" t="s">
        <v>3057</v>
      </c>
      <c r="W63" s="10">
        <f t="shared" si="9"/>
        <v>0</v>
      </c>
      <c r="X63" s="4">
        <v>0</v>
      </c>
      <c r="Y63" s="10">
        <f t="shared" si="10"/>
        <v>0</v>
      </c>
      <c r="Z63" s="4" t="s">
        <v>3057</v>
      </c>
      <c r="AA63" s="10">
        <f t="shared" si="11"/>
        <v>0</v>
      </c>
      <c r="AB63" s="4" t="s">
        <v>3057</v>
      </c>
      <c r="AC63" s="10">
        <f t="shared" si="12"/>
        <v>0</v>
      </c>
      <c r="AD63" s="4" t="s">
        <v>3057</v>
      </c>
      <c r="AE63" s="10">
        <f t="shared" si="13"/>
        <v>0</v>
      </c>
      <c r="AF63" s="4" t="s">
        <v>3057</v>
      </c>
      <c r="AG63" s="10">
        <f t="shared" si="14"/>
        <v>0</v>
      </c>
      <c r="AH63" s="4">
        <v>1000</v>
      </c>
      <c r="AI63" s="10">
        <f t="shared" si="15"/>
        <v>0</v>
      </c>
      <c r="AJ63" s="4" t="s">
        <v>3057</v>
      </c>
      <c r="AK63" s="10">
        <f t="shared" si="16"/>
        <v>300</v>
      </c>
      <c r="AL63" s="4" t="s">
        <v>3057</v>
      </c>
      <c r="AM63" s="10">
        <f t="shared" si="17"/>
        <v>210</v>
      </c>
      <c r="AN63" s="5">
        <f t="shared" si="18"/>
        <v>210</v>
      </c>
      <c r="AO63" s="6" t="str">
        <f t="shared" si="19"/>
        <v>0</v>
      </c>
    </row>
    <row r="64" spans="1:41" x14ac:dyDescent="0.25">
      <c r="A64" t="s">
        <v>734</v>
      </c>
      <c r="B64" t="s">
        <v>2859</v>
      </c>
      <c r="C64" t="str">
        <f>_xlfn.XLOOKUP(A64,Fore!A:A,Fore!AC:AC)</f>
        <v>CY</v>
      </c>
      <c r="D64" s="4" t="s">
        <v>3057</v>
      </c>
      <c r="E64" s="10" t="str">
        <f t="shared" si="0"/>
        <v>0</v>
      </c>
      <c r="F64" s="4" t="s">
        <v>3057</v>
      </c>
      <c r="G64" s="10">
        <f t="shared" si="1"/>
        <v>0</v>
      </c>
      <c r="H64" s="4" t="s">
        <v>3057</v>
      </c>
      <c r="I64" s="10">
        <f t="shared" si="2"/>
        <v>0</v>
      </c>
      <c r="J64" s="4" t="s">
        <v>3057</v>
      </c>
      <c r="K64" s="10">
        <f t="shared" si="3"/>
        <v>0</v>
      </c>
      <c r="L64" s="4" t="s">
        <v>3057</v>
      </c>
      <c r="M64" s="10">
        <f t="shared" si="4"/>
        <v>0</v>
      </c>
      <c r="N64" s="4" t="s">
        <v>3057</v>
      </c>
      <c r="O64" s="10">
        <f t="shared" si="5"/>
        <v>0</v>
      </c>
      <c r="P64" s="4" t="s">
        <v>3057</v>
      </c>
      <c r="Q64" s="10">
        <f t="shared" si="6"/>
        <v>0</v>
      </c>
      <c r="R64" s="4">
        <v>500</v>
      </c>
      <c r="S64" s="10">
        <f t="shared" si="7"/>
        <v>0</v>
      </c>
      <c r="T64" s="4">
        <v>500</v>
      </c>
      <c r="U64" s="10">
        <f t="shared" si="8"/>
        <v>150</v>
      </c>
      <c r="V64" s="4" t="s">
        <v>3057</v>
      </c>
      <c r="W64" s="10">
        <f t="shared" si="9"/>
        <v>255</v>
      </c>
      <c r="X64" s="4">
        <v>0</v>
      </c>
      <c r="Y64" s="10">
        <f t="shared" si="10"/>
        <v>178.5</v>
      </c>
      <c r="Z64" s="4" t="s">
        <v>3057</v>
      </c>
      <c r="AA64" s="10">
        <f t="shared" si="11"/>
        <v>124.94999999999999</v>
      </c>
      <c r="AB64" s="4" t="s">
        <v>3057</v>
      </c>
      <c r="AC64" s="10">
        <f t="shared" si="12"/>
        <v>87.464999999999989</v>
      </c>
      <c r="AD64" s="4" t="s">
        <v>3057</v>
      </c>
      <c r="AE64" s="10">
        <f t="shared" si="13"/>
        <v>61.22549999999999</v>
      </c>
      <c r="AF64" s="4" t="s">
        <v>3057</v>
      </c>
      <c r="AG64" s="10">
        <f t="shared" si="14"/>
        <v>42.857849999999992</v>
      </c>
      <c r="AH64" s="4" t="s">
        <v>3057</v>
      </c>
      <c r="AI64" s="10">
        <f t="shared" si="15"/>
        <v>30.000494999999994</v>
      </c>
      <c r="AJ64" s="4" t="s">
        <v>3057</v>
      </c>
      <c r="AK64" s="10">
        <f t="shared" si="16"/>
        <v>21.000346499999996</v>
      </c>
      <c r="AL64" s="4" t="s">
        <v>3057</v>
      </c>
      <c r="AM64" s="10">
        <f t="shared" si="17"/>
        <v>14.700242549999995</v>
      </c>
      <c r="AN64" s="5">
        <f t="shared" si="18"/>
        <v>14.700242549999995</v>
      </c>
      <c r="AO64" s="6" t="str">
        <f t="shared" si="19"/>
        <v>0</v>
      </c>
    </row>
    <row r="65" spans="1:41" x14ac:dyDescent="0.25">
      <c r="A65" t="s">
        <v>1876</v>
      </c>
      <c r="B65" t="s">
        <v>2916</v>
      </c>
      <c r="C65" t="str">
        <f>_xlfn.XLOOKUP(A65,Fore!A:A,Fore!AC:AC)</f>
        <v>CY</v>
      </c>
      <c r="D65" s="4" t="s">
        <v>3057</v>
      </c>
      <c r="E65" s="10" t="str">
        <f t="shared" si="0"/>
        <v>0</v>
      </c>
      <c r="F65" s="4" t="s">
        <v>3057</v>
      </c>
      <c r="G65" s="10">
        <f t="shared" si="1"/>
        <v>0</v>
      </c>
      <c r="H65" s="4" t="s">
        <v>3057</v>
      </c>
      <c r="I65" s="10">
        <f t="shared" si="2"/>
        <v>0</v>
      </c>
      <c r="J65" s="4" t="s">
        <v>3057</v>
      </c>
      <c r="K65" s="10">
        <f t="shared" si="3"/>
        <v>0</v>
      </c>
      <c r="L65" s="4" t="s">
        <v>3057</v>
      </c>
      <c r="M65" s="10">
        <f t="shared" si="4"/>
        <v>0</v>
      </c>
      <c r="N65" s="4" t="s">
        <v>3057</v>
      </c>
      <c r="O65" s="10">
        <f t="shared" si="5"/>
        <v>0</v>
      </c>
      <c r="P65" s="4" t="s">
        <v>3057</v>
      </c>
      <c r="Q65" s="10">
        <f t="shared" si="6"/>
        <v>0</v>
      </c>
      <c r="R65" s="4" t="s">
        <v>3057</v>
      </c>
      <c r="S65" s="10">
        <f t="shared" si="7"/>
        <v>0</v>
      </c>
      <c r="T65" s="4" t="s">
        <v>3057</v>
      </c>
      <c r="U65" s="10">
        <f t="shared" si="8"/>
        <v>0</v>
      </c>
      <c r="V65" s="4">
        <v>999.99999999999977</v>
      </c>
      <c r="W65" s="10">
        <f t="shared" si="9"/>
        <v>0</v>
      </c>
      <c r="X65" s="4">
        <v>0</v>
      </c>
      <c r="Y65" s="10">
        <f t="shared" si="10"/>
        <v>299.99999999999994</v>
      </c>
      <c r="Z65" s="4" t="s">
        <v>3057</v>
      </c>
      <c r="AA65" s="10">
        <f t="shared" si="11"/>
        <v>209.99999999999994</v>
      </c>
      <c r="AB65" s="4" t="s">
        <v>3057</v>
      </c>
      <c r="AC65" s="10">
        <f t="shared" si="12"/>
        <v>146.99999999999994</v>
      </c>
      <c r="AD65" s="4" t="s">
        <v>3057</v>
      </c>
      <c r="AE65" s="10">
        <f t="shared" si="13"/>
        <v>102.89999999999995</v>
      </c>
      <c r="AF65" s="4" t="s">
        <v>3057</v>
      </c>
      <c r="AG65" s="10">
        <f t="shared" si="14"/>
        <v>72.029999999999959</v>
      </c>
      <c r="AH65" s="4" t="s">
        <v>3057</v>
      </c>
      <c r="AI65" s="10">
        <f t="shared" si="15"/>
        <v>50.420999999999971</v>
      </c>
      <c r="AJ65" s="4" t="s">
        <v>3057</v>
      </c>
      <c r="AK65" s="10">
        <f t="shared" si="16"/>
        <v>35.294699999999978</v>
      </c>
      <c r="AL65" s="4" t="s">
        <v>3057</v>
      </c>
      <c r="AM65" s="10">
        <f t="shared" si="17"/>
        <v>24.706289999999981</v>
      </c>
      <c r="AN65" s="5">
        <f t="shared" si="18"/>
        <v>24.706289999999981</v>
      </c>
      <c r="AO65" s="6" t="str">
        <f t="shared" si="19"/>
        <v>0</v>
      </c>
    </row>
    <row r="66" spans="1:41" x14ac:dyDescent="0.25">
      <c r="A66" t="s">
        <v>104</v>
      </c>
      <c r="B66" t="s">
        <v>2738</v>
      </c>
      <c r="C66" t="str">
        <f>_xlfn.XLOOKUP(A66,Fore!A:A,Fore!AC:AC)</f>
        <v>CY</v>
      </c>
      <c r="D66" s="4" t="s">
        <v>3057</v>
      </c>
      <c r="E66" s="10" t="str">
        <f t="shared" si="0"/>
        <v>0</v>
      </c>
      <c r="F66" s="4" t="s">
        <v>3057</v>
      </c>
      <c r="G66" s="10">
        <f t="shared" si="1"/>
        <v>0</v>
      </c>
      <c r="H66" s="4" t="s">
        <v>3057</v>
      </c>
      <c r="I66" s="10">
        <f t="shared" si="2"/>
        <v>0</v>
      </c>
      <c r="J66" s="4">
        <v>27.000000000000004</v>
      </c>
      <c r="K66" s="10">
        <f t="shared" si="3"/>
        <v>0</v>
      </c>
      <c r="L66" s="4">
        <v>46</v>
      </c>
      <c r="M66" s="10">
        <f t="shared" si="4"/>
        <v>8.1000000000000014</v>
      </c>
      <c r="N66" s="4">
        <v>201.99959999999996</v>
      </c>
      <c r="O66" s="10">
        <f t="shared" si="5"/>
        <v>34.629999999999995</v>
      </c>
      <c r="P66" s="4">
        <v>57.999999999999964</v>
      </c>
      <c r="Q66" s="10">
        <f t="shared" si="6"/>
        <v>84.840879999999984</v>
      </c>
      <c r="R66" s="4">
        <v>15</v>
      </c>
      <c r="S66" s="10">
        <f t="shared" si="7"/>
        <v>76.788615999999976</v>
      </c>
      <c r="T66" s="4">
        <v>31.000000000000014</v>
      </c>
      <c r="U66" s="10">
        <f t="shared" si="8"/>
        <v>58.252031199999983</v>
      </c>
      <c r="V66" s="4">
        <v>59</v>
      </c>
      <c r="W66" s="10">
        <f t="shared" si="9"/>
        <v>50.076421839999988</v>
      </c>
      <c r="X66" s="4">
        <v>19.000000000000007</v>
      </c>
      <c r="Y66" s="10">
        <f t="shared" si="10"/>
        <v>52.753495287999982</v>
      </c>
      <c r="Z66" s="4">
        <v>8</v>
      </c>
      <c r="AA66" s="10">
        <f t="shared" si="11"/>
        <v>42.627446701599986</v>
      </c>
      <c r="AB66" s="4">
        <v>21</v>
      </c>
      <c r="AC66" s="10">
        <f t="shared" si="12"/>
        <v>32.239212691119988</v>
      </c>
      <c r="AD66" s="4">
        <v>60</v>
      </c>
      <c r="AE66" s="10">
        <f t="shared" si="13"/>
        <v>28.86744888378399</v>
      </c>
      <c r="AF66" s="4">
        <v>197</v>
      </c>
      <c r="AG66" s="10">
        <f t="shared" si="14"/>
        <v>38.207214218648787</v>
      </c>
      <c r="AH66" s="4">
        <v>59.000000000000007</v>
      </c>
      <c r="AI66" s="10">
        <f t="shared" si="15"/>
        <v>85.845049953054144</v>
      </c>
      <c r="AJ66" s="4">
        <v>65</v>
      </c>
      <c r="AK66" s="10">
        <f t="shared" si="16"/>
        <v>77.791534967137892</v>
      </c>
      <c r="AL66" s="4">
        <v>73</v>
      </c>
      <c r="AM66" s="10">
        <f t="shared" si="17"/>
        <v>73.954074476996524</v>
      </c>
      <c r="AN66" s="5">
        <f t="shared" si="18"/>
        <v>0.95407447699652437</v>
      </c>
      <c r="AO66" s="6">
        <f t="shared" si="19"/>
        <v>1.3069513383514033E-2</v>
      </c>
    </row>
    <row r="67" spans="1:41" x14ac:dyDescent="0.25">
      <c r="A67" t="s">
        <v>918</v>
      </c>
      <c r="B67" t="s">
        <v>2588</v>
      </c>
      <c r="C67" t="str">
        <f>_xlfn.XLOOKUP(A67,Fore!A:A,Fore!AC:AC)</f>
        <v>CY</v>
      </c>
      <c r="D67" s="4" t="s">
        <v>3057</v>
      </c>
      <c r="E67" s="10" t="str">
        <f t="shared" si="0"/>
        <v>0</v>
      </c>
      <c r="F67" s="4" t="s">
        <v>3057</v>
      </c>
      <c r="G67" s="10">
        <f t="shared" si="1"/>
        <v>0</v>
      </c>
      <c r="H67" s="4" t="s">
        <v>3057</v>
      </c>
      <c r="I67" s="10">
        <f t="shared" si="2"/>
        <v>0</v>
      </c>
      <c r="J67" s="4">
        <v>37</v>
      </c>
      <c r="K67" s="10">
        <f t="shared" si="3"/>
        <v>0</v>
      </c>
      <c r="L67" s="4">
        <v>53</v>
      </c>
      <c r="M67" s="10">
        <f t="shared" si="4"/>
        <v>11.1</v>
      </c>
      <c r="N67" s="4">
        <v>110.00000000000001</v>
      </c>
      <c r="O67" s="10">
        <f t="shared" si="5"/>
        <v>40.429999999999993</v>
      </c>
      <c r="P67" s="4">
        <v>50</v>
      </c>
      <c r="Q67" s="10">
        <f t="shared" si="6"/>
        <v>61.300999999999988</v>
      </c>
      <c r="R67" s="4">
        <v>45.000000000000043</v>
      </c>
      <c r="S67" s="10">
        <f t="shared" si="7"/>
        <v>57.910699999999991</v>
      </c>
      <c r="T67" s="4">
        <v>82.999999999999986</v>
      </c>
      <c r="U67" s="10">
        <f t="shared" si="8"/>
        <v>54.037490000000005</v>
      </c>
      <c r="V67" s="4">
        <v>50.999999999999986</v>
      </c>
      <c r="W67" s="10">
        <f t="shared" si="9"/>
        <v>62.726242999999997</v>
      </c>
      <c r="X67" s="4">
        <v>22.999999999999993</v>
      </c>
      <c r="Y67" s="10">
        <f t="shared" si="10"/>
        <v>59.208370099999989</v>
      </c>
      <c r="Z67" s="4" t="s">
        <v>3057</v>
      </c>
      <c r="AA67" s="10">
        <f t="shared" si="11"/>
        <v>48.345859069999989</v>
      </c>
      <c r="AB67" s="4">
        <v>9</v>
      </c>
      <c r="AC67" s="10">
        <f t="shared" si="12"/>
        <v>33.842101348999989</v>
      </c>
      <c r="AD67" s="4">
        <v>119.99999999999994</v>
      </c>
      <c r="AE67" s="10">
        <f t="shared" si="13"/>
        <v>26.38947094429999</v>
      </c>
      <c r="AF67" s="4">
        <v>130</v>
      </c>
      <c r="AG67" s="10">
        <f t="shared" si="14"/>
        <v>54.472629661009975</v>
      </c>
      <c r="AH67" s="4">
        <v>102.99999999999997</v>
      </c>
      <c r="AI67" s="10">
        <f t="shared" si="15"/>
        <v>77.130840762706981</v>
      </c>
      <c r="AJ67" s="4">
        <v>36</v>
      </c>
      <c r="AK67" s="10">
        <f t="shared" si="16"/>
        <v>84.891588533894875</v>
      </c>
      <c r="AL67" s="4">
        <v>68</v>
      </c>
      <c r="AM67" s="10">
        <f t="shared" si="17"/>
        <v>70.224111973726409</v>
      </c>
      <c r="AN67" s="5">
        <f t="shared" si="18"/>
        <v>2.2241119737264086</v>
      </c>
      <c r="AO67" s="6">
        <f t="shared" si="19"/>
        <v>3.2707529025388364E-2</v>
      </c>
    </row>
    <row r="68" spans="1:41" x14ac:dyDescent="0.25">
      <c r="A68" t="s">
        <v>935</v>
      </c>
      <c r="B68" t="s">
        <v>2730</v>
      </c>
      <c r="C68" t="str">
        <f>_xlfn.XLOOKUP(A68,Fore!A:A,Fore!AC:AC)</f>
        <v>CY</v>
      </c>
      <c r="D68" s="4" t="s">
        <v>3057</v>
      </c>
      <c r="E68" s="10" t="str">
        <f t="shared" ref="E68:E131" si="20">D68</f>
        <v>0</v>
      </c>
      <c r="F68" s="4" t="s">
        <v>3057</v>
      </c>
      <c r="G68" s="10">
        <f t="shared" ref="G68:G131" si="21">$C$1*D68+(1-$C$1)*E68</f>
        <v>0</v>
      </c>
      <c r="H68" s="4" t="s">
        <v>3057</v>
      </c>
      <c r="I68" s="10">
        <f t="shared" ref="I68:I131" si="22">$C$1*F68+(1-$C$1)*G68</f>
        <v>0</v>
      </c>
      <c r="J68" s="4">
        <v>41.222200000000001</v>
      </c>
      <c r="K68" s="10">
        <f t="shared" ref="K68:K131" si="23">$C$1*H68+(1-$C$1)*I68</f>
        <v>0</v>
      </c>
      <c r="L68" s="4">
        <v>69.999999999999986</v>
      </c>
      <c r="M68" s="10">
        <f t="shared" ref="M68:M131" si="24">$C$1*J68+(1-$C$1)*K68</f>
        <v>12.36666</v>
      </c>
      <c r="N68" s="4">
        <v>88.999999999999986</v>
      </c>
      <c r="O68" s="10">
        <f t="shared" ref="O68:O131" si="25">$C$1*M68+(1-$C$1)*L68</f>
        <v>52.709997999999985</v>
      </c>
      <c r="P68" s="4">
        <v>38</v>
      </c>
      <c r="Q68" s="10">
        <f t="shared" ref="Q68:Q131" si="26">$C$1*N68+(1-$C$1)*O68</f>
        <v>63.596998599999985</v>
      </c>
      <c r="R68" s="4">
        <v>86.000000000000014</v>
      </c>
      <c r="S68" s="10">
        <f t="shared" ref="S68:S131" si="27">$C$1*P68+(1-$C$1)*Q68</f>
        <v>55.917899019999986</v>
      </c>
      <c r="T68" s="4">
        <v>23.999999999999989</v>
      </c>
      <c r="U68" s="10">
        <f t="shared" ref="U68:U131" si="28">$C$1*R68+(1-$C$1)*S68</f>
        <v>64.942529313999984</v>
      </c>
      <c r="V68" s="4">
        <v>98.999999999999957</v>
      </c>
      <c r="W68" s="10">
        <f t="shared" ref="W68:W131" si="29">$C$1*T68+(1-$C$1)*U68</f>
        <v>52.659770519799984</v>
      </c>
      <c r="X68" s="4">
        <v>96.999999999999972</v>
      </c>
      <c r="Y68" s="10">
        <f t="shared" ref="Y68:Y131" si="30">$C$1*V68+(1-$C$1)*W68</f>
        <v>66.561839363859974</v>
      </c>
      <c r="Z68" s="4">
        <v>23</v>
      </c>
      <c r="AA68" s="10">
        <f t="shared" ref="AA68:AA131" si="31">$C$1*X68+(1-$C$1)*Y68</f>
        <v>75.693287554701968</v>
      </c>
      <c r="AB68" s="4" t="s">
        <v>3057</v>
      </c>
      <c r="AC68" s="10">
        <f t="shared" ref="AC68:AC131" si="32">$C$1*Z68+(1-$C$1)*AA68</f>
        <v>59.885301288291373</v>
      </c>
      <c r="AD68" s="4">
        <v>150.15</v>
      </c>
      <c r="AE68" s="10">
        <f t="shared" ref="AE68:AE131" si="33">$C$1*AB68+(1-$C$1)*AC68</f>
        <v>41.91971090180396</v>
      </c>
      <c r="AF68" s="4">
        <v>82</v>
      </c>
      <c r="AG68" s="10">
        <f t="shared" ref="AG68:AG131" si="34">$C$1*AD68+(1-$C$1)*AE68</f>
        <v>74.388797631262776</v>
      </c>
      <c r="AH68" s="4">
        <v>64.000000000000014</v>
      </c>
      <c r="AI68" s="10">
        <f t="shared" ref="AI68:AI131" si="35">$C$1*AF68+(1-$C$1)*AG68</f>
        <v>76.672158341883943</v>
      </c>
      <c r="AJ68" s="4">
        <v>8</v>
      </c>
      <c r="AK68" s="10">
        <f t="shared" ref="AK68:AK131" si="36">$C$1*AH68+(1-$C$1)*AI68</f>
        <v>72.870510839318769</v>
      </c>
      <c r="AL68" s="4" t="s">
        <v>3057</v>
      </c>
      <c r="AM68" s="10">
        <f t="shared" ref="AM68:AM131" si="37">$C$1*AJ68+(1-$C$1)*AK68</f>
        <v>53.409357587523132</v>
      </c>
      <c r="AN68" s="5">
        <f t="shared" ref="AN68:AN131" si="38">ABS(AL68-AM68)</f>
        <v>53.409357587523132</v>
      </c>
      <c r="AO68" s="6" t="str">
        <f t="shared" ref="AO68:AO131" si="39">IFERROR(ABS((AL68-AM68)/AL68),"0")</f>
        <v>0</v>
      </c>
    </row>
    <row r="69" spans="1:41" x14ac:dyDescent="0.25">
      <c r="A69" t="s">
        <v>108</v>
      </c>
      <c r="B69" t="s">
        <v>2655</v>
      </c>
      <c r="C69" t="str">
        <f>_xlfn.XLOOKUP(A69,Fore!A:A,Fore!AC:AC)</f>
        <v>CZ</v>
      </c>
      <c r="D69" s="4">
        <v>19</v>
      </c>
      <c r="E69" s="10">
        <f t="shared" si="20"/>
        <v>19</v>
      </c>
      <c r="F69" s="4">
        <v>10</v>
      </c>
      <c r="G69" s="10">
        <f t="shared" si="21"/>
        <v>19</v>
      </c>
      <c r="H69" s="4">
        <v>9</v>
      </c>
      <c r="I69" s="10">
        <f t="shared" si="22"/>
        <v>16.299999999999997</v>
      </c>
      <c r="J69" s="4">
        <v>6</v>
      </c>
      <c r="K69" s="10">
        <f t="shared" si="23"/>
        <v>14.109999999999996</v>
      </c>
      <c r="L69" s="4">
        <v>24.999999999999957</v>
      </c>
      <c r="M69" s="10">
        <f t="shared" si="24"/>
        <v>11.676999999999996</v>
      </c>
      <c r="N69" s="4">
        <v>207.99999999999994</v>
      </c>
      <c r="O69" s="10">
        <f t="shared" si="25"/>
        <v>21.003099999999968</v>
      </c>
      <c r="P69" s="4">
        <v>137.99999999999997</v>
      </c>
      <c r="Q69" s="10">
        <f t="shared" si="26"/>
        <v>77.102169999999958</v>
      </c>
      <c r="R69" s="4">
        <v>103</v>
      </c>
      <c r="S69" s="10">
        <f t="shared" si="27"/>
        <v>95.37151899999995</v>
      </c>
      <c r="T69" s="4">
        <v>102</v>
      </c>
      <c r="U69" s="10">
        <f t="shared" si="28"/>
        <v>97.660063299999962</v>
      </c>
      <c r="V69" s="4" t="s">
        <v>3057</v>
      </c>
      <c r="W69" s="10">
        <f t="shared" si="29"/>
        <v>98.962044309999968</v>
      </c>
      <c r="X69" s="4">
        <v>26</v>
      </c>
      <c r="Y69" s="10">
        <f t="shared" si="30"/>
        <v>69.273431016999979</v>
      </c>
      <c r="Z69" s="4">
        <v>18</v>
      </c>
      <c r="AA69" s="10">
        <f t="shared" si="31"/>
        <v>56.291401711899979</v>
      </c>
      <c r="AB69" s="4">
        <v>5</v>
      </c>
      <c r="AC69" s="10">
        <f t="shared" si="32"/>
        <v>44.803981198329978</v>
      </c>
      <c r="AD69" s="4">
        <v>2</v>
      </c>
      <c r="AE69" s="10">
        <f t="shared" si="33"/>
        <v>32.862786838830985</v>
      </c>
      <c r="AF69" s="4">
        <v>152</v>
      </c>
      <c r="AG69" s="10">
        <f t="shared" si="34"/>
        <v>23.603950787181688</v>
      </c>
      <c r="AH69" s="4">
        <v>2</v>
      </c>
      <c r="AI69" s="10">
        <f t="shared" si="35"/>
        <v>62.122765551027186</v>
      </c>
      <c r="AJ69" s="4">
        <v>6</v>
      </c>
      <c r="AK69" s="10">
        <f t="shared" si="36"/>
        <v>44.085935885719032</v>
      </c>
      <c r="AL69" s="4">
        <v>15</v>
      </c>
      <c r="AM69" s="10">
        <f t="shared" si="37"/>
        <v>32.660155120003317</v>
      </c>
      <c r="AN69" s="5">
        <f t="shared" si="38"/>
        <v>17.660155120003317</v>
      </c>
      <c r="AO69" s="6">
        <f t="shared" si="39"/>
        <v>1.1773436746668877</v>
      </c>
    </row>
    <row r="70" spans="1:41" x14ac:dyDescent="0.25">
      <c r="A70" t="s">
        <v>108</v>
      </c>
      <c r="B70" t="s">
        <v>2656</v>
      </c>
      <c r="C70" t="str">
        <f>_xlfn.XLOOKUP(A70,Fore!A:A,Fore!AC:AC)</f>
        <v>CZ</v>
      </c>
      <c r="D70" s="4">
        <v>19</v>
      </c>
      <c r="E70" s="10">
        <f t="shared" si="20"/>
        <v>19</v>
      </c>
      <c r="F70" s="4">
        <v>10</v>
      </c>
      <c r="G70" s="10">
        <f t="shared" si="21"/>
        <v>19</v>
      </c>
      <c r="H70" s="4">
        <v>9</v>
      </c>
      <c r="I70" s="10">
        <f t="shared" si="22"/>
        <v>16.299999999999997</v>
      </c>
      <c r="J70" s="4">
        <v>6</v>
      </c>
      <c r="K70" s="10">
        <f t="shared" si="23"/>
        <v>14.109999999999996</v>
      </c>
      <c r="L70" s="4">
        <v>24.999999999999957</v>
      </c>
      <c r="M70" s="10">
        <f t="shared" si="24"/>
        <v>11.676999999999996</v>
      </c>
      <c r="N70" s="4">
        <v>207.99999999999994</v>
      </c>
      <c r="O70" s="10">
        <f t="shared" si="25"/>
        <v>21.003099999999968</v>
      </c>
      <c r="P70" s="4">
        <v>137.99999999999997</v>
      </c>
      <c r="Q70" s="10">
        <f t="shared" si="26"/>
        <v>77.102169999999958</v>
      </c>
      <c r="R70" s="4">
        <v>103</v>
      </c>
      <c r="S70" s="10">
        <f t="shared" si="27"/>
        <v>95.37151899999995</v>
      </c>
      <c r="T70" s="4">
        <v>102</v>
      </c>
      <c r="U70" s="10">
        <f t="shared" si="28"/>
        <v>97.660063299999962</v>
      </c>
      <c r="V70" s="4" t="s">
        <v>3057</v>
      </c>
      <c r="W70" s="10">
        <f t="shared" si="29"/>
        <v>98.962044309999968</v>
      </c>
      <c r="X70" s="4">
        <v>26</v>
      </c>
      <c r="Y70" s="10">
        <f t="shared" si="30"/>
        <v>69.273431016999979</v>
      </c>
      <c r="Z70" s="4">
        <v>18</v>
      </c>
      <c r="AA70" s="10">
        <f t="shared" si="31"/>
        <v>56.291401711899979</v>
      </c>
      <c r="AB70" s="4">
        <v>5</v>
      </c>
      <c r="AC70" s="10">
        <f t="shared" si="32"/>
        <v>44.803981198329978</v>
      </c>
      <c r="AD70" s="4">
        <v>2</v>
      </c>
      <c r="AE70" s="10">
        <f t="shared" si="33"/>
        <v>32.862786838830985</v>
      </c>
      <c r="AF70" s="4">
        <v>152</v>
      </c>
      <c r="AG70" s="10">
        <f t="shared" si="34"/>
        <v>23.603950787181688</v>
      </c>
      <c r="AH70" s="4">
        <v>2</v>
      </c>
      <c r="AI70" s="10">
        <f t="shared" si="35"/>
        <v>62.122765551027186</v>
      </c>
      <c r="AJ70" s="4">
        <v>6</v>
      </c>
      <c r="AK70" s="10">
        <f t="shared" si="36"/>
        <v>44.085935885719032</v>
      </c>
      <c r="AL70" s="4">
        <v>15</v>
      </c>
      <c r="AM70" s="10">
        <f t="shared" si="37"/>
        <v>32.660155120003317</v>
      </c>
      <c r="AN70" s="5">
        <f t="shared" si="38"/>
        <v>17.660155120003317</v>
      </c>
      <c r="AO70" s="6">
        <f t="shared" si="39"/>
        <v>1.1773436746668877</v>
      </c>
    </row>
    <row r="71" spans="1:41" x14ac:dyDescent="0.25">
      <c r="A71" t="s">
        <v>108</v>
      </c>
      <c r="B71" t="s">
        <v>2657</v>
      </c>
      <c r="C71" t="str">
        <f>_xlfn.XLOOKUP(A71,Fore!A:A,Fore!AC:AC)</f>
        <v>CZ</v>
      </c>
      <c r="D71" s="4">
        <v>19</v>
      </c>
      <c r="E71" s="10">
        <f t="shared" si="20"/>
        <v>19</v>
      </c>
      <c r="F71" s="4">
        <v>10</v>
      </c>
      <c r="G71" s="10">
        <f t="shared" si="21"/>
        <v>19</v>
      </c>
      <c r="H71" s="4">
        <v>9</v>
      </c>
      <c r="I71" s="10">
        <f t="shared" si="22"/>
        <v>16.299999999999997</v>
      </c>
      <c r="J71" s="4">
        <v>6</v>
      </c>
      <c r="K71" s="10">
        <f t="shared" si="23"/>
        <v>14.109999999999996</v>
      </c>
      <c r="L71" s="4">
        <v>24.999999999999957</v>
      </c>
      <c r="M71" s="10">
        <f t="shared" si="24"/>
        <v>11.676999999999996</v>
      </c>
      <c r="N71" s="4">
        <v>207.99999999999994</v>
      </c>
      <c r="O71" s="10">
        <f t="shared" si="25"/>
        <v>21.003099999999968</v>
      </c>
      <c r="P71" s="4">
        <v>137.99999999999997</v>
      </c>
      <c r="Q71" s="10">
        <f t="shared" si="26"/>
        <v>77.102169999999958</v>
      </c>
      <c r="R71" s="4">
        <v>103</v>
      </c>
      <c r="S71" s="10">
        <f t="shared" si="27"/>
        <v>95.37151899999995</v>
      </c>
      <c r="T71" s="4">
        <v>102</v>
      </c>
      <c r="U71" s="10">
        <f t="shared" si="28"/>
        <v>97.660063299999962</v>
      </c>
      <c r="V71" s="4" t="s">
        <v>3057</v>
      </c>
      <c r="W71" s="10">
        <f t="shared" si="29"/>
        <v>98.962044309999968</v>
      </c>
      <c r="X71" s="4">
        <v>26</v>
      </c>
      <c r="Y71" s="10">
        <f t="shared" si="30"/>
        <v>69.273431016999979</v>
      </c>
      <c r="Z71" s="4">
        <v>18</v>
      </c>
      <c r="AA71" s="10">
        <f t="shared" si="31"/>
        <v>56.291401711899979</v>
      </c>
      <c r="AB71" s="4">
        <v>5</v>
      </c>
      <c r="AC71" s="10">
        <f t="shared" si="32"/>
        <v>44.803981198329978</v>
      </c>
      <c r="AD71" s="4">
        <v>2</v>
      </c>
      <c r="AE71" s="10">
        <f t="shared" si="33"/>
        <v>32.862786838830985</v>
      </c>
      <c r="AF71" s="4">
        <v>152</v>
      </c>
      <c r="AG71" s="10">
        <f t="shared" si="34"/>
        <v>23.603950787181688</v>
      </c>
      <c r="AH71" s="4">
        <v>2</v>
      </c>
      <c r="AI71" s="10">
        <f t="shared" si="35"/>
        <v>62.122765551027186</v>
      </c>
      <c r="AJ71" s="4">
        <v>6</v>
      </c>
      <c r="AK71" s="10">
        <f t="shared" si="36"/>
        <v>44.085935885719032</v>
      </c>
      <c r="AL71" s="4">
        <v>15</v>
      </c>
      <c r="AM71" s="10">
        <f t="shared" si="37"/>
        <v>32.660155120003317</v>
      </c>
      <c r="AN71" s="5">
        <f t="shared" si="38"/>
        <v>17.660155120003317</v>
      </c>
      <c r="AO71" s="6">
        <f t="shared" si="39"/>
        <v>1.1773436746668877</v>
      </c>
    </row>
    <row r="72" spans="1:41" x14ac:dyDescent="0.25">
      <c r="A72" t="s">
        <v>108</v>
      </c>
      <c r="B72" t="s">
        <v>2658</v>
      </c>
      <c r="C72" t="str">
        <f>_xlfn.XLOOKUP(A72,Fore!A:A,Fore!AC:AC)</f>
        <v>CZ</v>
      </c>
      <c r="D72" s="4">
        <v>19</v>
      </c>
      <c r="E72" s="10">
        <f t="shared" si="20"/>
        <v>19</v>
      </c>
      <c r="F72" s="4">
        <v>10</v>
      </c>
      <c r="G72" s="10">
        <f t="shared" si="21"/>
        <v>19</v>
      </c>
      <c r="H72" s="4">
        <v>9</v>
      </c>
      <c r="I72" s="10">
        <f t="shared" si="22"/>
        <v>16.299999999999997</v>
      </c>
      <c r="J72" s="4">
        <v>6</v>
      </c>
      <c r="K72" s="10">
        <f t="shared" si="23"/>
        <v>14.109999999999996</v>
      </c>
      <c r="L72" s="4">
        <v>24.999999999999957</v>
      </c>
      <c r="M72" s="10">
        <f t="shared" si="24"/>
        <v>11.676999999999996</v>
      </c>
      <c r="N72" s="4">
        <v>207.99999999999994</v>
      </c>
      <c r="O72" s="10">
        <f t="shared" si="25"/>
        <v>21.003099999999968</v>
      </c>
      <c r="P72" s="4">
        <v>137.99999999999997</v>
      </c>
      <c r="Q72" s="10">
        <f t="shared" si="26"/>
        <v>77.102169999999958</v>
      </c>
      <c r="R72" s="4">
        <v>103</v>
      </c>
      <c r="S72" s="10">
        <f t="shared" si="27"/>
        <v>95.37151899999995</v>
      </c>
      <c r="T72" s="4">
        <v>102</v>
      </c>
      <c r="U72" s="10">
        <f t="shared" si="28"/>
        <v>97.660063299999962</v>
      </c>
      <c r="V72" s="4" t="s">
        <v>3057</v>
      </c>
      <c r="W72" s="10">
        <f t="shared" si="29"/>
        <v>98.962044309999968</v>
      </c>
      <c r="X72" s="4">
        <v>26</v>
      </c>
      <c r="Y72" s="10">
        <f t="shared" si="30"/>
        <v>69.273431016999979</v>
      </c>
      <c r="Z72" s="4">
        <v>18</v>
      </c>
      <c r="AA72" s="10">
        <f t="shared" si="31"/>
        <v>56.291401711899979</v>
      </c>
      <c r="AB72" s="4">
        <v>5</v>
      </c>
      <c r="AC72" s="10">
        <f t="shared" si="32"/>
        <v>44.803981198329978</v>
      </c>
      <c r="AD72" s="4">
        <v>2</v>
      </c>
      <c r="AE72" s="10">
        <f t="shared" si="33"/>
        <v>32.862786838830985</v>
      </c>
      <c r="AF72" s="4">
        <v>152</v>
      </c>
      <c r="AG72" s="10">
        <f t="shared" si="34"/>
        <v>23.603950787181688</v>
      </c>
      <c r="AH72" s="4">
        <v>2</v>
      </c>
      <c r="AI72" s="10">
        <f t="shared" si="35"/>
        <v>62.122765551027186</v>
      </c>
      <c r="AJ72" s="4">
        <v>6</v>
      </c>
      <c r="AK72" s="10">
        <f t="shared" si="36"/>
        <v>44.085935885719032</v>
      </c>
      <c r="AL72" s="4">
        <v>15</v>
      </c>
      <c r="AM72" s="10">
        <f t="shared" si="37"/>
        <v>32.660155120003317</v>
      </c>
      <c r="AN72" s="5">
        <f t="shared" si="38"/>
        <v>17.660155120003317</v>
      </c>
      <c r="AO72" s="6">
        <f t="shared" si="39"/>
        <v>1.1773436746668877</v>
      </c>
    </row>
    <row r="73" spans="1:41" x14ac:dyDescent="0.25">
      <c r="A73" t="s">
        <v>108</v>
      </c>
      <c r="B73" t="s">
        <v>2659</v>
      </c>
      <c r="C73" t="str">
        <f>_xlfn.XLOOKUP(A73,Fore!A:A,Fore!AC:AC)</f>
        <v>CZ</v>
      </c>
      <c r="D73" s="4">
        <v>19</v>
      </c>
      <c r="E73" s="10">
        <f t="shared" si="20"/>
        <v>19</v>
      </c>
      <c r="F73" s="4">
        <v>10</v>
      </c>
      <c r="G73" s="10">
        <f t="shared" si="21"/>
        <v>19</v>
      </c>
      <c r="H73" s="4">
        <v>9</v>
      </c>
      <c r="I73" s="10">
        <f t="shared" si="22"/>
        <v>16.299999999999997</v>
      </c>
      <c r="J73" s="4">
        <v>6</v>
      </c>
      <c r="K73" s="10">
        <f t="shared" si="23"/>
        <v>14.109999999999996</v>
      </c>
      <c r="L73" s="4">
        <v>24.999999999999957</v>
      </c>
      <c r="M73" s="10">
        <f t="shared" si="24"/>
        <v>11.676999999999996</v>
      </c>
      <c r="N73" s="4">
        <v>207.99999999999994</v>
      </c>
      <c r="O73" s="10">
        <f t="shared" si="25"/>
        <v>21.003099999999968</v>
      </c>
      <c r="P73" s="4">
        <v>137.99999999999997</v>
      </c>
      <c r="Q73" s="10">
        <f t="shared" si="26"/>
        <v>77.102169999999958</v>
      </c>
      <c r="R73" s="4">
        <v>103</v>
      </c>
      <c r="S73" s="10">
        <f t="shared" si="27"/>
        <v>95.37151899999995</v>
      </c>
      <c r="T73" s="4">
        <v>102</v>
      </c>
      <c r="U73" s="10">
        <f t="shared" si="28"/>
        <v>97.660063299999962</v>
      </c>
      <c r="V73" s="4" t="s">
        <v>3057</v>
      </c>
      <c r="W73" s="10">
        <f t="shared" si="29"/>
        <v>98.962044309999968</v>
      </c>
      <c r="X73" s="4">
        <v>26</v>
      </c>
      <c r="Y73" s="10">
        <f t="shared" si="30"/>
        <v>69.273431016999979</v>
      </c>
      <c r="Z73" s="4">
        <v>18</v>
      </c>
      <c r="AA73" s="10">
        <f t="shared" si="31"/>
        <v>56.291401711899979</v>
      </c>
      <c r="AB73" s="4">
        <v>5</v>
      </c>
      <c r="AC73" s="10">
        <f t="shared" si="32"/>
        <v>44.803981198329978</v>
      </c>
      <c r="AD73" s="4">
        <v>2</v>
      </c>
      <c r="AE73" s="10">
        <f t="shared" si="33"/>
        <v>32.862786838830985</v>
      </c>
      <c r="AF73" s="4">
        <v>152</v>
      </c>
      <c r="AG73" s="10">
        <f t="shared" si="34"/>
        <v>23.603950787181688</v>
      </c>
      <c r="AH73" s="4">
        <v>2</v>
      </c>
      <c r="AI73" s="10">
        <f t="shared" si="35"/>
        <v>62.122765551027186</v>
      </c>
      <c r="AJ73" s="4">
        <v>6</v>
      </c>
      <c r="AK73" s="10">
        <f t="shared" si="36"/>
        <v>44.085935885719032</v>
      </c>
      <c r="AL73" s="4">
        <v>15</v>
      </c>
      <c r="AM73" s="10">
        <f t="shared" si="37"/>
        <v>32.660155120003317</v>
      </c>
      <c r="AN73" s="5">
        <f t="shared" si="38"/>
        <v>17.660155120003317</v>
      </c>
      <c r="AO73" s="6">
        <f t="shared" si="39"/>
        <v>1.1773436746668877</v>
      </c>
    </row>
    <row r="74" spans="1:41" x14ac:dyDescent="0.25">
      <c r="A74" t="s">
        <v>108</v>
      </c>
      <c r="B74" t="s">
        <v>2660</v>
      </c>
      <c r="C74" t="str">
        <f>_xlfn.XLOOKUP(A74,Fore!A:A,Fore!AC:AC)</f>
        <v>CZ</v>
      </c>
      <c r="D74" s="4">
        <v>19</v>
      </c>
      <c r="E74" s="10">
        <f t="shared" si="20"/>
        <v>19</v>
      </c>
      <c r="F74" s="4">
        <v>10</v>
      </c>
      <c r="G74" s="10">
        <f t="shared" si="21"/>
        <v>19</v>
      </c>
      <c r="H74" s="4">
        <v>9</v>
      </c>
      <c r="I74" s="10">
        <f t="shared" si="22"/>
        <v>16.299999999999997</v>
      </c>
      <c r="J74" s="4">
        <v>6</v>
      </c>
      <c r="K74" s="10">
        <f t="shared" si="23"/>
        <v>14.109999999999996</v>
      </c>
      <c r="L74" s="4">
        <v>24.999999999999957</v>
      </c>
      <c r="M74" s="10">
        <f t="shared" si="24"/>
        <v>11.676999999999996</v>
      </c>
      <c r="N74" s="4">
        <v>207.99999999999994</v>
      </c>
      <c r="O74" s="10">
        <f t="shared" si="25"/>
        <v>21.003099999999968</v>
      </c>
      <c r="P74" s="4">
        <v>137.99999999999997</v>
      </c>
      <c r="Q74" s="10">
        <f t="shared" si="26"/>
        <v>77.102169999999958</v>
      </c>
      <c r="R74" s="4">
        <v>103</v>
      </c>
      <c r="S74" s="10">
        <f t="shared" si="27"/>
        <v>95.37151899999995</v>
      </c>
      <c r="T74" s="4">
        <v>102</v>
      </c>
      <c r="U74" s="10">
        <f t="shared" si="28"/>
        <v>97.660063299999962</v>
      </c>
      <c r="V74" s="4" t="s">
        <v>3057</v>
      </c>
      <c r="W74" s="10">
        <f t="shared" si="29"/>
        <v>98.962044309999968</v>
      </c>
      <c r="X74" s="4">
        <v>26</v>
      </c>
      <c r="Y74" s="10">
        <f t="shared" si="30"/>
        <v>69.273431016999979</v>
      </c>
      <c r="Z74" s="4">
        <v>18</v>
      </c>
      <c r="AA74" s="10">
        <f t="shared" si="31"/>
        <v>56.291401711899979</v>
      </c>
      <c r="AB74" s="4">
        <v>5</v>
      </c>
      <c r="AC74" s="10">
        <f t="shared" si="32"/>
        <v>44.803981198329978</v>
      </c>
      <c r="AD74" s="4">
        <v>2</v>
      </c>
      <c r="AE74" s="10">
        <f t="shared" si="33"/>
        <v>32.862786838830985</v>
      </c>
      <c r="AF74" s="4">
        <v>152</v>
      </c>
      <c r="AG74" s="10">
        <f t="shared" si="34"/>
        <v>23.603950787181688</v>
      </c>
      <c r="AH74" s="4">
        <v>2</v>
      </c>
      <c r="AI74" s="10">
        <f t="shared" si="35"/>
        <v>62.122765551027186</v>
      </c>
      <c r="AJ74" s="4">
        <v>6</v>
      </c>
      <c r="AK74" s="10">
        <f t="shared" si="36"/>
        <v>44.085935885719032</v>
      </c>
      <c r="AL74" s="4">
        <v>15</v>
      </c>
      <c r="AM74" s="10">
        <f t="shared" si="37"/>
        <v>32.660155120003317</v>
      </c>
      <c r="AN74" s="5">
        <f t="shared" si="38"/>
        <v>17.660155120003317</v>
      </c>
      <c r="AO74" s="6">
        <f t="shared" si="39"/>
        <v>1.1773436746668877</v>
      </c>
    </row>
    <row r="75" spans="1:41" x14ac:dyDescent="0.25">
      <c r="A75" t="s">
        <v>108</v>
      </c>
      <c r="B75" t="s">
        <v>2661</v>
      </c>
      <c r="C75" t="str">
        <f>_xlfn.XLOOKUP(A75,Fore!A:A,Fore!AC:AC)</f>
        <v>CZ</v>
      </c>
      <c r="D75" s="4">
        <v>19</v>
      </c>
      <c r="E75" s="10">
        <f t="shared" si="20"/>
        <v>19</v>
      </c>
      <c r="F75" s="4">
        <v>10</v>
      </c>
      <c r="G75" s="10">
        <f t="shared" si="21"/>
        <v>19</v>
      </c>
      <c r="H75" s="4">
        <v>9</v>
      </c>
      <c r="I75" s="10">
        <f t="shared" si="22"/>
        <v>16.299999999999997</v>
      </c>
      <c r="J75" s="4">
        <v>6</v>
      </c>
      <c r="K75" s="10">
        <f t="shared" si="23"/>
        <v>14.109999999999996</v>
      </c>
      <c r="L75" s="4">
        <v>24.999999999999957</v>
      </c>
      <c r="M75" s="10">
        <f t="shared" si="24"/>
        <v>11.676999999999996</v>
      </c>
      <c r="N75" s="4">
        <v>207.99999999999994</v>
      </c>
      <c r="O75" s="10">
        <f t="shared" si="25"/>
        <v>21.003099999999968</v>
      </c>
      <c r="P75" s="4">
        <v>137.99999999999997</v>
      </c>
      <c r="Q75" s="10">
        <f t="shared" si="26"/>
        <v>77.102169999999958</v>
      </c>
      <c r="R75" s="4">
        <v>103</v>
      </c>
      <c r="S75" s="10">
        <f t="shared" si="27"/>
        <v>95.37151899999995</v>
      </c>
      <c r="T75" s="4">
        <v>102</v>
      </c>
      <c r="U75" s="10">
        <f t="shared" si="28"/>
        <v>97.660063299999962</v>
      </c>
      <c r="V75" s="4" t="s">
        <v>3057</v>
      </c>
      <c r="W75" s="10">
        <f t="shared" si="29"/>
        <v>98.962044309999968</v>
      </c>
      <c r="X75" s="4">
        <v>26</v>
      </c>
      <c r="Y75" s="10">
        <f t="shared" si="30"/>
        <v>69.273431016999979</v>
      </c>
      <c r="Z75" s="4">
        <v>18</v>
      </c>
      <c r="AA75" s="10">
        <f t="shared" si="31"/>
        <v>56.291401711899979</v>
      </c>
      <c r="AB75" s="4">
        <v>5</v>
      </c>
      <c r="AC75" s="10">
        <f t="shared" si="32"/>
        <v>44.803981198329978</v>
      </c>
      <c r="AD75" s="4">
        <v>2</v>
      </c>
      <c r="AE75" s="10">
        <f t="shared" si="33"/>
        <v>32.862786838830985</v>
      </c>
      <c r="AF75" s="4">
        <v>152</v>
      </c>
      <c r="AG75" s="10">
        <f t="shared" si="34"/>
        <v>23.603950787181688</v>
      </c>
      <c r="AH75" s="4">
        <v>2</v>
      </c>
      <c r="AI75" s="10">
        <f t="shared" si="35"/>
        <v>62.122765551027186</v>
      </c>
      <c r="AJ75" s="4">
        <v>6</v>
      </c>
      <c r="AK75" s="10">
        <f t="shared" si="36"/>
        <v>44.085935885719032</v>
      </c>
      <c r="AL75" s="4">
        <v>15</v>
      </c>
      <c r="AM75" s="10">
        <f t="shared" si="37"/>
        <v>32.660155120003317</v>
      </c>
      <c r="AN75" s="5">
        <f t="shared" si="38"/>
        <v>17.660155120003317</v>
      </c>
      <c r="AO75" s="6">
        <f t="shared" si="39"/>
        <v>1.1773436746668877</v>
      </c>
    </row>
    <row r="76" spans="1:41" x14ac:dyDescent="0.25">
      <c r="A76" t="s">
        <v>108</v>
      </c>
      <c r="B76" t="s">
        <v>2662</v>
      </c>
      <c r="C76" t="str">
        <f>_xlfn.XLOOKUP(A76,Fore!A:A,Fore!AC:AC)</f>
        <v>CZ</v>
      </c>
      <c r="D76" s="4">
        <v>19</v>
      </c>
      <c r="E76" s="10">
        <f t="shared" si="20"/>
        <v>19</v>
      </c>
      <c r="F76" s="4">
        <v>10</v>
      </c>
      <c r="G76" s="10">
        <f t="shared" si="21"/>
        <v>19</v>
      </c>
      <c r="H76" s="4">
        <v>9</v>
      </c>
      <c r="I76" s="10">
        <f t="shared" si="22"/>
        <v>16.299999999999997</v>
      </c>
      <c r="J76" s="4">
        <v>6</v>
      </c>
      <c r="K76" s="10">
        <f t="shared" si="23"/>
        <v>14.109999999999996</v>
      </c>
      <c r="L76" s="4">
        <v>24.999999999999957</v>
      </c>
      <c r="M76" s="10">
        <f t="shared" si="24"/>
        <v>11.676999999999996</v>
      </c>
      <c r="N76" s="4">
        <v>207.99999999999994</v>
      </c>
      <c r="O76" s="10">
        <f t="shared" si="25"/>
        <v>21.003099999999968</v>
      </c>
      <c r="P76" s="4">
        <v>137.99999999999997</v>
      </c>
      <c r="Q76" s="10">
        <f t="shared" si="26"/>
        <v>77.102169999999958</v>
      </c>
      <c r="R76" s="4">
        <v>103</v>
      </c>
      <c r="S76" s="10">
        <f t="shared" si="27"/>
        <v>95.37151899999995</v>
      </c>
      <c r="T76" s="4">
        <v>102</v>
      </c>
      <c r="U76" s="10">
        <f t="shared" si="28"/>
        <v>97.660063299999962</v>
      </c>
      <c r="V76" s="4" t="s">
        <v>3057</v>
      </c>
      <c r="W76" s="10">
        <f t="shared" si="29"/>
        <v>98.962044309999968</v>
      </c>
      <c r="X76" s="4">
        <v>26</v>
      </c>
      <c r="Y76" s="10">
        <f t="shared" si="30"/>
        <v>69.273431016999979</v>
      </c>
      <c r="Z76" s="4">
        <v>18</v>
      </c>
      <c r="AA76" s="10">
        <f t="shared" si="31"/>
        <v>56.291401711899979</v>
      </c>
      <c r="AB76" s="4">
        <v>5</v>
      </c>
      <c r="AC76" s="10">
        <f t="shared" si="32"/>
        <v>44.803981198329978</v>
      </c>
      <c r="AD76" s="4">
        <v>2</v>
      </c>
      <c r="AE76" s="10">
        <f t="shared" si="33"/>
        <v>32.862786838830985</v>
      </c>
      <c r="AF76" s="4">
        <v>152</v>
      </c>
      <c r="AG76" s="10">
        <f t="shared" si="34"/>
        <v>23.603950787181688</v>
      </c>
      <c r="AH76" s="4">
        <v>2</v>
      </c>
      <c r="AI76" s="10">
        <f t="shared" si="35"/>
        <v>62.122765551027186</v>
      </c>
      <c r="AJ76" s="4">
        <v>6</v>
      </c>
      <c r="AK76" s="10">
        <f t="shared" si="36"/>
        <v>44.085935885719032</v>
      </c>
      <c r="AL76" s="4">
        <v>15</v>
      </c>
      <c r="AM76" s="10">
        <f t="shared" si="37"/>
        <v>32.660155120003317</v>
      </c>
      <c r="AN76" s="5">
        <f t="shared" si="38"/>
        <v>17.660155120003317</v>
      </c>
      <c r="AO76" s="6">
        <f t="shared" si="39"/>
        <v>1.1773436746668877</v>
      </c>
    </row>
    <row r="77" spans="1:41" x14ac:dyDescent="0.25">
      <c r="A77" t="s">
        <v>108</v>
      </c>
      <c r="B77" t="s">
        <v>2663</v>
      </c>
      <c r="C77" t="str">
        <f>_xlfn.XLOOKUP(A77,Fore!A:A,Fore!AC:AC)</f>
        <v>CZ</v>
      </c>
      <c r="D77" s="4">
        <v>19</v>
      </c>
      <c r="E77" s="10">
        <f t="shared" si="20"/>
        <v>19</v>
      </c>
      <c r="F77" s="4">
        <v>10</v>
      </c>
      <c r="G77" s="10">
        <f t="shared" si="21"/>
        <v>19</v>
      </c>
      <c r="H77" s="4">
        <v>9</v>
      </c>
      <c r="I77" s="10">
        <f t="shared" si="22"/>
        <v>16.299999999999997</v>
      </c>
      <c r="J77" s="4">
        <v>6</v>
      </c>
      <c r="K77" s="10">
        <f t="shared" si="23"/>
        <v>14.109999999999996</v>
      </c>
      <c r="L77" s="4">
        <v>24.999999999999957</v>
      </c>
      <c r="M77" s="10">
        <f t="shared" si="24"/>
        <v>11.676999999999996</v>
      </c>
      <c r="N77" s="4">
        <v>207.99999999999994</v>
      </c>
      <c r="O77" s="10">
        <f t="shared" si="25"/>
        <v>21.003099999999968</v>
      </c>
      <c r="P77" s="4">
        <v>137.99999999999997</v>
      </c>
      <c r="Q77" s="10">
        <f t="shared" si="26"/>
        <v>77.102169999999958</v>
      </c>
      <c r="R77" s="4">
        <v>103</v>
      </c>
      <c r="S77" s="10">
        <f t="shared" si="27"/>
        <v>95.37151899999995</v>
      </c>
      <c r="T77" s="4">
        <v>102</v>
      </c>
      <c r="U77" s="10">
        <f t="shared" si="28"/>
        <v>97.660063299999962</v>
      </c>
      <c r="V77" s="4" t="s">
        <v>3057</v>
      </c>
      <c r="W77" s="10">
        <f t="shared" si="29"/>
        <v>98.962044309999968</v>
      </c>
      <c r="X77" s="4">
        <v>26</v>
      </c>
      <c r="Y77" s="10">
        <f t="shared" si="30"/>
        <v>69.273431016999979</v>
      </c>
      <c r="Z77" s="4">
        <v>18</v>
      </c>
      <c r="AA77" s="10">
        <f t="shared" si="31"/>
        <v>56.291401711899979</v>
      </c>
      <c r="AB77" s="4">
        <v>5</v>
      </c>
      <c r="AC77" s="10">
        <f t="shared" si="32"/>
        <v>44.803981198329978</v>
      </c>
      <c r="AD77" s="4">
        <v>2</v>
      </c>
      <c r="AE77" s="10">
        <f t="shared" si="33"/>
        <v>32.862786838830985</v>
      </c>
      <c r="AF77" s="4">
        <v>152</v>
      </c>
      <c r="AG77" s="10">
        <f t="shared" si="34"/>
        <v>23.603950787181688</v>
      </c>
      <c r="AH77" s="4">
        <v>2</v>
      </c>
      <c r="AI77" s="10">
        <f t="shared" si="35"/>
        <v>62.122765551027186</v>
      </c>
      <c r="AJ77" s="4">
        <v>6</v>
      </c>
      <c r="AK77" s="10">
        <f t="shared" si="36"/>
        <v>44.085935885719032</v>
      </c>
      <c r="AL77" s="4">
        <v>15</v>
      </c>
      <c r="AM77" s="10">
        <f t="shared" si="37"/>
        <v>32.660155120003317</v>
      </c>
      <c r="AN77" s="5">
        <f t="shared" si="38"/>
        <v>17.660155120003317</v>
      </c>
      <c r="AO77" s="6">
        <f t="shared" si="39"/>
        <v>1.1773436746668877</v>
      </c>
    </row>
    <row r="78" spans="1:41" x14ac:dyDescent="0.25">
      <c r="A78" t="s">
        <v>108</v>
      </c>
      <c r="B78" t="s">
        <v>2664</v>
      </c>
      <c r="C78" t="str">
        <f>_xlfn.XLOOKUP(A78,Fore!A:A,Fore!AC:AC)</f>
        <v>CZ</v>
      </c>
      <c r="D78" s="4">
        <v>19</v>
      </c>
      <c r="E78" s="10">
        <f t="shared" si="20"/>
        <v>19</v>
      </c>
      <c r="F78" s="4">
        <v>10</v>
      </c>
      <c r="G78" s="10">
        <f t="shared" si="21"/>
        <v>19</v>
      </c>
      <c r="H78" s="4">
        <v>9</v>
      </c>
      <c r="I78" s="10">
        <f t="shared" si="22"/>
        <v>16.299999999999997</v>
      </c>
      <c r="J78" s="4">
        <v>6</v>
      </c>
      <c r="K78" s="10">
        <f t="shared" si="23"/>
        <v>14.109999999999996</v>
      </c>
      <c r="L78" s="4">
        <v>24.999999999999957</v>
      </c>
      <c r="M78" s="10">
        <f t="shared" si="24"/>
        <v>11.676999999999996</v>
      </c>
      <c r="N78" s="4">
        <v>207.99999999999994</v>
      </c>
      <c r="O78" s="10">
        <f t="shared" si="25"/>
        <v>21.003099999999968</v>
      </c>
      <c r="P78" s="4">
        <v>137.99999999999997</v>
      </c>
      <c r="Q78" s="10">
        <f t="shared" si="26"/>
        <v>77.102169999999958</v>
      </c>
      <c r="R78" s="4">
        <v>103</v>
      </c>
      <c r="S78" s="10">
        <f t="shared" si="27"/>
        <v>95.37151899999995</v>
      </c>
      <c r="T78" s="4">
        <v>102</v>
      </c>
      <c r="U78" s="10">
        <f t="shared" si="28"/>
        <v>97.660063299999962</v>
      </c>
      <c r="V78" s="4" t="s">
        <v>3057</v>
      </c>
      <c r="W78" s="10">
        <f t="shared" si="29"/>
        <v>98.962044309999968</v>
      </c>
      <c r="X78" s="4">
        <v>26</v>
      </c>
      <c r="Y78" s="10">
        <f t="shared" si="30"/>
        <v>69.273431016999979</v>
      </c>
      <c r="Z78" s="4">
        <v>18</v>
      </c>
      <c r="AA78" s="10">
        <f t="shared" si="31"/>
        <v>56.291401711899979</v>
      </c>
      <c r="AB78" s="4">
        <v>5</v>
      </c>
      <c r="AC78" s="10">
        <f t="shared" si="32"/>
        <v>44.803981198329978</v>
      </c>
      <c r="AD78" s="4">
        <v>2</v>
      </c>
      <c r="AE78" s="10">
        <f t="shared" si="33"/>
        <v>32.862786838830985</v>
      </c>
      <c r="AF78" s="4">
        <v>152</v>
      </c>
      <c r="AG78" s="10">
        <f t="shared" si="34"/>
        <v>23.603950787181688</v>
      </c>
      <c r="AH78" s="4">
        <v>2</v>
      </c>
      <c r="AI78" s="10">
        <f t="shared" si="35"/>
        <v>62.122765551027186</v>
      </c>
      <c r="AJ78" s="4">
        <v>6</v>
      </c>
      <c r="AK78" s="10">
        <f t="shared" si="36"/>
        <v>44.085935885719032</v>
      </c>
      <c r="AL78" s="4">
        <v>15</v>
      </c>
      <c r="AM78" s="10">
        <f t="shared" si="37"/>
        <v>32.660155120003317</v>
      </c>
      <c r="AN78" s="5">
        <f t="shared" si="38"/>
        <v>17.660155120003317</v>
      </c>
      <c r="AO78" s="6">
        <f t="shared" si="39"/>
        <v>1.1773436746668877</v>
      </c>
    </row>
    <row r="79" spans="1:41" x14ac:dyDescent="0.25">
      <c r="A79" t="s">
        <v>108</v>
      </c>
      <c r="B79" t="s">
        <v>2665</v>
      </c>
      <c r="C79" t="str">
        <f>_xlfn.XLOOKUP(A79,Fore!A:A,Fore!AC:AC)</f>
        <v>CZ</v>
      </c>
      <c r="D79" s="4">
        <v>19</v>
      </c>
      <c r="E79" s="10">
        <f t="shared" si="20"/>
        <v>19</v>
      </c>
      <c r="F79" s="4">
        <v>10</v>
      </c>
      <c r="G79" s="10">
        <f t="shared" si="21"/>
        <v>19</v>
      </c>
      <c r="H79" s="4">
        <v>9</v>
      </c>
      <c r="I79" s="10">
        <f t="shared" si="22"/>
        <v>16.299999999999997</v>
      </c>
      <c r="J79" s="4">
        <v>6</v>
      </c>
      <c r="K79" s="10">
        <f t="shared" si="23"/>
        <v>14.109999999999996</v>
      </c>
      <c r="L79" s="4">
        <v>24.999999999999957</v>
      </c>
      <c r="M79" s="10">
        <f t="shared" si="24"/>
        <v>11.676999999999996</v>
      </c>
      <c r="N79" s="4">
        <v>207.99999999999994</v>
      </c>
      <c r="O79" s="10">
        <f t="shared" si="25"/>
        <v>21.003099999999968</v>
      </c>
      <c r="P79" s="4">
        <v>137.99999999999997</v>
      </c>
      <c r="Q79" s="10">
        <f t="shared" si="26"/>
        <v>77.102169999999958</v>
      </c>
      <c r="R79" s="4">
        <v>103</v>
      </c>
      <c r="S79" s="10">
        <f t="shared" si="27"/>
        <v>95.37151899999995</v>
      </c>
      <c r="T79" s="4">
        <v>102</v>
      </c>
      <c r="U79" s="10">
        <f t="shared" si="28"/>
        <v>97.660063299999962</v>
      </c>
      <c r="V79" s="4" t="s">
        <v>3057</v>
      </c>
      <c r="W79" s="10">
        <f t="shared" si="29"/>
        <v>98.962044309999968</v>
      </c>
      <c r="X79" s="4">
        <v>26</v>
      </c>
      <c r="Y79" s="10">
        <f t="shared" si="30"/>
        <v>69.273431016999979</v>
      </c>
      <c r="Z79" s="4">
        <v>18</v>
      </c>
      <c r="AA79" s="10">
        <f t="shared" si="31"/>
        <v>56.291401711899979</v>
      </c>
      <c r="AB79" s="4">
        <v>5</v>
      </c>
      <c r="AC79" s="10">
        <f t="shared" si="32"/>
        <v>44.803981198329978</v>
      </c>
      <c r="AD79" s="4">
        <v>2</v>
      </c>
      <c r="AE79" s="10">
        <f t="shared" si="33"/>
        <v>32.862786838830985</v>
      </c>
      <c r="AF79" s="4">
        <v>152</v>
      </c>
      <c r="AG79" s="10">
        <f t="shared" si="34"/>
        <v>23.603950787181688</v>
      </c>
      <c r="AH79" s="4">
        <v>2</v>
      </c>
      <c r="AI79" s="10">
        <f t="shared" si="35"/>
        <v>62.122765551027186</v>
      </c>
      <c r="AJ79" s="4">
        <v>6</v>
      </c>
      <c r="AK79" s="10">
        <f t="shared" si="36"/>
        <v>44.085935885719032</v>
      </c>
      <c r="AL79" s="4">
        <v>15</v>
      </c>
      <c r="AM79" s="10">
        <f t="shared" si="37"/>
        <v>32.660155120003317</v>
      </c>
      <c r="AN79" s="5">
        <f t="shared" si="38"/>
        <v>17.660155120003317</v>
      </c>
      <c r="AO79" s="6">
        <f t="shared" si="39"/>
        <v>1.1773436746668877</v>
      </c>
    </row>
    <row r="80" spans="1:41" x14ac:dyDescent="0.25">
      <c r="A80" t="s">
        <v>108</v>
      </c>
      <c r="B80" t="s">
        <v>2666</v>
      </c>
      <c r="C80" t="str">
        <f>_xlfn.XLOOKUP(A80,Fore!A:A,Fore!AC:AC)</f>
        <v>CZ</v>
      </c>
      <c r="D80" s="4">
        <v>19</v>
      </c>
      <c r="E80" s="10">
        <f t="shared" si="20"/>
        <v>19</v>
      </c>
      <c r="F80" s="4">
        <v>10</v>
      </c>
      <c r="G80" s="10">
        <f t="shared" si="21"/>
        <v>19</v>
      </c>
      <c r="H80" s="4">
        <v>9</v>
      </c>
      <c r="I80" s="10">
        <f t="shared" si="22"/>
        <v>16.299999999999997</v>
      </c>
      <c r="J80" s="4">
        <v>6</v>
      </c>
      <c r="K80" s="10">
        <f t="shared" si="23"/>
        <v>14.109999999999996</v>
      </c>
      <c r="L80" s="4">
        <v>24.999999999999957</v>
      </c>
      <c r="M80" s="10">
        <f t="shared" si="24"/>
        <v>11.676999999999996</v>
      </c>
      <c r="N80" s="4">
        <v>207.99999999999994</v>
      </c>
      <c r="O80" s="10">
        <f t="shared" si="25"/>
        <v>21.003099999999968</v>
      </c>
      <c r="P80" s="4">
        <v>137.99999999999997</v>
      </c>
      <c r="Q80" s="10">
        <f t="shared" si="26"/>
        <v>77.102169999999958</v>
      </c>
      <c r="R80" s="4">
        <v>103</v>
      </c>
      <c r="S80" s="10">
        <f t="shared" si="27"/>
        <v>95.37151899999995</v>
      </c>
      <c r="T80" s="4">
        <v>102</v>
      </c>
      <c r="U80" s="10">
        <f t="shared" si="28"/>
        <v>97.660063299999962</v>
      </c>
      <c r="V80" s="4" t="s">
        <v>3057</v>
      </c>
      <c r="W80" s="10">
        <f t="shared" si="29"/>
        <v>98.962044309999968</v>
      </c>
      <c r="X80" s="4">
        <v>26</v>
      </c>
      <c r="Y80" s="10">
        <f t="shared" si="30"/>
        <v>69.273431016999979</v>
      </c>
      <c r="Z80" s="4">
        <v>18</v>
      </c>
      <c r="AA80" s="10">
        <f t="shared" si="31"/>
        <v>56.291401711899979</v>
      </c>
      <c r="AB80" s="4">
        <v>5</v>
      </c>
      <c r="AC80" s="10">
        <f t="shared" si="32"/>
        <v>44.803981198329978</v>
      </c>
      <c r="AD80" s="4">
        <v>2</v>
      </c>
      <c r="AE80" s="10">
        <f t="shared" si="33"/>
        <v>32.862786838830985</v>
      </c>
      <c r="AF80" s="4">
        <v>152</v>
      </c>
      <c r="AG80" s="10">
        <f t="shared" si="34"/>
        <v>23.603950787181688</v>
      </c>
      <c r="AH80" s="4">
        <v>2</v>
      </c>
      <c r="AI80" s="10">
        <f t="shared" si="35"/>
        <v>62.122765551027186</v>
      </c>
      <c r="AJ80" s="4">
        <v>6</v>
      </c>
      <c r="AK80" s="10">
        <f t="shared" si="36"/>
        <v>44.085935885719032</v>
      </c>
      <c r="AL80" s="4">
        <v>15</v>
      </c>
      <c r="AM80" s="10">
        <f t="shared" si="37"/>
        <v>32.660155120003317</v>
      </c>
      <c r="AN80" s="5">
        <f t="shared" si="38"/>
        <v>17.660155120003317</v>
      </c>
      <c r="AO80" s="6">
        <f t="shared" si="39"/>
        <v>1.1773436746668877</v>
      </c>
    </row>
    <row r="81" spans="1:41" x14ac:dyDescent="0.25">
      <c r="A81" t="s">
        <v>108</v>
      </c>
      <c r="B81" t="s">
        <v>2667</v>
      </c>
      <c r="C81" t="str">
        <f>_xlfn.XLOOKUP(A81,Fore!A:A,Fore!AC:AC)</f>
        <v>CZ</v>
      </c>
      <c r="D81" s="4">
        <v>19</v>
      </c>
      <c r="E81" s="10">
        <f t="shared" si="20"/>
        <v>19</v>
      </c>
      <c r="F81" s="4">
        <v>10</v>
      </c>
      <c r="G81" s="10">
        <f t="shared" si="21"/>
        <v>19</v>
      </c>
      <c r="H81" s="4">
        <v>9</v>
      </c>
      <c r="I81" s="10">
        <f t="shared" si="22"/>
        <v>16.299999999999997</v>
      </c>
      <c r="J81" s="4">
        <v>6</v>
      </c>
      <c r="K81" s="10">
        <f t="shared" si="23"/>
        <v>14.109999999999996</v>
      </c>
      <c r="L81" s="4">
        <v>24.999999999999957</v>
      </c>
      <c r="M81" s="10">
        <f t="shared" si="24"/>
        <v>11.676999999999996</v>
      </c>
      <c r="N81" s="4">
        <v>207.99999999999994</v>
      </c>
      <c r="O81" s="10">
        <f t="shared" si="25"/>
        <v>21.003099999999968</v>
      </c>
      <c r="P81" s="4">
        <v>137.99999999999997</v>
      </c>
      <c r="Q81" s="10">
        <f t="shared" si="26"/>
        <v>77.102169999999958</v>
      </c>
      <c r="R81" s="4">
        <v>103</v>
      </c>
      <c r="S81" s="10">
        <f t="shared" si="27"/>
        <v>95.37151899999995</v>
      </c>
      <c r="T81" s="4">
        <v>102</v>
      </c>
      <c r="U81" s="10">
        <f t="shared" si="28"/>
        <v>97.660063299999962</v>
      </c>
      <c r="V81" s="4" t="s">
        <v>3057</v>
      </c>
      <c r="W81" s="10">
        <f t="shared" si="29"/>
        <v>98.962044309999968</v>
      </c>
      <c r="X81" s="4">
        <v>26</v>
      </c>
      <c r="Y81" s="10">
        <f t="shared" si="30"/>
        <v>69.273431016999979</v>
      </c>
      <c r="Z81" s="4">
        <v>18</v>
      </c>
      <c r="AA81" s="10">
        <f t="shared" si="31"/>
        <v>56.291401711899979</v>
      </c>
      <c r="AB81" s="4">
        <v>5</v>
      </c>
      <c r="AC81" s="10">
        <f t="shared" si="32"/>
        <v>44.803981198329978</v>
      </c>
      <c r="AD81" s="4">
        <v>2</v>
      </c>
      <c r="AE81" s="10">
        <f t="shared" si="33"/>
        <v>32.862786838830985</v>
      </c>
      <c r="AF81" s="4">
        <v>152</v>
      </c>
      <c r="AG81" s="10">
        <f t="shared" si="34"/>
        <v>23.603950787181688</v>
      </c>
      <c r="AH81" s="4">
        <v>2</v>
      </c>
      <c r="AI81" s="10">
        <f t="shared" si="35"/>
        <v>62.122765551027186</v>
      </c>
      <c r="AJ81" s="4">
        <v>6</v>
      </c>
      <c r="AK81" s="10">
        <f t="shared" si="36"/>
        <v>44.085935885719032</v>
      </c>
      <c r="AL81" s="4">
        <v>15</v>
      </c>
      <c r="AM81" s="10">
        <f t="shared" si="37"/>
        <v>32.660155120003317</v>
      </c>
      <c r="AN81" s="5">
        <f t="shared" si="38"/>
        <v>17.660155120003317</v>
      </c>
      <c r="AO81" s="6">
        <f t="shared" si="39"/>
        <v>1.1773436746668877</v>
      </c>
    </row>
    <row r="82" spans="1:41" x14ac:dyDescent="0.25">
      <c r="A82" t="s">
        <v>108</v>
      </c>
      <c r="B82" t="s">
        <v>2668</v>
      </c>
      <c r="C82" t="str">
        <f>_xlfn.XLOOKUP(A82,Fore!A:A,Fore!AC:AC)</f>
        <v>CZ</v>
      </c>
      <c r="D82" s="4">
        <v>19</v>
      </c>
      <c r="E82" s="10">
        <f t="shared" si="20"/>
        <v>19</v>
      </c>
      <c r="F82" s="4">
        <v>10</v>
      </c>
      <c r="G82" s="10">
        <f t="shared" si="21"/>
        <v>19</v>
      </c>
      <c r="H82" s="4">
        <v>9</v>
      </c>
      <c r="I82" s="10">
        <f t="shared" si="22"/>
        <v>16.299999999999997</v>
      </c>
      <c r="J82" s="4">
        <v>6</v>
      </c>
      <c r="K82" s="10">
        <f t="shared" si="23"/>
        <v>14.109999999999996</v>
      </c>
      <c r="L82" s="4">
        <v>24.999999999999957</v>
      </c>
      <c r="M82" s="10">
        <f t="shared" si="24"/>
        <v>11.676999999999996</v>
      </c>
      <c r="N82" s="4">
        <v>207.99999999999994</v>
      </c>
      <c r="O82" s="10">
        <f t="shared" si="25"/>
        <v>21.003099999999968</v>
      </c>
      <c r="P82" s="4">
        <v>137.99999999999997</v>
      </c>
      <c r="Q82" s="10">
        <f t="shared" si="26"/>
        <v>77.102169999999958</v>
      </c>
      <c r="R82" s="4">
        <v>103</v>
      </c>
      <c r="S82" s="10">
        <f t="shared" si="27"/>
        <v>95.37151899999995</v>
      </c>
      <c r="T82" s="4">
        <v>102</v>
      </c>
      <c r="U82" s="10">
        <f t="shared" si="28"/>
        <v>97.660063299999962</v>
      </c>
      <c r="V82" s="4" t="s">
        <v>3057</v>
      </c>
      <c r="W82" s="10">
        <f t="shared" si="29"/>
        <v>98.962044309999968</v>
      </c>
      <c r="X82" s="4">
        <v>26</v>
      </c>
      <c r="Y82" s="10">
        <f t="shared" si="30"/>
        <v>69.273431016999979</v>
      </c>
      <c r="Z82" s="4">
        <v>18</v>
      </c>
      <c r="AA82" s="10">
        <f t="shared" si="31"/>
        <v>56.291401711899979</v>
      </c>
      <c r="AB82" s="4">
        <v>5</v>
      </c>
      <c r="AC82" s="10">
        <f t="shared" si="32"/>
        <v>44.803981198329978</v>
      </c>
      <c r="AD82" s="4">
        <v>2</v>
      </c>
      <c r="AE82" s="10">
        <f t="shared" si="33"/>
        <v>32.862786838830985</v>
      </c>
      <c r="AF82" s="4">
        <v>152</v>
      </c>
      <c r="AG82" s="10">
        <f t="shared" si="34"/>
        <v>23.603950787181688</v>
      </c>
      <c r="AH82" s="4">
        <v>2</v>
      </c>
      <c r="AI82" s="10">
        <f t="shared" si="35"/>
        <v>62.122765551027186</v>
      </c>
      <c r="AJ82" s="4">
        <v>6</v>
      </c>
      <c r="AK82" s="10">
        <f t="shared" si="36"/>
        <v>44.085935885719032</v>
      </c>
      <c r="AL82" s="4">
        <v>15</v>
      </c>
      <c r="AM82" s="10">
        <f t="shared" si="37"/>
        <v>32.660155120003317</v>
      </c>
      <c r="AN82" s="5">
        <f t="shared" si="38"/>
        <v>17.660155120003317</v>
      </c>
      <c r="AO82" s="6">
        <f t="shared" si="39"/>
        <v>1.1773436746668877</v>
      </c>
    </row>
    <row r="83" spans="1:41" x14ac:dyDescent="0.25">
      <c r="A83" t="s">
        <v>2257</v>
      </c>
      <c r="B83" t="s">
        <v>2557</v>
      </c>
      <c r="C83" t="str">
        <f>_xlfn.XLOOKUP(A83,Fore!A:A,Fore!AC:AC)</f>
        <v>CY</v>
      </c>
      <c r="D83" s="4" t="s">
        <v>3057</v>
      </c>
      <c r="E83" s="10" t="str">
        <f t="shared" si="20"/>
        <v>0</v>
      </c>
      <c r="F83" s="4" t="s">
        <v>3057</v>
      </c>
      <c r="G83" s="10">
        <f t="shared" si="21"/>
        <v>0</v>
      </c>
      <c r="H83" s="4" t="s">
        <v>3057</v>
      </c>
      <c r="I83" s="10">
        <f t="shared" si="22"/>
        <v>0</v>
      </c>
      <c r="J83" s="4" t="s">
        <v>3057</v>
      </c>
      <c r="K83" s="10">
        <f t="shared" si="23"/>
        <v>0</v>
      </c>
      <c r="L83" s="4" t="s">
        <v>3057</v>
      </c>
      <c r="M83" s="10">
        <f t="shared" si="24"/>
        <v>0</v>
      </c>
      <c r="N83" s="4" t="s">
        <v>3057</v>
      </c>
      <c r="O83" s="10">
        <f t="shared" si="25"/>
        <v>0</v>
      </c>
      <c r="P83" s="4" t="s">
        <v>3057</v>
      </c>
      <c r="Q83" s="10">
        <f t="shared" si="26"/>
        <v>0</v>
      </c>
      <c r="R83" s="4" t="s">
        <v>3057</v>
      </c>
      <c r="S83" s="10">
        <f t="shared" si="27"/>
        <v>0</v>
      </c>
      <c r="T83" s="4" t="s">
        <v>3057</v>
      </c>
      <c r="U83" s="10">
        <f t="shared" si="28"/>
        <v>0</v>
      </c>
      <c r="V83" s="4" t="s">
        <v>3057</v>
      </c>
      <c r="W83" s="10">
        <f t="shared" si="29"/>
        <v>0</v>
      </c>
      <c r="X83" s="4">
        <v>0</v>
      </c>
      <c r="Y83" s="10">
        <f t="shared" si="30"/>
        <v>0</v>
      </c>
      <c r="Z83" s="4" t="s">
        <v>3057</v>
      </c>
      <c r="AA83" s="10">
        <f t="shared" si="31"/>
        <v>0</v>
      </c>
      <c r="AB83" s="4" t="s">
        <v>3057</v>
      </c>
      <c r="AC83" s="10">
        <f t="shared" si="32"/>
        <v>0</v>
      </c>
      <c r="AD83" s="4" t="s">
        <v>3057</v>
      </c>
      <c r="AE83" s="10">
        <f t="shared" si="33"/>
        <v>0</v>
      </c>
      <c r="AF83" s="4" t="s">
        <v>3057</v>
      </c>
      <c r="AG83" s="10">
        <f t="shared" si="34"/>
        <v>0</v>
      </c>
      <c r="AH83" s="4">
        <v>140</v>
      </c>
      <c r="AI83" s="10">
        <f t="shared" si="35"/>
        <v>0</v>
      </c>
      <c r="AJ83" s="4">
        <v>560</v>
      </c>
      <c r="AK83" s="10">
        <f t="shared" si="36"/>
        <v>42</v>
      </c>
      <c r="AL83" s="4">
        <v>140</v>
      </c>
      <c r="AM83" s="10">
        <f t="shared" si="37"/>
        <v>197.4</v>
      </c>
      <c r="AN83" s="5">
        <f t="shared" si="38"/>
        <v>57.400000000000006</v>
      </c>
      <c r="AO83" s="6">
        <f t="shared" si="39"/>
        <v>0.41000000000000003</v>
      </c>
    </row>
    <row r="84" spans="1:41" x14ac:dyDescent="0.25">
      <c r="A84" t="s">
        <v>1360</v>
      </c>
      <c r="B84" t="s">
        <v>2907</v>
      </c>
      <c r="C84" t="str">
        <f>_xlfn.XLOOKUP(A84,Fore!A:A,Fore!AC:AC)</f>
        <v>CY</v>
      </c>
      <c r="D84" s="4" t="s">
        <v>3057</v>
      </c>
      <c r="E84" s="10" t="str">
        <f t="shared" si="20"/>
        <v>0</v>
      </c>
      <c r="F84" s="4" t="s">
        <v>3057</v>
      </c>
      <c r="G84" s="10">
        <f t="shared" si="21"/>
        <v>0</v>
      </c>
      <c r="H84" s="4" t="s">
        <v>3057</v>
      </c>
      <c r="I84" s="10">
        <f t="shared" si="22"/>
        <v>0</v>
      </c>
      <c r="J84" s="4" t="s">
        <v>3057</v>
      </c>
      <c r="K84" s="10">
        <f t="shared" si="23"/>
        <v>0</v>
      </c>
      <c r="L84" s="4">
        <v>100</v>
      </c>
      <c r="M84" s="10">
        <f t="shared" si="24"/>
        <v>0</v>
      </c>
      <c r="N84" s="4">
        <v>250</v>
      </c>
      <c r="O84" s="10">
        <f t="shared" si="25"/>
        <v>70</v>
      </c>
      <c r="P84" s="4" t="s">
        <v>3057</v>
      </c>
      <c r="Q84" s="10">
        <f t="shared" si="26"/>
        <v>124</v>
      </c>
      <c r="R84" s="4">
        <v>375</v>
      </c>
      <c r="S84" s="10">
        <f t="shared" si="27"/>
        <v>86.8</v>
      </c>
      <c r="T84" s="4" t="s">
        <v>3057</v>
      </c>
      <c r="U84" s="10">
        <f t="shared" si="28"/>
        <v>173.26</v>
      </c>
      <c r="V84" s="4" t="s">
        <v>3057</v>
      </c>
      <c r="W84" s="10">
        <f t="shared" si="29"/>
        <v>121.28199999999998</v>
      </c>
      <c r="X84" s="4">
        <v>0</v>
      </c>
      <c r="Y84" s="10">
        <f t="shared" si="30"/>
        <v>84.897399999999976</v>
      </c>
      <c r="Z84" s="4" t="s">
        <v>3057</v>
      </c>
      <c r="AA84" s="10">
        <f t="shared" si="31"/>
        <v>59.428179999999976</v>
      </c>
      <c r="AB84" s="4" t="s">
        <v>3057</v>
      </c>
      <c r="AC84" s="10">
        <f t="shared" si="32"/>
        <v>41.599725999999983</v>
      </c>
      <c r="AD84" s="4" t="s">
        <v>3057</v>
      </c>
      <c r="AE84" s="10">
        <f t="shared" si="33"/>
        <v>29.119808199999987</v>
      </c>
      <c r="AF84" s="4" t="s">
        <v>3057</v>
      </c>
      <c r="AG84" s="10">
        <f t="shared" si="34"/>
        <v>20.38386573999999</v>
      </c>
      <c r="AH84" s="4" t="s">
        <v>3057</v>
      </c>
      <c r="AI84" s="10">
        <f t="shared" si="35"/>
        <v>14.268706017999992</v>
      </c>
      <c r="AJ84" s="4" t="s">
        <v>3057</v>
      </c>
      <c r="AK84" s="10">
        <f t="shared" si="36"/>
        <v>9.9880942125999947</v>
      </c>
      <c r="AL84" s="4" t="s">
        <v>3057</v>
      </c>
      <c r="AM84" s="10">
        <f t="shared" si="37"/>
        <v>6.9916659488199961</v>
      </c>
      <c r="AN84" s="5">
        <f t="shared" si="38"/>
        <v>6.9916659488199961</v>
      </c>
      <c r="AO84" s="6" t="str">
        <f t="shared" si="39"/>
        <v>0</v>
      </c>
    </row>
    <row r="85" spans="1:41" x14ac:dyDescent="0.25">
      <c r="A85" t="s">
        <v>1362</v>
      </c>
      <c r="B85" t="s">
        <v>2571</v>
      </c>
      <c r="C85" t="str">
        <f>_xlfn.XLOOKUP(A85,Fore!A:A,Fore!AC:AC)</f>
        <v>CZ</v>
      </c>
      <c r="D85" s="4" t="s">
        <v>3057</v>
      </c>
      <c r="E85" s="10" t="str">
        <f t="shared" si="20"/>
        <v>0</v>
      </c>
      <c r="F85" s="4" t="s">
        <v>3057</v>
      </c>
      <c r="G85" s="10">
        <f t="shared" si="21"/>
        <v>0</v>
      </c>
      <c r="H85" s="4" t="s">
        <v>3057</v>
      </c>
      <c r="I85" s="10">
        <f t="shared" si="22"/>
        <v>0</v>
      </c>
      <c r="J85" s="4" t="s">
        <v>3057</v>
      </c>
      <c r="K85" s="10">
        <f t="shared" si="23"/>
        <v>0</v>
      </c>
      <c r="L85" s="4">
        <v>20</v>
      </c>
      <c r="M85" s="10">
        <f t="shared" si="24"/>
        <v>0</v>
      </c>
      <c r="N85" s="4" t="s">
        <v>3057</v>
      </c>
      <c r="O85" s="10">
        <f t="shared" si="25"/>
        <v>14</v>
      </c>
      <c r="P85" s="4" t="s">
        <v>3057</v>
      </c>
      <c r="Q85" s="10">
        <f t="shared" si="26"/>
        <v>9.7999999999999989</v>
      </c>
      <c r="R85" s="4" t="s">
        <v>3057</v>
      </c>
      <c r="S85" s="10">
        <f t="shared" si="27"/>
        <v>6.8599999999999985</v>
      </c>
      <c r="T85" s="4">
        <v>200</v>
      </c>
      <c r="U85" s="10">
        <f t="shared" si="28"/>
        <v>4.8019999999999987</v>
      </c>
      <c r="V85" s="4" t="s">
        <v>3057</v>
      </c>
      <c r="W85" s="10">
        <f t="shared" si="29"/>
        <v>63.361399999999996</v>
      </c>
      <c r="X85" s="4">
        <v>0</v>
      </c>
      <c r="Y85" s="10">
        <f t="shared" si="30"/>
        <v>44.352979999999995</v>
      </c>
      <c r="Z85" s="4" t="s">
        <v>3057</v>
      </c>
      <c r="AA85" s="10">
        <f t="shared" si="31"/>
        <v>31.047085999999993</v>
      </c>
      <c r="AB85" s="4" t="s">
        <v>3057</v>
      </c>
      <c r="AC85" s="10">
        <f t="shared" si="32"/>
        <v>21.732960199999994</v>
      </c>
      <c r="AD85" s="4" t="s">
        <v>3057</v>
      </c>
      <c r="AE85" s="10">
        <f t="shared" si="33"/>
        <v>15.213072139999994</v>
      </c>
      <c r="AF85" s="4" t="s">
        <v>3057</v>
      </c>
      <c r="AG85" s="10">
        <f t="shared" si="34"/>
        <v>10.649150497999996</v>
      </c>
      <c r="AH85" s="4" t="s">
        <v>3057</v>
      </c>
      <c r="AI85" s="10">
        <f t="shared" si="35"/>
        <v>7.4544053485999964</v>
      </c>
      <c r="AJ85" s="4">
        <v>500</v>
      </c>
      <c r="AK85" s="10">
        <f t="shared" si="36"/>
        <v>5.2180837440199968</v>
      </c>
      <c r="AL85" s="4" t="s">
        <v>3057</v>
      </c>
      <c r="AM85" s="10">
        <f t="shared" si="37"/>
        <v>153.65265862081401</v>
      </c>
      <c r="AN85" s="5">
        <f t="shared" si="38"/>
        <v>153.65265862081401</v>
      </c>
      <c r="AO85" s="6" t="str">
        <f t="shared" si="39"/>
        <v>0</v>
      </c>
    </row>
    <row r="86" spans="1:41" x14ac:dyDescent="0.25">
      <c r="A86" t="s">
        <v>589</v>
      </c>
      <c r="B86" t="s">
        <v>2613</v>
      </c>
      <c r="C86" t="str">
        <f>_xlfn.XLOOKUP(A86,Fore!A:A,Fore!AC:AC)</f>
        <v>CY</v>
      </c>
      <c r="D86" s="4" t="s">
        <v>3057</v>
      </c>
      <c r="E86" s="10" t="str">
        <f t="shared" si="20"/>
        <v>0</v>
      </c>
      <c r="F86" s="4" t="s">
        <v>3057</v>
      </c>
      <c r="G86" s="10">
        <f t="shared" si="21"/>
        <v>0</v>
      </c>
      <c r="H86" s="4" t="s">
        <v>3057</v>
      </c>
      <c r="I86" s="10">
        <f t="shared" si="22"/>
        <v>0</v>
      </c>
      <c r="J86" s="4" t="s">
        <v>3057</v>
      </c>
      <c r="K86" s="10">
        <f t="shared" si="23"/>
        <v>0</v>
      </c>
      <c r="L86" s="4">
        <v>121.5</v>
      </c>
      <c r="M86" s="10">
        <f t="shared" si="24"/>
        <v>0</v>
      </c>
      <c r="N86" s="4">
        <v>59</v>
      </c>
      <c r="O86" s="10">
        <f t="shared" si="25"/>
        <v>85.05</v>
      </c>
      <c r="P86" s="4">
        <v>15.000000000000002</v>
      </c>
      <c r="Q86" s="10">
        <f t="shared" si="26"/>
        <v>77.234999999999999</v>
      </c>
      <c r="R86" s="4">
        <v>90</v>
      </c>
      <c r="S86" s="10">
        <f t="shared" si="27"/>
        <v>58.564499999999995</v>
      </c>
      <c r="T86" s="4">
        <v>60</v>
      </c>
      <c r="U86" s="10">
        <f t="shared" si="28"/>
        <v>67.995149999999995</v>
      </c>
      <c r="V86" s="4" t="s">
        <v>3057</v>
      </c>
      <c r="W86" s="10">
        <f t="shared" si="29"/>
        <v>65.596604999999997</v>
      </c>
      <c r="X86" s="4">
        <v>120</v>
      </c>
      <c r="Y86" s="10">
        <f t="shared" si="30"/>
        <v>45.917623499999998</v>
      </c>
      <c r="Z86" s="4">
        <v>5</v>
      </c>
      <c r="AA86" s="10">
        <f t="shared" si="31"/>
        <v>68.142336449999988</v>
      </c>
      <c r="AB86" s="4" t="s">
        <v>3057</v>
      </c>
      <c r="AC86" s="10">
        <f t="shared" si="32"/>
        <v>49.19963551499999</v>
      </c>
      <c r="AD86" s="4">
        <v>70.999999999999986</v>
      </c>
      <c r="AE86" s="10">
        <f t="shared" si="33"/>
        <v>34.439744860499992</v>
      </c>
      <c r="AF86" s="4">
        <v>59</v>
      </c>
      <c r="AG86" s="10">
        <f t="shared" si="34"/>
        <v>45.407821402349988</v>
      </c>
      <c r="AH86" s="4" t="s">
        <v>3057</v>
      </c>
      <c r="AI86" s="10">
        <f t="shared" si="35"/>
        <v>49.485474981644984</v>
      </c>
      <c r="AJ86" s="4">
        <v>60</v>
      </c>
      <c r="AK86" s="10">
        <f t="shared" si="36"/>
        <v>34.639832487151487</v>
      </c>
      <c r="AL86" s="4">
        <v>4</v>
      </c>
      <c r="AM86" s="10">
        <f t="shared" si="37"/>
        <v>42.247882741006038</v>
      </c>
      <c r="AN86" s="5">
        <f t="shared" si="38"/>
        <v>38.247882741006038</v>
      </c>
      <c r="AO86" s="6">
        <f t="shared" si="39"/>
        <v>9.5619706852515094</v>
      </c>
    </row>
    <row r="87" spans="1:41" x14ac:dyDescent="0.25">
      <c r="A87" t="s">
        <v>1704</v>
      </c>
      <c r="B87" t="s">
        <v>2884</v>
      </c>
      <c r="C87" t="str">
        <f>_xlfn.XLOOKUP(A87,Fore!A:A,Fore!AC:AC)</f>
        <v>CY</v>
      </c>
      <c r="D87" s="4" t="s">
        <v>3057</v>
      </c>
      <c r="E87" s="10" t="str">
        <f t="shared" si="20"/>
        <v>0</v>
      </c>
      <c r="F87" s="4" t="s">
        <v>3057</v>
      </c>
      <c r="G87" s="10">
        <f t="shared" si="21"/>
        <v>0</v>
      </c>
      <c r="H87" s="4" t="s">
        <v>3057</v>
      </c>
      <c r="I87" s="10">
        <f t="shared" si="22"/>
        <v>0</v>
      </c>
      <c r="J87" s="4" t="s">
        <v>3057</v>
      </c>
      <c r="K87" s="10">
        <f t="shared" si="23"/>
        <v>0</v>
      </c>
      <c r="L87" s="4" t="s">
        <v>3057</v>
      </c>
      <c r="M87" s="10">
        <f t="shared" si="24"/>
        <v>0</v>
      </c>
      <c r="N87" s="4" t="s">
        <v>3057</v>
      </c>
      <c r="O87" s="10">
        <f t="shared" si="25"/>
        <v>0</v>
      </c>
      <c r="P87" s="4" t="s">
        <v>3057</v>
      </c>
      <c r="Q87" s="10">
        <f t="shared" si="26"/>
        <v>0</v>
      </c>
      <c r="R87" s="4">
        <v>444</v>
      </c>
      <c r="S87" s="10">
        <f t="shared" si="27"/>
        <v>0</v>
      </c>
      <c r="T87" s="4" t="s">
        <v>3057</v>
      </c>
      <c r="U87" s="10">
        <f t="shared" si="28"/>
        <v>133.19999999999999</v>
      </c>
      <c r="V87" s="4" t="s">
        <v>3057</v>
      </c>
      <c r="W87" s="10">
        <f t="shared" si="29"/>
        <v>93.239999999999981</v>
      </c>
      <c r="X87" s="4">
        <v>0</v>
      </c>
      <c r="Y87" s="10">
        <f t="shared" si="30"/>
        <v>65.267999999999986</v>
      </c>
      <c r="Z87" s="4" t="s">
        <v>3057</v>
      </c>
      <c r="AA87" s="10">
        <f t="shared" si="31"/>
        <v>45.687599999999989</v>
      </c>
      <c r="AB87" s="4" t="s">
        <v>3057</v>
      </c>
      <c r="AC87" s="10">
        <f t="shared" si="32"/>
        <v>31.98131999999999</v>
      </c>
      <c r="AD87" s="4" t="s">
        <v>3057</v>
      </c>
      <c r="AE87" s="10">
        <f t="shared" si="33"/>
        <v>22.38692399999999</v>
      </c>
      <c r="AF87" s="4">
        <v>200</v>
      </c>
      <c r="AG87" s="10">
        <f t="shared" si="34"/>
        <v>15.670846799999993</v>
      </c>
      <c r="AH87" s="4" t="s">
        <v>3057</v>
      </c>
      <c r="AI87" s="10">
        <f t="shared" si="35"/>
        <v>70.969592759999998</v>
      </c>
      <c r="AJ87" s="4" t="s">
        <v>3057</v>
      </c>
      <c r="AK87" s="10">
        <f t="shared" si="36"/>
        <v>49.678714931999998</v>
      </c>
      <c r="AL87" s="4" t="s">
        <v>3057</v>
      </c>
      <c r="AM87" s="10">
        <f t="shared" si="37"/>
        <v>34.775100452399997</v>
      </c>
      <c r="AN87" s="5">
        <f t="shared" si="38"/>
        <v>34.775100452399997</v>
      </c>
      <c r="AO87" s="6" t="str">
        <f t="shared" si="39"/>
        <v>0</v>
      </c>
    </row>
    <row r="88" spans="1:41" x14ac:dyDescent="0.25">
      <c r="A88" t="s">
        <v>1528</v>
      </c>
      <c r="B88" t="s">
        <v>2595</v>
      </c>
      <c r="C88" t="str">
        <f>_xlfn.XLOOKUP(A88,Fore!A:A,Fore!AC:AC)</f>
        <v>CY</v>
      </c>
      <c r="D88" s="4" t="s">
        <v>3057</v>
      </c>
      <c r="E88" s="10" t="str">
        <f t="shared" si="20"/>
        <v>0</v>
      </c>
      <c r="F88" s="4" t="s">
        <v>3057</v>
      </c>
      <c r="G88" s="10">
        <f t="shared" si="21"/>
        <v>0</v>
      </c>
      <c r="H88" s="4" t="s">
        <v>3057</v>
      </c>
      <c r="I88" s="10">
        <f t="shared" si="22"/>
        <v>0</v>
      </c>
      <c r="J88" s="4" t="s">
        <v>3057</v>
      </c>
      <c r="K88" s="10">
        <f t="shared" si="23"/>
        <v>0</v>
      </c>
      <c r="L88" s="4" t="s">
        <v>3057</v>
      </c>
      <c r="M88" s="10">
        <f t="shared" si="24"/>
        <v>0</v>
      </c>
      <c r="N88" s="4">
        <v>93</v>
      </c>
      <c r="O88" s="10">
        <f t="shared" si="25"/>
        <v>0</v>
      </c>
      <c r="P88" s="4">
        <v>240</v>
      </c>
      <c r="Q88" s="10">
        <f t="shared" si="26"/>
        <v>27.9</v>
      </c>
      <c r="R88" s="4" t="s">
        <v>3057</v>
      </c>
      <c r="S88" s="10">
        <f t="shared" si="27"/>
        <v>91.53</v>
      </c>
      <c r="T88" s="4">
        <v>167</v>
      </c>
      <c r="U88" s="10">
        <f t="shared" si="28"/>
        <v>64.070999999999998</v>
      </c>
      <c r="V88" s="4" t="s">
        <v>3057</v>
      </c>
      <c r="W88" s="10">
        <f t="shared" si="29"/>
        <v>94.949700000000007</v>
      </c>
      <c r="X88" s="4">
        <v>0</v>
      </c>
      <c r="Y88" s="10">
        <f t="shared" si="30"/>
        <v>66.464790000000008</v>
      </c>
      <c r="Z88" s="4" t="s">
        <v>3057</v>
      </c>
      <c r="AA88" s="10">
        <f t="shared" si="31"/>
        <v>46.525353000000003</v>
      </c>
      <c r="AB88" s="4" t="s">
        <v>3057</v>
      </c>
      <c r="AC88" s="10">
        <f t="shared" si="32"/>
        <v>32.567747099999998</v>
      </c>
      <c r="AD88" s="4" t="s">
        <v>3057</v>
      </c>
      <c r="AE88" s="10">
        <f t="shared" si="33"/>
        <v>22.797422969999996</v>
      </c>
      <c r="AF88" s="4" t="s">
        <v>3057</v>
      </c>
      <c r="AG88" s="10">
        <f t="shared" si="34"/>
        <v>15.958196078999997</v>
      </c>
      <c r="AH88" s="4" t="s">
        <v>3057</v>
      </c>
      <c r="AI88" s="10">
        <f t="shared" si="35"/>
        <v>11.170737255299997</v>
      </c>
      <c r="AJ88" s="4">
        <v>136</v>
      </c>
      <c r="AK88" s="10">
        <f t="shared" si="36"/>
        <v>7.8195160787099978</v>
      </c>
      <c r="AL88" s="4" t="s">
        <v>3057</v>
      </c>
      <c r="AM88" s="10">
        <f t="shared" si="37"/>
        <v>46.273661255096997</v>
      </c>
      <c r="AN88" s="5">
        <f t="shared" si="38"/>
        <v>46.273661255096997</v>
      </c>
      <c r="AO88" s="6" t="str">
        <f t="shared" si="39"/>
        <v>0</v>
      </c>
    </row>
    <row r="89" spans="1:41" x14ac:dyDescent="0.25">
      <c r="A89" t="s">
        <v>1012</v>
      </c>
      <c r="B89" t="s">
        <v>2580</v>
      </c>
      <c r="C89" t="str">
        <f>_xlfn.XLOOKUP(A89,Fore!A:A,Fore!AC:AC)</f>
        <v>CY</v>
      </c>
      <c r="D89" s="4" t="s">
        <v>3057</v>
      </c>
      <c r="E89" s="10" t="str">
        <f t="shared" si="20"/>
        <v>0</v>
      </c>
      <c r="F89" s="4" t="s">
        <v>3057</v>
      </c>
      <c r="G89" s="10">
        <f t="shared" si="21"/>
        <v>0</v>
      </c>
      <c r="H89" s="4" t="s">
        <v>3057</v>
      </c>
      <c r="I89" s="10">
        <f t="shared" si="22"/>
        <v>0</v>
      </c>
      <c r="J89" s="4">
        <v>100</v>
      </c>
      <c r="K89" s="10">
        <f t="shared" si="23"/>
        <v>0</v>
      </c>
      <c r="L89" s="4" t="s">
        <v>3057</v>
      </c>
      <c r="M89" s="10">
        <f t="shared" si="24"/>
        <v>30</v>
      </c>
      <c r="N89" s="4">
        <v>214</v>
      </c>
      <c r="O89" s="10">
        <f t="shared" si="25"/>
        <v>9</v>
      </c>
      <c r="P89" s="4" t="s">
        <v>3057</v>
      </c>
      <c r="Q89" s="10">
        <f t="shared" si="26"/>
        <v>70.5</v>
      </c>
      <c r="R89" s="4" t="s">
        <v>3057</v>
      </c>
      <c r="S89" s="10">
        <f t="shared" si="27"/>
        <v>49.349999999999994</v>
      </c>
      <c r="T89" s="4" t="s">
        <v>3057</v>
      </c>
      <c r="U89" s="10">
        <f t="shared" si="28"/>
        <v>34.544999999999995</v>
      </c>
      <c r="V89" s="4" t="s">
        <v>3057</v>
      </c>
      <c r="W89" s="10">
        <f t="shared" si="29"/>
        <v>24.181499999999996</v>
      </c>
      <c r="X89" s="4">
        <v>0</v>
      </c>
      <c r="Y89" s="10">
        <f t="shared" si="30"/>
        <v>16.927049999999998</v>
      </c>
      <c r="Z89" s="4" t="s">
        <v>3057</v>
      </c>
      <c r="AA89" s="10">
        <f t="shared" si="31"/>
        <v>11.848934999999997</v>
      </c>
      <c r="AB89" s="4" t="s">
        <v>3057</v>
      </c>
      <c r="AC89" s="10">
        <f t="shared" si="32"/>
        <v>8.2942544999999974</v>
      </c>
      <c r="AD89" s="4" t="s">
        <v>3057</v>
      </c>
      <c r="AE89" s="10">
        <f t="shared" si="33"/>
        <v>5.8059781499999978</v>
      </c>
      <c r="AF89" s="4" t="s">
        <v>3057</v>
      </c>
      <c r="AG89" s="10">
        <f t="shared" si="34"/>
        <v>4.064184704999998</v>
      </c>
      <c r="AH89" s="4">
        <v>200</v>
      </c>
      <c r="AI89" s="10">
        <f t="shared" si="35"/>
        <v>2.8449292934999986</v>
      </c>
      <c r="AJ89" s="4" t="s">
        <v>3057</v>
      </c>
      <c r="AK89" s="10">
        <f t="shared" si="36"/>
        <v>61.991450505449997</v>
      </c>
      <c r="AL89" s="4">
        <v>100</v>
      </c>
      <c r="AM89" s="10">
        <f t="shared" si="37"/>
        <v>43.394015353814993</v>
      </c>
      <c r="AN89" s="5">
        <f t="shared" si="38"/>
        <v>56.605984646185007</v>
      </c>
      <c r="AO89" s="6">
        <f t="shared" si="39"/>
        <v>0.56605984646185004</v>
      </c>
    </row>
    <row r="90" spans="1:41" x14ac:dyDescent="0.25">
      <c r="A90" t="s">
        <v>1630</v>
      </c>
      <c r="B90" t="s">
        <v>2905</v>
      </c>
      <c r="C90" t="str">
        <f>_xlfn.XLOOKUP(A90,Fore!A:A,Fore!AC:AC)</f>
        <v>CY</v>
      </c>
      <c r="D90" s="4" t="s">
        <v>3057</v>
      </c>
      <c r="E90" s="10" t="str">
        <f t="shared" si="20"/>
        <v>0</v>
      </c>
      <c r="F90" s="4" t="s">
        <v>3057</v>
      </c>
      <c r="G90" s="10">
        <f t="shared" si="21"/>
        <v>0</v>
      </c>
      <c r="H90" s="4" t="s">
        <v>3057</v>
      </c>
      <c r="I90" s="10">
        <f t="shared" si="22"/>
        <v>0</v>
      </c>
      <c r="J90" s="4" t="s">
        <v>3057</v>
      </c>
      <c r="K90" s="10">
        <f t="shared" si="23"/>
        <v>0</v>
      </c>
      <c r="L90" s="4" t="s">
        <v>3057</v>
      </c>
      <c r="M90" s="10">
        <f t="shared" si="24"/>
        <v>0</v>
      </c>
      <c r="N90" s="4" t="s">
        <v>3057</v>
      </c>
      <c r="O90" s="10">
        <f t="shared" si="25"/>
        <v>0</v>
      </c>
      <c r="P90" s="4">
        <v>215</v>
      </c>
      <c r="Q90" s="10">
        <f t="shared" si="26"/>
        <v>0</v>
      </c>
      <c r="R90" s="4">
        <v>396.25</v>
      </c>
      <c r="S90" s="10">
        <f t="shared" si="27"/>
        <v>64.5</v>
      </c>
      <c r="T90" s="4" t="s">
        <v>3057</v>
      </c>
      <c r="U90" s="10">
        <f t="shared" si="28"/>
        <v>164.02500000000001</v>
      </c>
      <c r="V90" s="4" t="s">
        <v>3057</v>
      </c>
      <c r="W90" s="10">
        <f t="shared" si="29"/>
        <v>114.8175</v>
      </c>
      <c r="X90" s="4">
        <v>0</v>
      </c>
      <c r="Y90" s="10">
        <f t="shared" si="30"/>
        <v>80.372249999999994</v>
      </c>
      <c r="Z90" s="4" t="s">
        <v>3057</v>
      </c>
      <c r="AA90" s="10">
        <f t="shared" si="31"/>
        <v>56.260574999999989</v>
      </c>
      <c r="AB90" s="4" t="s">
        <v>3057</v>
      </c>
      <c r="AC90" s="10">
        <f t="shared" si="32"/>
        <v>39.382402499999991</v>
      </c>
      <c r="AD90" s="4" t="s">
        <v>3057</v>
      </c>
      <c r="AE90" s="10">
        <f t="shared" si="33"/>
        <v>27.567681749999991</v>
      </c>
      <c r="AF90" s="4" t="s">
        <v>3057</v>
      </c>
      <c r="AG90" s="10">
        <f t="shared" si="34"/>
        <v>19.297377224999991</v>
      </c>
      <c r="AH90" s="4" t="s">
        <v>3057</v>
      </c>
      <c r="AI90" s="10">
        <f t="shared" si="35"/>
        <v>13.508164057499993</v>
      </c>
      <c r="AJ90" s="4" t="s">
        <v>3057</v>
      </c>
      <c r="AK90" s="10">
        <f t="shared" si="36"/>
        <v>9.4557148402499944</v>
      </c>
      <c r="AL90" s="4" t="s">
        <v>3057</v>
      </c>
      <c r="AM90" s="10">
        <f t="shared" si="37"/>
        <v>6.6190003881749959</v>
      </c>
      <c r="AN90" s="5">
        <f t="shared" si="38"/>
        <v>6.6190003881749959</v>
      </c>
      <c r="AO90" s="6" t="str">
        <f t="shared" si="39"/>
        <v>0</v>
      </c>
    </row>
    <row r="91" spans="1:41" x14ac:dyDescent="0.25">
      <c r="A91" t="s">
        <v>628</v>
      </c>
      <c r="B91" t="s">
        <v>2590</v>
      </c>
      <c r="C91" t="str">
        <f>_xlfn.XLOOKUP(A91,Fore!A:A,Fore!AC:AC)</f>
        <v>CY</v>
      </c>
      <c r="D91" s="4" t="s">
        <v>3057</v>
      </c>
      <c r="E91" s="10" t="str">
        <f t="shared" si="20"/>
        <v>0</v>
      </c>
      <c r="F91" s="4" t="s">
        <v>3057</v>
      </c>
      <c r="G91" s="10">
        <f t="shared" si="21"/>
        <v>0</v>
      </c>
      <c r="H91" s="4" t="s">
        <v>3057</v>
      </c>
      <c r="I91" s="10">
        <f t="shared" si="22"/>
        <v>0</v>
      </c>
      <c r="J91" s="4" t="s">
        <v>3057</v>
      </c>
      <c r="K91" s="10">
        <f t="shared" si="23"/>
        <v>0</v>
      </c>
      <c r="L91" s="4" t="s">
        <v>3057</v>
      </c>
      <c r="M91" s="10">
        <f t="shared" si="24"/>
        <v>0</v>
      </c>
      <c r="N91" s="4" t="s">
        <v>3057</v>
      </c>
      <c r="O91" s="10">
        <f t="shared" si="25"/>
        <v>0</v>
      </c>
      <c r="P91" s="4">
        <v>100</v>
      </c>
      <c r="Q91" s="10">
        <f t="shared" si="26"/>
        <v>0</v>
      </c>
      <c r="R91" s="4" t="s">
        <v>3057</v>
      </c>
      <c r="S91" s="10">
        <f t="shared" si="27"/>
        <v>30</v>
      </c>
      <c r="T91" s="4">
        <v>200</v>
      </c>
      <c r="U91" s="10">
        <f t="shared" si="28"/>
        <v>21</v>
      </c>
      <c r="V91" s="4" t="s">
        <v>3057</v>
      </c>
      <c r="W91" s="10">
        <f t="shared" si="29"/>
        <v>74.7</v>
      </c>
      <c r="X91" s="4">
        <v>100</v>
      </c>
      <c r="Y91" s="10">
        <f t="shared" si="30"/>
        <v>52.29</v>
      </c>
      <c r="Z91" s="4" t="s">
        <v>3057</v>
      </c>
      <c r="AA91" s="10">
        <f t="shared" si="31"/>
        <v>66.602999999999994</v>
      </c>
      <c r="AB91" s="4" t="s">
        <v>3057</v>
      </c>
      <c r="AC91" s="10">
        <f t="shared" si="32"/>
        <v>46.622099999999996</v>
      </c>
      <c r="AD91" s="4" t="s">
        <v>3057</v>
      </c>
      <c r="AE91" s="10">
        <f t="shared" si="33"/>
        <v>32.635469999999998</v>
      </c>
      <c r="AF91" s="4">
        <v>38</v>
      </c>
      <c r="AG91" s="10">
        <f t="shared" si="34"/>
        <v>22.844828999999997</v>
      </c>
      <c r="AH91" s="4" t="s">
        <v>3057</v>
      </c>
      <c r="AI91" s="10">
        <f t="shared" si="35"/>
        <v>27.391380299999998</v>
      </c>
      <c r="AJ91" s="4">
        <v>162</v>
      </c>
      <c r="AK91" s="10">
        <f t="shared" si="36"/>
        <v>19.173966209999996</v>
      </c>
      <c r="AL91" s="4">
        <v>10</v>
      </c>
      <c r="AM91" s="10">
        <f t="shared" si="37"/>
        <v>62.021776346999999</v>
      </c>
      <c r="AN91" s="5">
        <f t="shared" si="38"/>
        <v>52.021776346999999</v>
      </c>
      <c r="AO91" s="6">
        <f t="shared" si="39"/>
        <v>5.2021776346999999</v>
      </c>
    </row>
    <row r="92" spans="1:41" x14ac:dyDescent="0.25">
      <c r="A92" t="s">
        <v>946</v>
      </c>
      <c r="B92" t="s">
        <v>2874</v>
      </c>
      <c r="C92" t="str">
        <f>_xlfn.XLOOKUP(A92,Fore!A:A,Fore!AC:AC)</f>
        <v>CY</v>
      </c>
      <c r="D92" s="4" t="s">
        <v>3057</v>
      </c>
      <c r="E92" s="10" t="str">
        <f t="shared" si="20"/>
        <v>0</v>
      </c>
      <c r="F92" s="4" t="s">
        <v>3057</v>
      </c>
      <c r="G92" s="10">
        <f t="shared" si="21"/>
        <v>0</v>
      </c>
      <c r="H92" s="4" t="s">
        <v>3057</v>
      </c>
      <c r="I92" s="10">
        <f t="shared" si="22"/>
        <v>0</v>
      </c>
      <c r="J92" s="4" t="s">
        <v>3057</v>
      </c>
      <c r="K92" s="10">
        <f t="shared" si="23"/>
        <v>0</v>
      </c>
      <c r="L92" s="4">
        <v>200</v>
      </c>
      <c r="M92" s="10">
        <f t="shared" si="24"/>
        <v>0</v>
      </c>
      <c r="N92" s="4" t="s">
        <v>3057</v>
      </c>
      <c r="O92" s="10">
        <f t="shared" si="25"/>
        <v>140</v>
      </c>
      <c r="P92" s="4" t="s">
        <v>3057</v>
      </c>
      <c r="Q92" s="10">
        <f t="shared" si="26"/>
        <v>98</v>
      </c>
      <c r="R92" s="4" t="s">
        <v>3057</v>
      </c>
      <c r="S92" s="10">
        <f t="shared" si="27"/>
        <v>68.599999999999994</v>
      </c>
      <c r="T92" s="4" t="s">
        <v>3057</v>
      </c>
      <c r="U92" s="10">
        <f t="shared" si="28"/>
        <v>48.019999999999996</v>
      </c>
      <c r="V92" s="4">
        <v>300</v>
      </c>
      <c r="W92" s="10">
        <f t="shared" si="29"/>
        <v>33.613999999999997</v>
      </c>
      <c r="X92" s="4">
        <v>0</v>
      </c>
      <c r="Y92" s="10">
        <f t="shared" si="30"/>
        <v>113.52979999999999</v>
      </c>
      <c r="Z92" s="4" t="s">
        <v>3057</v>
      </c>
      <c r="AA92" s="10">
        <f t="shared" si="31"/>
        <v>79.470859999999988</v>
      </c>
      <c r="AB92" s="4" t="s">
        <v>3057</v>
      </c>
      <c r="AC92" s="10">
        <f t="shared" si="32"/>
        <v>55.629601999999991</v>
      </c>
      <c r="AD92" s="4">
        <v>100</v>
      </c>
      <c r="AE92" s="10">
        <f t="shared" si="33"/>
        <v>38.940721399999994</v>
      </c>
      <c r="AF92" s="4" t="s">
        <v>3057</v>
      </c>
      <c r="AG92" s="10">
        <f t="shared" si="34"/>
        <v>57.258504979999998</v>
      </c>
      <c r="AH92" s="4" t="s">
        <v>3057</v>
      </c>
      <c r="AI92" s="10">
        <f t="shared" si="35"/>
        <v>40.080953485999999</v>
      </c>
      <c r="AJ92" s="4" t="s">
        <v>3057</v>
      </c>
      <c r="AK92" s="10">
        <f t="shared" si="36"/>
        <v>28.056667440199998</v>
      </c>
      <c r="AL92" s="4" t="s">
        <v>3057</v>
      </c>
      <c r="AM92" s="10">
        <f t="shared" si="37"/>
        <v>19.639667208139997</v>
      </c>
      <c r="AN92" s="5">
        <f t="shared" si="38"/>
        <v>19.639667208139997</v>
      </c>
      <c r="AO92" s="6" t="str">
        <f t="shared" si="39"/>
        <v>0</v>
      </c>
    </row>
    <row r="93" spans="1:41" x14ac:dyDescent="0.25">
      <c r="A93" t="s">
        <v>557</v>
      </c>
      <c r="B93" t="s">
        <v>2598</v>
      </c>
      <c r="C93" t="str">
        <f>_xlfn.XLOOKUP(A93,Fore!A:A,Fore!AC:AC)</f>
        <v>CY</v>
      </c>
      <c r="D93" s="4" t="s">
        <v>3057</v>
      </c>
      <c r="E93" s="10" t="str">
        <f t="shared" si="20"/>
        <v>0</v>
      </c>
      <c r="F93" s="4" t="s">
        <v>3057</v>
      </c>
      <c r="G93" s="10">
        <f t="shared" si="21"/>
        <v>0</v>
      </c>
      <c r="H93" s="4" t="s">
        <v>3057</v>
      </c>
      <c r="I93" s="10">
        <f t="shared" si="22"/>
        <v>0</v>
      </c>
      <c r="J93" s="4">
        <v>10</v>
      </c>
      <c r="K93" s="10">
        <f t="shared" si="23"/>
        <v>0</v>
      </c>
      <c r="L93" s="4">
        <v>60</v>
      </c>
      <c r="M93" s="10">
        <f t="shared" si="24"/>
        <v>3</v>
      </c>
      <c r="N93" s="4">
        <v>20</v>
      </c>
      <c r="O93" s="10">
        <f t="shared" si="25"/>
        <v>42.9</v>
      </c>
      <c r="P93" s="4">
        <v>90.999999999999972</v>
      </c>
      <c r="Q93" s="10">
        <f t="shared" si="26"/>
        <v>36.03</v>
      </c>
      <c r="R93" s="4">
        <v>44</v>
      </c>
      <c r="S93" s="10">
        <f t="shared" si="27"/>
        <v>52.520999999999987</v>
      </c>
      <c r="T93" s="4">
        <v>7</v>
      </c>
      <c r="U93" s="10">
        <f t="shared" si="28"/>
        <v>49.964699999999993</v>
      </c>
      <c r="V93" s="4">
        <v>69.999999999999872</v>
      </c>
      <c r="W93" s="10">
        <f t="shared" si="29"/>
        <v>37.075289999999995</v>
      </c>
      <c r="X93" s="4">
        <v>0</v>
      </c>
      <c r="Y93" s="10">
        <f t="shared" si="30"/>
        <v>46.952702999999957</v>
      </c>
      <c r="Z93" s="4">
        <v>10</v>
      </c>
      <c r="AA93" s="10">
        <f t="shared" si="31"/>
        <v>32.866892099999966</v>
      </c>
      <c r="AB93" s="4">
        <v>10</v>
      </c>
      <c r="AC93" s="10">
        <f t="shared" si="32"/>
        <v>26.006824469999973</v>
      </c>
      <c r="AD93" s="4">
        <v>70</v>
      </c>
      <c r="AE93" s="10">
        <f t="shared" si="33"/>
        <v>21.204777128999979</v>
      </c>
      <c r="AF93" s="4">
        <v>40</v>
      </c>
      <c r="AG93" s="10">
        <f t="shared" si="34"/>
        <v>35.843343990299985</v>
      </c>
      <c r="AH93" s="4">
        <v>48</v>
      </c>
      <c r="AI93" s="10">
        <f t="shared" si="35"/>
        <v>37.09034079320999</v>
      </c>
      <c r="AJ93" s="4">
        <v>50</v>
      </c>
      <c r="AK93" s="10">
        <f t="shared" si="36"/>
        <v>40.363238555246994</v>
      </c>
      <c r="AL93" s="4">
        <v>49.999999999999993</v>
      </c>
      <c r="AM93" s="10">
        <f t="shared" si="37"/>
        <v>43.254266988672896</v>
      </c>
      <c r="AN93" s="5">
        <f t="shared" si="38"/>
        <v>6.745733011327097</v>
      </c>
      <c r="AO93" s="6">
        <f t="shared" si="39"/>
        <v>0.13491466022654197</v>
      </c>
    </row>
    <row r="94" spans="1:41" x14ac:dyDescent="0.25">
      <c r="A94" t="s">
        <v>651</v>
      </c>
      <c r="B94" t="s">
        <v>2692</v>
      </c>
      <c r="C94" t="str">
        <f>_xlfn.XLOOKUP(A94,Fore!A:A,Fore!AC:AC)</f>
        <v>CX</v>
      </c>
      <c r="D94" s="4" t="s">
        <v>3057</v>
      </c>
      <c r="E94" s="10" t="str">
        <f t="shared" si="20"/>
        <v>0</v>
      </c>
      <c r="F94" s="4" t="s">
        <v>3057</v>
      </c>
      <c r="G94" s="10">
        <f t="shared" si="21"/>
        <v>0</v>
      </c>
      <c r="H94" s="4" t="s">
        <v>3057</v>
      </c>
      <c r="I94" s="10">
        <f t="shared" si="22"/>
        <v>0</v>
      </c>
      <c r="J94" s="4">
        <v>37.25</v>
      </c>
      <c r="K94" s="10">
        <f t="shared" si="23"/>
        <v>0</v>
      </c>
      <c r="L94" s="4">
        <v>76.999999999999972</v>
      </c>
      <c r="M94" s="10">
        <f t="shared" si="24"/>
        <v>11.174999999999999</v>
      </c>
      <c r="N94" s="4">
        <v>64.000000000000014</v>
      </c>
      <c r="O94" s="10">
        <f t="shared" si="25"/>
        <v>57.252499999999976</v>
      </c>
      <c r="P94" s="4">
        <v>47.000000000000007</v>
      </c>
      <c r="Q94" s="10">
        <f t="shared" si="26"/>
        <v>59.276749999999986</v>
      </c>
      <c r="R94" s="4">
        <v>47.999999999999993</v>
      </c>
      <c r="S94" s="10">
        <f t="shared" si="27"/>
        <v>55.593724999999992</v>
      </c>
      <c r="T94" s="4">
        <v>35.999999999999986</v>
      </c>
      <c r="U94" s="10">
        <f t="shared" si="28"/>
        <v>53.315607499999992</v>
      </c>
      <c r="V94" s="4">
        <v>40.999999999999993</v>
      </c>
      <c r="W94" s="10">
        <f t="shared" si="29"/>
        <v>48.120925249999992</v>
      </c>
      <c r="X94" s="4">
        <v>18.999999999999996</v>
      </c>
      <c r="Y94" s="10">
        <f t="shared" si="30"/>
        <v>45.984647674999991</v>
      </c>
      <c r="Z94" s="4">
        <v>5</v>
      </c>
      <c r="AA94" s="10">
        <f t="shared" si="31"/>
        <v>37.889253372499986</v>
      </c>
      <c r="AB94" s="4">
        <v>22.000000000000004</v>
      </c>
      <c r="AC94" s="10">
        <f t="shared" si="32"/>
        <v>28.022477360749988</v>
      </c>
      <c r="AD94" s="4">
        <v>40.000000000000007</v>
      </c>
      <c r="AE94" s="10">
        <f t="shared" si="33"/>
        <v>26.215734152524991</v>
      </c>
      <c r="AF94" s="4">
        <v>35.999999999999993</v>
      </c>
      <c r="AG94" s="10">
        <f t="shared" si="34"/>
        <v>30.351013906767491</v>
      </c>
      <c r="AH94" s="4">
        <v>30.999999999999996</v>
      </c>
      <c r="AI94" s="10">
        <f t="shared" si="35"/>
        <v>32.045709734737244</v>
      </c>
      <c r="AJ94" s="4">
        <v>16</v>
      </c>
      <c r="AK94" s="10">
        <f t="shared" si="36"/>
        <v>31.731996814316069</v>
      </c>
      <c r="AL94" s="4">
        <v>32.999999999999993</v>
      </c>
      <c r="AM94" s="10">
        <f t="shared" si="37"/>
        <v>27.012397770021249</v>
      </c>
      <c r="AN94" s="5">
        <f t="shared" si="38"/>
        <v>5.9876022299787444</v>
      </c>
      <c r="AO94" s="6">
        <f t="shared" si="39"/>
        <v>0.18144249181753774</v>
      </c>
    </row>
    <row r="95" spans="1:41" x14ac:dyDescent="0.25">
      <c r="A95" t="s">
        <v>594</v>
      </c>
      <c r="B95" t="s">
        <v>2895</v>
      </c>
      <c r="C95" t="str">
        <f>_xlfn.XLOOKUP(A95,Fore!A:A,Fore!AC:AC)</f>
        <v>CY</v>
      </c>
      <c r="D95" s="4" t="s">
        <v>3057</v>
      </c>
      <c r="E95" s="10" t="str">
        <f t="shared" si="20"/>
        <v>0</v>
      </c>
      <c r="F95" s="4" t="s">
        <v>3057</v>
      </c>
      <c r="G95" s="10">
        <f t="shared" si="21"/>
        <v>0</v>
      </c>
      <c r="H95" s="4" t="s">
        <v>3057</v>
      </c>
      <c r="I95" s="10">
        <f t="shared" si="22"/>
        <v>0</v>
      </c>
      <c r="J95" s="4" t="s">
        <v>3057</v>
      </c>
      <c r="K95" s="10">
        <f t="shared" si="23"/>
        <v>0</v>
      </c>
      <c r="L95" s="4">
        <v>150</v>
      </c>
      <c r="M95" s="10">
        <f t="shared" si="24"/>
        <v>0</v>
      </c>
      <c r="N95" s="4">
        <v>300</v>
      </c>
      <c r="O95" s="10">
        <f t="shared" si="25"/>
        <v>105</v>
      </c>
      <c r="P95" s="4">
        <v>100</v>
      </c>
      <c r="Q95" s="10">
        <f t="shared" si="26"/>
        <v>163.5</v>
      </c>
      <c r="R95" s="4" t="s">
        <v>3057</v>
      </c>
      <c r="S95" s="10">
        <f t="shared" si="27"/>
        <v>144.44999999999999</v>
      </c>
      <c r="T95" s="4" t="s">
        <v>3057</v>
      </c>
      <c r="U95" s="10">
        <f t="shared" si="28"/>
        <v>101.11499999999998</v>
      </c>
      <c r="V95" s="4" t="s">
        <v>3057</v>
      </c>
      <c r="W95" s="10">
        <f t="shared" si="29"/>
        <v>70.780499999999975</v>
      </c>
      <c r="X95" s="4">
        <v>0</v>
      </c>
      <c r="Y95" s="10">
        <f t="shared" si="30"/>
        <v>49.546349999999983</v>
      </c>
      <c r="Z95" s="4" t="s">
        <v>3057</v>
      </c>
      <c r="AA95" s="10">
        <f t="shared" si="31"/>
        <v>34.682444999999987</v>
      </c>
      <c r="AB95" s="4" t="s">
        <v>3057</v>
      </c>
      <c r="AC95" s="10">
        <f t="shared" si="32"/>
        <v>24.277711499999988</v>
      </c>
      <c r="AD95" s="4" t="s">
        <v>3057</v>
      </c>
      <c r="AE95" s="10">
        <f t="shared" si="33"/>
        <v>16.99439804999999</v>
      </c>
      <c r="AF95" s="4" t="s">
        <v>3057</v>
      </c>
      <c r="AG95" s="10">
        <f t="shared" si="34"/>
        <v>11.896078634999993</v>
      </c>
      <c r="AH95" s="4" t="s">
        <v>3057</v>
      </c>
      <c r="AI95" s="10">
        <f t="shared" si="35"/>
        <v>8.327255044499994</v>
      </c>
      <c r="AJ95" s="4" t="s">
        <v>3057</v>
      </c>
      <c r="AK95" s="10">
        <f t="shared" si="36"/>
        <v>5.8290785311499951</v>
      </c>
      <c r="AL95" s="4" t="s">
        <v>3057</v>
      </c>
      <c r="AM95" s="10">
        <f t="shared" si="37"/>
        <v>4.0803549718049963</v>
      </c>
      <c r="AN95" s="5">
        <f t="shared" si="38"/>
        <v>4.0803549718049963</v>
      </c>
      <c r="AO95" s="6" t="str">
        <f t="shared" si="39"/>
        <v>0</v>
      </c>
    </row>
    <row r="96" spans="1:41" x14ac:dyDescent="0.25">
      <c r="A96" t="s">
        <v>677</v>
      </c>
      <c r="B96" t="s">
        <v>2922</v>
      </c>
      <c r="C96" t="str">
        <f>_xlfn.XLOOKUP(A96,Fore!A:A,Fore!AC:AC)</f>
        <v>CY</v>
      </c>
      <c r="D96" s="4" t="s">
        <v>3057</v>
      </c>
      <c r="E96" s="10" t="str">
        <f t="shared" si="20"/>
        <v>0</v>
      </c>
      <c r="F96" s="4" t="s">
        <v>3057</v>
      </c>
      <c r="G96" s="10">
        <f t="shared" si="21"/>
        <v>0</v>
      </c>
      <c r="H96" s="4" t="s">
        <v>3057</v>
      </c>
      <c r="I96" s="10">
        <f t="shared" si="22"/>
        <v>0</v>
      </c>
      <c r="J96" s="4" t="s">
        <v>3057</v>
      </c>
      <c r="K96" s="10">
        <f t="shared" si="23"/>
        <v>0</v>
      </c>
      <c r="L96" s="4" t="s">
        <v>3057</v>
      </c>
      <c r="M96" s="10">
        <f t="shared" si="24"/>
        <v>0</v>
      </c>
      <c r="N96" s="4" t="s">
        <v>3057</v>
      </c>
      <c r="O96" s="10">
        <f t="shared" si="25"/>
        <v>0</v>
      </c>
      <c r="P96" s="4">
        <v>240</v>
      </c>
      <c r="Q96" s="10">
        <f t="shared" si="26"/>
        <v>0</v>
      </c>
      <c r="R96" s="4">
        <v>280</v>
      </c>
      <c r="S96" s="10">
        <f t="shared" si="27"/>
        <v>72</v>
      </c>
      <c r="T96" s="4" t="s">
        <v>3057</v>
      </c>
      <c r="U96" s="10">
        <f t="shared" si="28"/>
        <v>134.4</v>
      </c>
      <c r="V96" s="4" t="s">
        <v>3057</v>
      </c>
      <c r="W96" s="10">
        <f t="shared" si="29"/>
        <v>94.08</v>
      </c>
      <c r="X96" s="4">
        <v>0</v>
      </c>
      <c r="Y96" s="10">
        <f t="shared" si="30"/>
        <v>65.855999999999995</v>
      </c>
      <c r="Z96" s="4" t="s">
        <v>3057</v>
      </c>
      <c r="AA96" s="10">
        <f t="shared" si="31"/>
        <v>46.099199999999996</v>
      </c>
      <c r="AB96" s="4" t="s">
        <v>3057</v>
      </c>
      <c r="AC96" s="10">
        <f t="shared" si="32"/>
        <v>32.269439999999996</v>
      </c>
      <c r="AD96" s="4" t="s">
        <v>3057</v>
      </c>
      <c r="AE96" s="10">
        <f t="shared" si="33"/>
        <v>22.588607999999997</v>
      </c>
      <c r="AF96" s="4" t="s">
        <v>3057</v>
      </c>
      <c r="AG96" s="10">
        <f t="shared" si="34"/>
        <v>15.812025599999997</v>
      </c>
      <c r="AH96" s="4" t="s">
        <v>3057</v>
      </c>
      <c r="AI96" s="10">
        <f t="shared" si="35"/>
        <v>11.068417919999996</v>
      </c>
      <c r="AJ96" s="4" t="s">
        <v>3057</v>
      </c>
      <c r="AK96" s="10">
        <f t="shared" si="36"/>
        <v>7.7478925439999973</v>
      </c>
      <c r="AL96" s="4" t="s">
        <v>3057</v>
      </c>
      <c r="AM96" s="10">
        <f t="shared" si="37"/>
        <v>5.4235247807999976</v>
      </c>
      <c r="AN96" s="5">
        <f t="shared" si="38"/>
        <v>5.4235247807999976</v>
      </c>
      <c r="AO96" s="6" t="str">
        <f t="shared" si="39"/>
        <v>0</v>
      </c>
    </row>
    <row r="97" spans="1:41" x14ac:dyDescent="0.25">
      <c r="A97" t="s">
        <v>1873</v>
      </c>
      <c r="B97" t="s">
        <v>2584</v>
      </c>
      <c r="C97" t="str">
        <f>_xlfn.XLOOKUP(A97,Fore!A:A,Fore!AC:AC)</f>
        <v>CY</v>
      </c>
      <c r="D97" s="4" t="s">
        <v>3057</v>
      </c>
      <c r="E97" s="10" t="str">
        <f t="shared" si="20"/>
        <v>0</v>
      </c>
      <c r="F97" s="4" t="s">
        <v>3057</v>
      </c>
      <c r="G97" s="10">
        <f t="shared" si="21"/>
        <v>0</v>
      </c>
      <c r="H97" s="4" t="s">
        <v>3057</v>
      </c>
      <c r="I97" s="10">
        <f t="shared" si="22"/>
        <v>0</v>
      </c>
      <c r="J97" s="4" t="s">
        <v>3057</v>
      </c>
      <c r="K97" s="10">
        <f t="shared" si="23"/>
        <v>0</v>
      </c>
      <c r="L97" s="4" t="s">
        <v>3057</v>
      </c>
      <c r="M97" s="10">
        <f t="shared" si="24"/>
        <v>0</v>
      </c>
      <c r="N97" s="4" t="s">
        <v>3057</v>
      </c>
      <c r="O97" s="10">
        <f t="shared" si="25"/>
        <v>0</v>
      </c>
      <c r="P97" s="4" t="s">
        <v>3057</v>
      </c>
      <c r="Q97" s="10">
        <f t="shared" si="26"/>
        <v>0</v>
      </c>
      <c r="R97" s="4" t="s">
        <v>3057</v>
      </c>
      <c r="S97" s="10">
        <f t="shared" si="27"/>
        <v>0</v>
      </c>
      <c r="T97" s="4" t="s">
        <v>3057</v>
      </c>
      <c r="U97" s="10">
        <f t="shared" si="28"/>
        <v>0</v>
      </c>
      <c r="V97" s="4">
        <v>220</v>
      </c>
      <c r="W97" s="10">
        <f t="shared" si="29"/>
        <v>0</v>
      </c>
      <c r="X97" s="4">
        <v>15</v>
      </c>
      <c r="Y97" s="10">
        <f t="shared" si="30"/>
        <v>66</v>
      </c>
      <c r="Z97" s="4" t="s">
        <v>3057</v>
      </c>
      <c r="AA97" s="10">
        <f t="shared" si="31"/>
        <v>50.699999999999996</v>
      </c>
      <c r="AB97" s="4" t="s">
        <v>3057</v>
      </c>
      <c r="AC97" s="10">
        <f t="shared" si="32"/>
        <v>35.489999999999995</v>
      </c>
      <c r="AD97" s="4" t="s">
        <v>3057</v>
      </c>
      <c r="AE97" s="10">
        <f t="shared" si="33"/>
        <v>24.842999999999996</v>
      </c>
      <c r="AF97" s="4">
        <v>37</v>
      </c>
      <c r="AG97" s="10">
        <f t="shared" si="34"/>
        <v>17.390099999999997</v>
      </c>
      <c r="AH97" s="4" t="s">
        <v>3057</v>
      </c>
      <c r="AI97" s="10">
        <f t="shared" si="35"/>
        <v>23.273069999999997</v>
      </c>
      <c r="AJ97" s="4">
        <v>228</v>
      </c>
      <c r="AK97" s="10">
        <f t="shared" si="36"/>
        <v>16.291148999999997</v>
      </c>
      <c r="AL97" s="4" t="s">
        <v>3057</v>
      </c>
      <c r="AM97" s="10">
        <f t="shared" si="37"/>
        <v>79.803804299999996</v>
      </c>
      <c r="AN97" s="5">
        <f t="shared" si="38"/>
        <v>79.803804299999996</v>
      </c>
      <c r="AO97" s="6" t="str">
        <f t="shared" si="39"/>
        <v>0</v>
      </c>
    </row>
    <row r="98" spans="1:41" x14ac:dyDescent="0.25">
      <c r="A98" t="s">
        <v>485</v>
      </c>
      <c r="B98" t="s">
        <v>2606</v>
      </c>
      <c r="C98" t="str">
        <f>_xlfn.XLOOKUP(A98,Fore!A:A,Fore!AC:AC)</f>
        <v>CY</v>
      </c>
      <c r="D98" s="4" t="s">
        <v>3057</v>
      </c>
      <c r="E98" s="10" t="str">
        <f t="shared" si="20"/>
        <v>0</v>
      </c>
      <c r="F98" s="4" t="s">
        <v>3057</v>
      </c>
      <c r="G98" s="10">
        <f t="shared" si="21"/>
        <v>0</v>
      </c>
      <c r="H98" s="4" t="s">
        <v>3057</v>
      </c>
      <c r="I98" s="10">
        <f t="shared" si="22"/>
        <v>0</v>
      </c>
      <c r="J98" s="4">
        <v>20</v>
      </c>
      <c r="K98" s="10">
        <f t="shared" si="23"/>
        <v>0</v>
      </c>
      <c r="L98" s="4">
        <v>72.600000000000009</v>
      </c>
      <c r="M98" s="10">
        <f t="shared" si="24"/>
        <v>6</v>
      </c>
      <c r="N98" s="4">
        <v>30</v>
      </c>
      <c r="O98" s="10">
        <f t="shared" si="25"/>
        <v>52.62</v>
      </c>
      <c r="P98" s="4">
        <v>44.887500000000003</v>
      </c>
      <c r="Q98" s="10">
        <f t="shared" si="26"/>
        <v>45.833999999999996</v>
      </c>
      <c r="R98" s="4">
        <v>5.1124999999999998</v>
      </c>
      <c r="S98" s="10">
        <f t="shared" si="27"/>
        <v>45.550049999999999</v>
      </c>
      <c r="T98" s="4">
        <v>36</v>
      </c>
      <c r="U98" s="10">
        <f t="shared" si="28"/>
        <v>33.418785</v>
      </c>
      <c r="V98" s="4">
        <v>10</v>
      </c>
      <c r="W98" s="10">
        <f t="shared" si="29"/>
        <v>34.193149499999997</v>
      </c>
      <c r="X98" s="4">
        <v>0</v>
      </c>
      <c r="Y98" s="10">
        <f t="shared" si="30"/>
        <v>26.935204649999996</v>
      </c>
      <c r="Z98" s="4" t="s">
        <v>3057</v>
      </c>
      <c r="AA98" s="10">
        <f t="shared" si="31"/>
        <v>18.854643254999996</v>
      </c>
      <c r="AB98" s="4" t="s">
        <v>3057</v>
      </c>
      <c r="AC98" s="10">
        <f t="shared" si="32"/>
        <v>13.198250278499996</v>
      </c>
      <c r="AD98" s="4">
        <v>49.999999999999986</v>
      </c>
      <c r="AE98" s="10">
        <f t="shared" si="33"/>
        <v>9.2387751949499961</v>
      </c>
      <c r="AF98" s="4">
        <v>41.999999999999993</v>
      </c>
      <c r="AG98" s="10">
        <f t="shared" si="34"/>
        <v>21.467142636464992</v>
      </c>
      <c r="AH98" s="4">
        <v>65.000000000000014</v>
      </c>
      <c r="AI98" s="10">
        <f t="shared" si="35"/>
        <v>27.626999845525489</v>
      </c>
      <c r="AJ98" s="4">
        <v>26</v>
      </c>
      <c r="AK98" s="10">
        <f t="shared" si="36"/>
        <v>38.83889989186784</v>
      </c>
      <c r="AL98" s="4">
        <v>37</v>
      </c>
      <c r="AM98" s="10">
        <f t="shared" si="37"/>
        <v>34.987229924307485</v>
      </c>
      <c r="AN98" s="5">
        <f t="shared" si="38"/>
        <v>2.0127700756925151</v>
      </c>
      <c r="AO98" s="6">
        <f t="shared" si="39"/>
        <v>5.4399191234932844E-2</v>
      </c>
    </row>
    <row r="99" spans="1:41" x14ac:dyDescent="0.25">
      <c r="A99" t="s">
        <v>485</v>
      </c>
      <c r="B99" t="s">
        <v>2607</v>
      </c>
      <c r="C99" t="str">
        <f>_xlfn.XLOOKUP(A99,Fore!A:A,Fore!AC:AC)</f>
        <v>CY</v>
      </c>
      <c r="D99" s="4" t="s">
        <v>3057</v>
      </c>
      <c r="E99" s="10" t="str">
        <f t="shared" si="20"/>
        <v>0</v>
      </c>
      <c r="F99" s="4" t="s">
        <v>3057</v>
      </c>
      <c r="G99" s="10">
        <f t="shared" si="21"/>
        <v>0</v>
      </c>
      <c r="H99" s="4" t="s">
        <v>3057</v>
      </c>
      <c r="I99" s="10">
        <f t="shared" si="22"/>
        <v>0</v>
      </c>
      <c r="J99" s="4">
        <v>20</v>
      </c>
      <c r="K99" s="10">
        <f t="shared" si="23"/>
        <v>0</v>
      </c>
      <c r="L99" s="4">
        <v>72.600000000000009</v>
      </c>
      <c r="M99" s="10">
        <f t="shared" si="24"/>
        <v>6</v>
      </c>
      <c r="N99" s="4">
        <v>30</v>
      </c>
      <c r="O99" s="10">
        <f t="shared" si="25"/>
        <v>52.62</v>
      </c>
      <c r="P99" s="4">
        <v>44.887500000000003</v>
      </c>
      <c r="Q99" s="10">
        <f t="shared" si="26"/>
        <v>45.833999999999996</v>
      </c>
      <c r="R99" s="4">
        <v>5.1124999999999998</v>
      </c>
      <c r="S99" s="10">
        <f t="shared" si="27"/>
        <v>45.550049999999999</v>
      </c>
      <c r="T99" s="4">
        <v>36</v>
      </c>
      <c r="U99" s="10">
        <f t="shared" si="28"/>
        <v>33.418785</v>
      </c>
      <c r="V99" s="4">
        <v>10</v>
      </c>
      <c r="W99" s="10">
        <f t="shared" si="29"/>
        <v>34.193149499999997</v>
      </c>
      <c r="X99" s="4">
        <v>0</v>
      </c>
      <c r="Y99" s="10">
        <f t="shared" si="30"/>
        <v>26.935204649999996</v>
      </c>
      <c r="Z99" s="4" t="s">
        <v>3057</v>
      </c>
      <c r="AA99" s="10">
        <f t="shared" si="31"/>
        <v>18.854643254999996</v>
      </c>
      <c r="AB99" s="4" t="s">
        <v>3057</v>
      </c>
      <c r="AC99" s="10">
        <f t="shared" si="32"/>
        <v>13.198250278499996</v>
      </c>
      <c r="AD99" s="4">
        <v>49.999999999999986</v>
      </c>
      <c r="AE99" s="10">
        <f t="shared" si="33"/>
        <v>9.2387751949499961</v>
      </c>
      <c r="AF99" s="4">
        <v>41.999999999999993</v>
      </c>
      <c r="AG99" s="10">
        <f t="shared" si="34"/>
        <v>21.467142636464992</v>
      </c>
      <c r="AH99" s="4">
        <v>65.000000000000014</v>
      </c>
      <c r="AI99" s="10">
        <f t="shared" si="35"/>
        <v>27.626999845525489</v>
      </c>
      <c r="AJ99" s="4">
        <v>26</v>
      </c>
      <c r="AK99" s="10">
        <f t="shared" si="36"/>
        <v>38.83889989186784</v>
      </c>
      <c r="AL99" s="4">
        <v>37</v>
      </c>
      <c r="AM99" s="10">
        <f t="shared" si="37"/>
        <v>34.987229924307485</v>
      </c>
      <c r="AN99" s="5">
        <f t="shared" si="38"/>
        <v>2.0127700756925151</v>
      </c>
      <c r="AO99" s="6">
        <f t="shared" si="39"/>
        <v>5.4399191234932844E-2</v>
      </c>
    </row>
    <row r="100" spans="1:41" x14ac:dyDescent="0.25">
      <c r="A100" t="s">
        <v>1718</v>
      </c>
      <c r="B100" t="s">
        <v>2587</v>
      </c>
      <c r="C100" t="str">
        <f>_xlfn.XLOOKUP(A100,Fore!A:A,Fore!AC:AC)</f>
        <v>CZ</v>
      </c>
      <c r="D100" s="4" t="s">
        <v>3057</v>
      </c>
      <c r="E100" s="10" t="str">
        <f t="shared" si="20"/>
        <v>0</v>
      </c>
      <c r="F100" s="4" t="s">
        <v>3057</v>
      </c>
      <c r="G100" s="10">
        <f t="shared" si="21"/>
        <v>0</v>
      </c>
      <c r="H100" s="4" t="s">
        <v>3057</v>
      </c>
      <c r="I100" s="10">
        <f t="shared" si="22"/>
        <v>0</v>
      </c>
      <c r="J100" s="4" t="s">
        <v>3057</v>
      </c>
      <c r="K100" s="10">
        <f t="shared" si="23"/>
        <v>0</v>
      </c>
      <c r="L100" s="4" t="s">
        <v>3057</v>
      </c>
      <c r="M100" s="10">
        <f t="shared" si="24"/>
        <v>0</v>
      </c>
      <c r="N100" s="4" t="s">
        <v>3057</v>
      </c>
      <c r="O100" s="10">
        <f t="shared" si="25"/>
        <v>0</v>
      </c>
      <c r="P100" s="4" t="s">
        <v>3057</v>
      </c>
      <c r="Q100" s="10">
        <f t="shared" si="26"/>
        <v>0</v>
      </c>
      <c r="R100" s="4">
        <v>10</v>
      </c>
      <c r="S100" s="10">
        <f t="shared" si="27"/>
        <v>0</v>
      </c>
      <c r="T100" s="4">
        <v>9</v>
      </c>
      <c r="U100" s="10">
        <f t="shared" si="28"/>
        <v>3</v>
      </c>
      <c r="V100" s="4" t="s">
        <v>3057</v>
      </c>
      <c r="W100" s="10">
        <f t="shared" si="29"/>
        <v>4.7999999999999989</v>
      </c>
      <c r="X100" s="4">
        <v>0</v>
      </c>
      <c r="Y100" s="10">
        <f t="shared" si="30"/>
        <v>3.359999999999999</v>
      </c>
      <c r="Z100" s="4" t="s">
        <v>3057</v>
      </c>
      <c r="AA100" s="10">
        <f t="shared" si="31"/>
        <v>2.351999999999999</v>
      </c>
      <c r="AB100" s="4">
        <v>199.99999999999994</v>
      </c>
      <c r="AC100" s="10">
        <f t="shared" si="32"/>
        <v>1.6463999999999992</v>
      </c>
      <c r="AD100" s="4" t="s">
        <v>3057</v>
      </c>
      <c r="AE100" s="10">
        <f t="shared" si="33"/>
        <v>61.152479999999976</v>
      </c>
      <c r="AF100" s="4">
        <v>20</v>
      </c>
      <c r="AG100" s="10">
        <f t="shared" si="34"/>
        <v>42.806735999999979</v>
      </c>
      <c r="AH100" s="4">
        <v>194</v>
      </c>
      <c r="AI100" s="10">
        <f t="shared" si="35"/>
        <v>35.964715199999986</v>
      </c>
      <c r="AJ100" s="4" t="s">
        <v>3057</v>
      </c>
      <c r="AK100" s="10">
        <f t="shared" si="36"/>
        <v>83.375300639999978</v>
      </c>
      <c r="AL100" s="4" t="s">
        <v>3057</v>
      </c>
      <c r="AM100" s="10">
        <f t="shared" si="37"/>
        <v>58.36271044799998</v>
      </c>
      <c r="AN100" s="5">
        <f t="shared" si="38"/>
        <v>58.36271044799998</v>
      </c>
      <c r="AO100" s="6" t="str">
        <f t="shared" si="39"/>
        <v>0</v>
      </c>
    </row>
    <row r="101" spans="1:41" x14ac:dyDescent="0.25">
      <c r="A101" t="s">
        <v>2518</v>
      </c>
      <c r="B101" t="s">
        <v>2913</v>
      </c>
      <c r="C101" t="str">
        <f>_xlfn.XLOOKUP(A101,Fore!A:A,Fore!AC:AC)</f>
        <v>CY</v>
      </c>
      <c r="D101" s="4" t="s">
        <v>3057</v>
      </c>
      <c r="E101" s="10" t="str">
        <f t="shared" si="20"/>
        <v>0</v>
      </c>
      <c r="F101" s="4" t="s">
        <v>3057</v>
      </c>
      <c r="G101" s="10">
        <f t="shared" si="21"/>
        <v>0</v>
      </c>
      <c r="H101" s="4" t="s">
        <v>3057</v>
      </c>
      <c r="I101" s="10">
        <f t="shared" si="22"/>
        <v>0</v>
      </c>
      <c r="J101" s="4" t="s">
        <v>3057</v>
      </c>
      <c r="K101" s="10">
        <f t="shared" si="23"/>
        <v>0</v>
      </c>
      <c r="L101" s="4" t="s">
        <v>3057</v>
      </c>
      <c r="M101" s="10">
        <f t="shared" si="24"/>
        <v>0</v>
      </c>
      <c r="N101" s="4" t="s">
        <v>3057</v>
      </c>
      <c r="O101" s="10">
        <f t="shared" si="25"/>
        <v>0</v>
      </c>
      <c r="P101" s="4" t="s">
        <v>3057</v>
      </c>
      <c r="Q101" s="10">
        <f t="shared" si="26"/>
        <v>0</v>
      </c>
      <c r="R101" s="4" t="s">
        <v>3057</v>
      </c>
      <c r="S101" s="10">
        <f t="shared" si="27"/>
        <v>0</v>
      </c>
      <c r="T101" s="4" t="s">
        <v>3057</v>
      </c>
      <c r="U101" s="10">
        <f t="shared" si="28"/>
        <v>0</v>
      </c>
      <c r="V101" s="4" t="s">
        <v>3057</v>
      </c>
      <c r="W101" s="10">
        <f t="shared" si="29"/>
        <v>0</v>
      </c>
      <c r="X101" s="4">
        <v>0</v>
      </c>
      <c r="Y101" s="10">
        <f t="shared" si="30"/>
        <v>0</v>
      </c>
      <c r="Z101" s="4" t="s">
        <v>3057</v>
      </c>
      <c r="AA101" s="10">
        <f t="shared" si="31"/>
        <v>0</v>
      </c>
      <c r="AB101" s="4" t="s">
        <v>3057</v>
      </c>
      <c r="AC101" s="10">
        <f t="shared" si="32"/>
        <v>0</v>
      </c>
      <c r="AD101" s="4" t="s">
        <v>3057</v>
      </c>
      <c r="AE101" s="10">
        <f t="shared" si="33"/>
        <v>0</v>
      </c>
      <c r="AF101" s="4" t="s">
        <v>3057</v>
      </c>
      <c r="AG101" s="10">
        <f t="shared" si="34"/>
        <v>0</v>
      </c>
      <c r="AH101" s="4" t="s">
        <v>3057</v>
      </c>
      <c r="AI101" s="10">
        <f t="shared" si="35"/>
        <v>0</v>
      </c>
      <c r="AJ101" s="4" t="s">
        <v>3057</v>
      </c>
      <c r="AK101" s="10">
        <f t="shared" si="36"/>
        <v>0</v>
      </c>
      <c r="AL101" s="4">
        <v>429.85750000000007</v>
      </c>
      <c r="AM101" s="10">
        <f t="shared" si="37"/>
        <v>0</v>
      </c>
      <c r="AN101" s="5">
        <f t="shared" si="38"/>
        <v>429.85750000000007</v>
      </c>
      <c r="AO101" s="6">
        <f t="shared" si="39"/>
        <v>1</v>
      </c>
    </row>
    <row r="102" spans="1:41" x14ac:dyDescent="0.25">
      <c r="A102" t="s">
        <v>944</v>
      </c>
      <c r="B102" t="s">
        <v>2618</v>
      </c>
      <c r="C102" t="str">
        <f>_xlfn.XLOOKUP(A102,Fore!A:A,Fore!AC:AC)</f>
        <v>CY</v>
      </c>
      <c r="D102" s="4" t="s">
        <v>3057</v>
      </c>
      <c r="E102" s="10" t="str">
        <f t="shared" si="20"/>
        <v>0</v>
      </c>
      <c r="F102" s="4" t="s">
        <v>3057</v>
      </c>
      <c r="G102" s="10">
        <f t="shared" si="21"/>
        <v>0</v>
      </c>
      <c r="H102" s="4">
        <v>60</v>
      </c>
      <c r="I102" s="10">
        <f t="shared" si="22"/>
        <v>0</v>
      </c>
      <c r="J102" s="4" t="s">
        <v>3057</v>
      </c>
      <c r="K102" s="10">
        <f t="shared" si="23"/>
        <v>18</v>
      </c>
      <c r="L102" s="4">
        <v>12</v>
      </c>
      <c r="M102" s="10">
        <f t="shared" si="24"/>
        <v>12.6</v>
      </c>
      <c r="N102" s="4">
        <v>70</v>
      </c>
      <c r="O102" s="10">
        <f t="shared" si="25"/>
        <v>12.179999999999998</v>
      </c>
      <c r="P102" s="4">
        <v>74</v>
      </c>
      <c r="Q102" s="10">
        <f t="shared" si="26"/>
        <v>29.525999999999996</v>
      </c>
      <c r="R102" s="4">
        <v>6</v>
      </c>
      <c r="S102" s="10">
        <f t="shared" si="27"/>
        <v>42.868199999999995</v>
      </c>
      <c r="T102" s="4">
        <v>61</v>
      </c>
      <c r="U102" s="10">
        <f t="shared" si="28"/>
        <v>31.807739999999995</v>
      </c>
      <c r="V102" s="4" t="s">
        <v>3057</v>
      </c>
      <c r="W102" s="10">
        <f t="shared" si="29"/>
        <v>40.565417999999994</v>
      </c>
      <c r="X102" s="4">
        <v>12</v>
      </c>
      <c r="Y102" s="10">
        <f t="shared" si="30"/>
        <v>28.395792599999993</v>
      </c>
      <c r="Z102" s="4" t="s">
        <v>3057</v>
      </c>
      <c r="AA102" s="10">
        <f t="shared" si="31"/>
        <v>23.477054819999992</v>
      </c>
      <c r="AB102" s="4">
        <v>12</v>
      </c>
      <c r="AC102" s="10">
        <f t="shared" si="32"/>
        <v>16.433938373999993</v>
      </c>
      <c r="AD102" s="4">
        <v>36</v>
      </c>
      <c r="AE102" s="10">
        <f t="shared" si="33"/>
        <v>15.103756861799994</v>
      </c>
      <c r="AF102" s="4">
        <v>24</v>
      </c>
      <c r="AG102" s="10">
        <f t="shared" si="34"/>
        <v>21.372629803259994</v>
      </c>
      <c r="AH102" s="4">
        <v>12</v>
      </c>
      <c r="AI102" s="10">
        <f t="shared" si="35"/>
        <v>22.160840862281994</v>
      </c>
      <c r="AJ102" s="4" t="s">
        <v>3057</v>
      </c>
      <c r="AK102" s="10">
        <f t="shared" si="36"/>
        <v>19.112588603597395</v>
      </c>
      <c r="AL102" s="4">
        <v>44</v>
      </c>
      <c r="AM102" s="10">
        <f t="shared" si="37"/>
        <v>13.378812022518176</v>
      </c>
      <c r="AN102" s="5">
        <f t="shared" si="38"/>
        <v>30.621187977481824</v>
      </c>
      <c r="AO102" s="6">
        <f t="shared" si="39"/>
        <v>0.69593609039731419</v>
      </c>
    </row>
    <row r="103" spans="1:41" x14ac:dyDescent="0.25">
      <c r="A103" t="s">
        <v>1631</v>
      </c>
      <c r="B103" t="s">
        <v>2601</v>
      </c>
      <c r="C103" t="str">
        <f>_xlfn.XLOOKUP(A103,Fore!A:A,Fore!AC:AC)</f>
        <v>CY</v>
      </c>
      <c r="D103" s="4" t="s">
        <v>3057</v>
      </c>
      <c r="E103" s="10" t="str">
        <f t="shared" si="20"/>
        <v>0</v>
      </c>
      <c r="F103" s="4" t="s">
        <v>3057</v>
      </c>
      <c r="G103" s="10">
        <f t="shared" si="21"/>
        <v>0</v>
      </c>
      <c r="H103" s="4" t="s">
        <v>3057</v>
      </c>
      <c r="I103" s="10">
        <f t="shared" si="22"/>
        <v>0</v>
      </c>
      <c r="J103" s="4" t="s">
        <v>3057</v>
      </c>
      <c r="K103" s="10">
        <f t="shared" si="23"/>
        <v>0</v>
      </c>
      <c r="L103" s="4" t="s">
        <v>3057</v>
      </c>
      <c r="M103" s="10">
        <f t="shared" si="24"/>
        <v>0</v>
      </c>
      <c r="N103" s="4" t="s">
        <v>3057</v>
      </c>
      <c r="O103" s="10">
        <f t="shared" si="25"/>
        <v>0</v>
      </c>
      <c r="P103" s="4">
        <v>300</v>
      </c>
      <c r="Q103" s="10">
        <f t="shared" si="26"/>
        <v>0</v>
      </c>
      <c r="R103" s="4" t="s">
        <v>3057</v>
      </c>
      <c r="S103" s="10">
        <f t="shared" si="27"/>
        <v>90</v>
      </c>
      <c r="T103" s="4" t="s">
        <v>3057</v>
      </c>
      <c r="U103" s="10">
        <f t="shared" si="28"/>
        <v>62.999999999999993</v>
      </c>
      <c r="V103" s="4" t="s">
        <v>3057</v>
      </c>
      <c r="W103" s="10">
        <f t="shared" si="29"/>
        <v>44.099999999999994</v>
      </c>
      <c r="X103" s="4">
        <v>0</v>
      </c>
      <c r="Y103" s="10">
        <f t="shared" si="30"/>
        <v>30.869999999999994</v>
      </c>
      <c r="Z103" s="4" t="s">
        <v>3057</v>
      </c>
      <c r="AA103" s="10">
        <f t="shared" si="31"/>
        <v>21.608999999999995</v>
      </c>
      <c r="AB103" s="4" t="s">
        <v>3057</v>
      </c>
      <c r="AC103" s="10">
        <f t="shared" si="32"/>
        <v>15.126299999999995</v>
      </c>
      <c r="AD103" s="4" t="s">
        <v>3057</v>
      </c>
      <c r="AE103" s="10">
        <f t="shared" si="33"/>
        <v>10.588409999999996</v>
      </c>
      <c r="AF103" s="4" t="s">
        <v>3057</v>
      </c>
      <c r="AG103" s="10">
        <f t="shared" si="34"/>
        <v>7.4118869999999966</v>
      </c>
      <c r="AH103" s="4" t="s">
        <v>3057</v>
      </c>
      <c r="AI103" s="10">
        <f t="shared" si="35"/>
        <v>5.1883208999999972</v>
      </c>
      <c r="AJ103" s="4" t="s">
        <v>3057</v>
      </c>
      <c r="AK103" s="10">
        <f t="shared" si="36"/>
        <v>3.6318246299999979</v>
      </c>
      <c r="AL103" s="4">
        <v>100</v>
      </c>
      <c r="AM103" s="10">
        <f t="shared" si="37"/>
        <v>2.5422772409999985</v>
      </c>
      <c r="AN103" s="5">
        <f t="shared" si="38"/>
        <v>97.457722759000006</v>
      </c>
      <c r="AO103" s="6">
        <f t="shared" si="39"/>
        <v>0.97457722759000009</v>
      </c>
    </row>
    <row r="104" spans="1:41" x14ac:dyDescent="0.25">
      <c r="A104" t="s">
        <v>1715</v>
      </c>
      <c r="B104" t="s">
        <v>2890</v>
      </c>
      <c r="C104" t="str">
        <f>_xlfn.XLOOKUP(A104,Fore!A:A,Fore!AC:AC)</f>
        <v>CY</v>
      </c>
      <c r="D104" s="4" t="s">
        <v>3057</v>
      </c>
      <c r="E104" s="10" t="str">
        <f t="shared" si="20"/>
        <v>0</v>
      </c>
      <c r="F104" s="4" t="s">
        <v>3057</v>
      </c>
      <c r="G104" s="10">
        <f t="shared" si="21"/>
        <v>0</v>
      </c>
      <c r="H104" s="4" t="s">
        <v>3057</v>
      </c>
      <c r="I104" s="10">
        <f t="shared" si="22"/>
        <v>0</v>
      </c>
      <c r="J104" s="4" t="s">
        <v>3057</v>
      </c>
      <c r="K104" s="10">
        <f t="shared" si="23"/>
        <v>0</v>
      </c>
      <c r="L104" s="4" t="s">
        <v>3057</v>
      </c>
      <c r="M104" s="10">
        <f t="shared" si="24"/>
        <v>0</v>
      </c>
      <c r="N104" s="4" t="s">
        <v>3057</v>
      </c>
      <c r="O104" s="10">
        <f t="shared" si="25"/>
        <v>0</v>
      </c>
      <c r="P104" s="4" t="s">
        <v>3057</v>
      </c>
      <c r="Q104" s="10">
        <f t="shared" si="26"/>
        <v>0</v>
      </c>
      <c r="R104" s="4">
        <v>150</v>
      </c>
      <c r="S104" s="10">
        <f t="shared" si="27"/>
        <v>0</v>
      </c>
      <c r="T104" s="4">
        <v>250</v>
      </c>
      <c r="U104" s="10">
        <f t="shared" si="28"/>
        <v>45</v>
      </c>
      <c r="V104" s="4" t="s">
        <v>3057</v>
      </c>
      <c r="W104" s="10">
        <f t="shared" si="29"/>
        <v>106.5</v>
      </c>
      <c r="X104" s="4">
        <v>0</v>
      </c>
      <c r="Y104" s="10">
        <f t="shared" si="30"/>
        <v>74.55</v>
      </c>
      <c r="Z104" s="4" t="s">
        <v>3057</v>
      </c>
      <c r="AA104" s="10">
        <f t="shared" si="31"/>
        <v>52.184999999999995</v>
      </c>
      <c r="AB104" s="4" t="s">
        <v>3057</v>
      </c>
      <c r="AC104" s="10">
        <f t="shared" si="32"/>
        <v>36.529499999999992</v>
      </c>
      <c r="AD104" s="4" t="s">
        <v>3057</v>
      </c>
      <c r="AE104" s="10">
        <f t="shared" si="33"/>
        <v>25.570649999999993</v>
      </c>
      <c r="AF104" s="4" t="s">
        <v>3057</v>
      </c>
      <c r="AG104" s="10">
        <f t="shared" si="34"/>
        <v>17.899454999999993</v>
      </c>
      <c r="AH104" s="4" t="s">
        <v>3057</v>
      </c>
      <c r="AI104" s="10">
        <f t="shared" si="35"/>
        <v>12.529618499999994</v>
      </c>
      <c r="AJ104" s="4" t="s">
        <v>3057</v>
      </c>
      <c r="AK104" s="10">
        <f t="shared" si="36"/>
        <v>8.7707329499999958</v>
      </c>
      <c r="AL104" s="4" t="s">
        <v>3057</v>
      </c>
      <c r="AM104" s="10">
        <f t="shared" si="37"/>
        <v>6.1395130649999965</v>
      </c>
      <c r="AN104" s="5">
        <f t="shared" si="38"/>
        <v>6.1395130649999965</v>
      </c>
      <c r="AO104" s="6" t="str">
        <f t="shared" si="39"/>
        <v>0</v>
      </c>
    </row>
    <row r="105" spans="1:41" x14ac:dyDescent="0.25">
      <c r="A105" t="s">
        <v>612</v>
      </c>
      <c r="B105" t="s">
        <v>2617</v>
      </c>
      <c r="C105" t="str">
        <f>_xlfn.XLOOKUP(A105,Fore!A:A,Fore!AC:AC)</f>
        <v>CY</v>
      </c>
      <c r="D105" s="4" t="s">
        <v>3057</v>
      </c>
      <c r="E105" s="10" t="str">
        <f t="shared" si="20"/>
        <v>0</v>
      </c>
      <c r="F105" s="4" t="s">
        <v>3057</v>
      </c>
      <c r="G105" s="10">
        <f t="shared" si="21"/>
        <v>0</v>
      </c>
      <c r="H105" s="4" t="s">
        <v>3057</v>
      </c>
      <c r="I105" s="10">
        <f t="shared" si="22"/>
        <v>0</v>
      </c>
      <c r="J105" s="4">
        <v>10</v>
      </c>
      <c r="K105" s="10">
        <f t="shared" si="23"/>
        <v>0</v>
      </c>
      <c r="L105" s="4">
        <v>20</v>
      </c>
      <c r="M105" s="10">
        <f t="shared" si="24"/>
        <v>3</v>
      </c>
      <c r="N105" s="4">
        <v>40.000199999999992</v>
      </c>
      <c r="O105" s="10">
        <f t="shared" si="25"/>
        <v>14.9</v>
      </c>
      <c r="P105" s="4">
        <v>70.999799999999993</v>
      </c>
      <c r="Q105" s="10">
        <f t="shared" si="26"/>
        <v>22.430059999999997</v>
      </c>
      <c r="R105" s="4">
        <v>10</v>
      </c>
      <c r="S105" s="10">
        <f t="shared" si="27"/>
        <v>37.000981999999993</v>
      </c>
      <c r="T105" s="4" t="s">
        <v>3057</v>
      </c>
      <c r="U105" s="10">
        <f t="shared" si="28"/>
        <v>28.900687399999995</v>
      </c>
      <c r="V105" s="4">
        <v>19.999999999999986</v>
      </c>
      <c r="W105" s="10">
        <f t="shared" si="29"/>
        <v>20.230481179999995</v>
      </c>
      <c r="X105" s="4">
        <v>0</v>
      </c>
      <c r="Y105" s="10">
        <f t="shared" si="30"/>
        <v>20.161336825999992</v>
      </c>
      <c r="Z105" s="4" t="s">
        <v>3057</v>
      </c>
      <c r="AA105" s="10">
        <f t="shared" si="31"/>
        <v>14.112935778199994</v>
      </c>
      <c r="AB105" s="4">
        <v>49.999999999999993</v>
      </c>
      <c r="AC105" s="10">
        <f t="shared" si="32"/>
        <v>9.8790550447399941</v>
      </c>
      <c r="AD105" s="4">
        <v>50</v>
      </c>
      <c r="AE105" s="10">
        <f t="shared" si="33"/>
        <v>21.915338531317992</v>
      </c>
      <c r="AF105" s="4">
        <v>60</v>
      </c>
      <c r="AG105" s="10">
        <f t="shared" si="34"/>
        <v>30.340736971922595</v>
      </c>
      <c r="AH105" s="4">
        <v>36</v>
      </c>
      <c r="AI105" s="10">
        <f t="shared" si="35"/>
        <v>39.238515880345815</v>
      </c>
      <c r="AJ105" s="4">
        <v>20</v>
      </c>
      <c r="AK105" s="10">
        <f t="shared" si="36"/>
        <v>38.266961116242065</v>
      </c>
      <c r="AL105" s="4">
        <v>10</v>
      </c>
      <c r="AM105" s="10">
        <f t="shared" si="37"/>
        <v>32.786872781369439</v>
      </c>
      <c r="AN105" s="5">
        <f t="shared" si="38"/>
        <v>22.786872781369439</v>
      </c>
      <c r="AO105" s="6">
        <f t="shared" si="39"/>
        <v>2.2786872781369438</v>
      </c>
    </row>
    <row r="106" spans="1:41" x14ac:dyDescent="0.25">
      <c r="A106" t="s">
        <v>1525</v>
      </c>
      <c r="B106" t="s">
        <v>2894</v>
      </c>
      <c r="C106" t="str">
        <f>_xlfn.XLOOKUP(A106,Fore!A:A,Fore!AC:AC)</f>
        <v>CX</v>
      </c>
      <c r="D106" s="4" t="s">
        <v>3057</v>
      </c>
      <c r="E106" s="10" t="str">
        <f t="shared" si="20"/>
        <v>0</v>
      </c>
      <c r="F106" s="4" t="s">
        <v>3057</v>
      </c>
      <c r="G106" s="10">
        <f t="shared" si="21"/>
        <v>0</v>
      </c>
      <c r="H106" s="4" t="s">
        <v>3057</v>
      </c>
      <c r="I106" s="10">
        <f t="shared" si="22"/>
        <v>0</v>
      </c>
      <c r="J106" s="4" t="s">
        <v>3057</v>
      </c>
      <c r="K106" s="10">
        <f t="shared" si="23"/>
        <v>0</v>
      </c>
      <c r="L106" s="4" t="s">
        <v>3057</v>
      </c>
      <c r="M106" s="10">
        <f t="shared" si="24"/>
        <v>0</v>
      </c>
      <c r="N106" s="4">
        <v>250</v>
      </c>
      <c r="O106" s="10">
        <f t="shared" si="25"/>
        <v>0</v>
      </c>
      <c r="P106" s="4" t="s">
        <v>3057</v>
      </c>
      <c r="Q106" s="10">
        <f t="shared" si="26"/>
        <v>75</v>
      </c>
      <c r="R106" s="4" t="s">
        <v>3057</v>
      </c>
      <c r="S106" s="10">
        <f t="shared" si="27"/>
        <v>52.5</v>
      </c>
      <c r="T106" s="4" t="s">
        <v>3057</v>
      </c>
      <c r="U106" s="10">
        <f t="shared" si="28"/>
        <v>36.75</v>
      </c>
      <c r="V106" s="4" t="s">
        <v>3057</v>
      </c>
      <c r="W106" s="10">
        <f t="shared" si="29"/>
        <v>25.724999999999998</v>
      </c>
      <c r="X106" s="4">
        <v>120</v>
      </c>
      <c r="Y106" s="10">
        <f t="shared" si="30"/>
        <v>18.007499999999997</v>
      </c>
      <c r="Z106" s="4" t="s">
        <v>3057</v>
      </c>
      <c r="AA106" s="10">
        <f t="shared" si="31"/>
        <v>48.605249999999998</v>
      </c>
      <c r="AB106" s="4" t="s">
        <v>3057</v>
      </c>
      <c r="AC106" s="10">
        <f t="shared" si="32"/>
        <v>34.023674999999997</v>
      </c>
      <c r="AD106" s="4" t="s">
        <v>3057</v>
      </c>
      <c r="AE106" s="10">
        <f t="shared" si="33"/>
        <v>23.816572499999996</v>
      </c>
      <c r="AF106" s="4" t="s">
        <v>3057</v>
      </c>
      <c r="AG106" s="10">
        <f t="shared" si="34"/>
        <v>16.671600749999996</v>
      </c>
      <c r="AH106" s="4" t="s">
        <v>3057</v>
      </c>
      <c r="AI106" s="10">
        <f t="shared" si="35"/>
        <v>11.670120524999996</v>
      </c>
      <c r="AJ106" s="4" t="s">
        <v>3057</v>
      </c>
      <c r="AK106" s="10">
        <f t="shared" si="36"/>
        <v>8.1690843674999964</v>
      </c>
      <c r="AL106" s="4" t="s">
        <v>3057</v>
      </c>
      <c r="AM106" s="10">
        <f t="shared" si="37"/>
        <v>5.7183590572499972</v>
      </c>
      <c r="AN106" s="5">
        <f t="shared" si="38"/>
        <v>5.7183590572499972</v>
      </c>
      <c r="AO106" s="6" t="str">
        <f t="shared" si="39"/>
        <v>0</v>
      </c>
    </row>
    <row r="107" spans="1:41" x14ac:dyDescent="0.25">
      <c r="A107" t="s">
        <v>1784</v>
      </c>
      <c r="B107" t="s">
        <v>2927</v>
      </c>
      <c r="C107" t="str">
        <f>_xlfn.XLOOKUP(A107,Fore!A:A,Fore!AC:AC)</f>
        <v>CX</v>
      </c>
      <c r="D107" s="4" t="s">
        <v>3057</v>
      </c>
      <c r="E107" s="10" t="str">
        <f t="shared" si="20"/>
        <v>0</v>
      </c>
      <c r="F107" s="4" t="s">
        <v>3057</v>
      </c>
      <c r="G107" s="10">
        <f t="shared" si="21"/>
        <v>0</v>
      </c>
      <c r="H107" s="4" t="s">
        <v>3057</v>
      </c>
      <c r="I107" s="10">
        <f t="shared" si="22"/>
        <v>0</v>
      </c>
      <c r="J107" s="4" t="s">
        <v>3057</v>
      </c>
      <c r="K107" s="10">
        <f t="shared" si="23"/>
        <v>0</v>
      </c>
      <c r="L107" s="4" t="s">
        <v>3057</v>
      </c>
      <c r="M107" s="10">
        <f t="shared" si="24"/>
        <v>0</v>
      </c>
      <c r="N107" s="4" t="s">
        <v>3057</v>
      </c>
      <c r="O107" s="10">
        <f t="shared" si="25"/>
        <v>0</v>
      </c>
      <c r="P107" s="4" t="s">
        <v>3057</v>
      </c>
      <c r="Q107" s="10">
        <f t="shared" si="26"/>
        <v>0</v>
      </c>
      <c r="R107" s="4" t="s">
        <v>3057</v>
      </c>
      <c r="S107" s="10">
        <f t="shared" si="27"/>
        <v>0</v>
      </c>
      <c r="T107" s="4">
        <v>200</v>
      </c>
      <c r="U107" s="10">
        <f t="shared" si="28"/>
        <v>0</v>
      </c>
      <c r="V107" s="4" t="s">
        <v>3057</v>
      </c>
      <c r="W107" s="10">
        <f t="shared" si="29"/>
        <v>60</v>
      </c>
      <c r="X107" s="4">
        <v>170</v>
      </c>
      <c r="Y107" s="10">
        <f t="shared" si="30"/>
        <v>42</v>
      </c>
      <c r="Z107" s="4" t="s">
        <v>3057</v>
      </c>
      <c r="AA107" s="10">
        <f t="shared" si="31"/>
        <v>80.400000000000006</v>
      </c>
      <c r="AB107" s="4" t="s">
        <v>3057</v>
      </c>
      <c r="AC107" s="10">
        <f t="shared" si="32"/>
        <v>56.28</v>
      </c>
      <c r="AD107" s="4" t="s">
        <v>3057</v>
      </c>
      <c r="AE107" s="10">
        <f t="shared" si="33"/>
        <v>39.396000000000001</v>
      </c>
      <c r="AF107" s="4" t="s">
        <v>3057</v>
      </c>
      <c r="AG107" s="10">
        <f t="shared" si="34"/>
        <v>27.577199999999998</v>
      </c>
      <c r="AH107" s="4" t="s">
        <v>3057</v>
      </c>
      <c r="AI107" s="10">
        <f t="shared" si="35"/>
        <v>19.304039999999997</v>
      </c>
      <c r="AJ107" s="4" t="s">
        <v>3057</v>
      </c>
      <c r="AK107" s="10">
        <f t="shared" si="36"/>
        <v>13.512827999999997</v>
      </c>
      <c r="AL107" s="4" t="s">
        <v>3057</v>
      </c>
      <c r="AM107" s="10">
        <f t="shared" si="37"/>
        <v>9.4589795999999975</v>
      </c>
      <c r="AN107" s="5">
        <f t="shared" si="38"/>
        <v>9.4589795999999975</v>
      </c>
      <c r="AO107" s="6" t="str">
        <f t="shared" si="39"/>
        <v>0</v>
      </c>
    </row>
    <row r="108" spans="1:41" x14ac:dyDescent="0.25">
      <c r="A108" t="s">
        <v>630</v>
      </c>
      <c r="B108" t="s">
        <v>2760</v>
      </c>
      <c r="C108" t="str">
        <f>_xlfn.XLOOKUP(A108,Fore!A:A,Fore!AC:AC)</f>
        <v>CY</v>
      </c>
      <c r="D108" s="4" t="s">
        <v>3057</v>
      </c>
      <c r="E108" s="10" t="str">
        <f t="shared" si="20"/>
        <v>0</v>
      </c>
      <c r="F108" s="4" t="s">
        <v>3057</v>
      </c>
      <c r="G108" s="10">
        <f t="shared" si="21"/>
        <v>0</v>
      </c>
      <c r="H108" s="4" t="s">
        <v>3057</v>
      </c>
      <c r="I108" s="10">
        <f t="shared" si="22"/>
        <v>0</v>
      </c>
      <c r="J108" s="4">
        <v>22.999999999999996</v>
      </c>
      <c r="K108" s="10">
        <f t="shared" si="23"/>
        <v>0</v>
      </c>
      <c r="L108" s="4">
        <v>11</v>
      </c>
      <c r="M108" s="10">
        <f t="shared" si="24"/>
        <v>6.8999999999999986</v>
      </c>
      <c r="N108" s="4">
        <v>28.000000000000004</v>
      </c>
      <c r="O108" s="10">
        <f t="shared" si="25"/>
        <v>9.77</v>
      </c>
      <c r="P108" s="4">
        <v>38</v>
      </c>
      <c r="Q108" s="10">
        <f t="shared" si="26"/>
        <v>15.239000000000001</v>
      </c>
      <c r="R108" s="4">
        <v>42.000000000000021</v>
      </c>
      <c r="S108" s="10">
        <f t="shared" si="27"/>
        <v>22.067299999999999</v>
      </c>
      <c r="T108" s="4">
        <v>12.887099999999998</v>
      </c>
      <c r="U108" s="10">
        <f t="shared" si="28"/>
        <v>28.047110000000004</v>
      </c>
      <c r="V108" s="4">
        <v>4</v>
      </c>
      <c r="W108" s="10">
        <f t="shared" si="29"/>
        <v>23.499106999999999</v>
      </c>
      <c r="X108" s="4">
        <v>29.999999999999996</v>
      </c>
      <c r="Y108" s="10">
        <f t="shared" si="30"/>
        <v>17.649374899999998</v>
      </c>
      <c r="Z108" s="4">
        <v>2</v>
      </c>
      <c r="AA108" s="10">
        <f t="shared" si="31"/>
        <v>21.354562429999994</v>
      </c>
      <c r="AB108" s="4" t="s">
        <v>3057</v>
      </c>
      <c r="AC108" s="10">
        <f t="shared" si="32"/>
        <v>15.548193700999995</v>
      </c>
      <c r="AD108" s="4">
        <v>21.550000000000004</v>
      </c>
      <c r="AE108" s="10">
        <f t="shared" si="33"/>
        <v>10.883735590699995</v>
      </c>
      <c r="AF108" s="4">
        <v>26.000000000000004</v>
      </c>
      <c r="AG108" s="10">
        <f t="shared" si="34"/>
        <v>14.083614913489997</v>
      </c>
      <c r="AH108" s="4">
        <v>36</v>
      </c>
      <c r="AI108" s="10">
        <f t="shared" si="35"/>
        <v>17.658530439442998</v>
      </c>
      <c r="AJ108" s="4">
        <v>53</v>
      </c>
      <c r="AK108" s="10">
        <f t="shared" si="36"/>
        <v>23.160971307610097</v>
      </c>
      <c r="AL108" s="4">
        <v>28.999999999999996</v>
      </c>
      <c r="AM108" s="10">
        <f t="shared" si="37"/>
        <v>32.112679915327064</v>
      </c>
      <c r="AN108" s="5">
        <f t="shared" si="38"/>
        <v>3.1126799153270674</v>
      </c>
      <c r="AO108" s="6">
        <f t="shared" si="39"/>
        <v>0.10733379018369199</v>
      </c>
    </row>
    <row r="109" spans="1:41" x14ac:dyDescent="0.25">
      <c r="A109" t="s">
        <v>924</v>
      </c>
      <c r="B109" t="s">
        <v>2616</v>
      </c>
      <c r="C109" t="str">
        <f>_xlfn.XLOOKUP(A109,Fore!A:A,Fore!AC:AC)</f>
        <v>CY</v>
      </c>
      <c r="D109" s="4" t="s">
        <v>3057</v>
      </c>
      <c r="E109" s="10" t="str">
        <f t="shared" si="20"/>
        <v>0</v>
      </c>
      <c r="F109" s="4" t="s">
        <v>3057</v>
      </c>
      <c r="G109" s="10">
        <f t="shared" si="21"/>
        <v>0</v>
      </c>
      <c r="H109" s="4" t="s">
        <v>3057</v>
      </c>
      <c r="I109" s="10">
        <f t="shared" si="22"/>
        <v>0</v>
      </c>
      <c r="J109" s="4" t="s">
        <v>3057</v>
      </c>
      <c r="K109" s="10">
        <f t="shared" si="23"/>
        <v>0</v>
      </c>
      <c r="L109" s="4">
        <v>51.999999999999972</v>
      </c>
      <c r="M109" s="10">
        <f t="shared" si="24"/>
        <v>0</v>
      </c>
      <c r="N109" s="4" t="s">
        <v>3057</v>
      </c>
      <c r="O109" s="10">
        <f t="shared" si="25"/>
        <v>36.399999999999977</v>
      </c>
      <c r="P109" s="4">
        <v>25.199999999999992</v>
      </c>
      <c r="Q109" s="10">
        <f t="shared" si="26"/>
        <v>25.479999999999983</v>
      </c>
      <c r="R109" s="4" t="s">
        <v>3057</v>
      </c>
      <c r="S109" s="10">
        <f t="shared" si="27"/>
        <v>25.395999999999987</v>
      </c>
      <c r="T109" s="4">
        <v>92.8</v>
      </c>
      <c r="U109" s="10">
        <f t="shared" si="28"/>
        <v>17.77719999999999</v>
      </c>
      <c r="V109" s="4" t="s">
        <v>3057</v>
      </c>
      <c r="W109" s="10">
        <f t="shared" si="29"/>
        <v>40.28403999999999</v>
      </c>
      <c r="X109" s="4">
        <v>0</v>
      </c>
      <c r="Y109" s="10">
        <f t="shared" si="30"/>
        <v>28.198827999999992</v>
      </c>
      <c r="Z109" s="4" t="s">
        <v>3057</v>
      </c>
      <c r="AA109" s="10">
        <f t="shared" si="31"/>
        <v>19.739179599999993</v>
      </c>
      <c r="AB109" s="4">
        <v>20</v>
      </c>
      <c r="AC109" s="10">
        <f t="shared" si="32"/>
        <v>13.817425719999994</v>
      </c>
      <c r="AD109" s="4">
        <v>6</v>
      </c>
      <c r="AE109" s="10">
        <f t="shared" si="33"/>
        <v>15.672198003999995</v>
      </c>
      <c r="AF109" s="4">
        <v>60</v>
      </c>
      <c r="AG109" s="10">
        <f t="shared" si="34"/>
        <v>12.770538602799995</v>
      </c>
      <c r="AH109" s="4">
        <v>40</v>
      </c>
      <c r="AI109" s="10">
        <f t="shared" si="35"/>
        <v>26.939377021959995</v>
      </c>
      <c r="AJ109" s="4">
        <v>20</v>
      </c>
      <c r="AK109" s="10">
        <f t="shared" si="36"/>
        <v>30.857563915371994</v>
      </c>
      <c r="AL109" s="4">
        <v>40</v>
      </c>
      <c r="AM109" s="10">
        <f t="shared" si="37"/>
        <v>27.600294740760393</v>
      </c>
      <c r="AN109" s="5">
        <f t="shared" si="38"/>
        <v>12.399705259239607</v>
      </c>
      <c r="AO109" s="6">
        <f t="shared" si="39"/>
        <v>0.30999263148099016</v>
      </c>
    </row>
    <row r="110" spans="1:41" x14ac:dyDescent="0.25">
      <c r="A110" t="s">
        <v>641</v>
      </c>
      <c r="B110" t="s">
        <v>2615</v>
      </c>
      <c r="C110" t="str">
        <f>_xlfn.XLOOKUP(A110,Fore!A:A,Fore!AC:AC)</f>
        <v>CY</v>
      </c>
      <c r="D110" s="4" t="s">
        <v>3057</v>
      </c>
      <c r="E110" s="10" t="str">
        <f t="shared" si="20"/>
        <v>0</v>
      </c>
      <c r="F110" s="4" t="s">
        <v>3057</v>
      </c>
      <c r="G110" s="10">
        <f t="shared" si="21"/>
        <v>0</v>
      </c>
      <c r="H110" s="4" t="s">
        <v>3057</v>
      </c>
      <c r="I110" s="10">
        <f t="shared" si="22"/>
        <v>0</v>
      </c>
      <c r="J110" s="4">
        <v>44</v>
      </c>
      <c r="K110" s="10">
        <f t="shared" si="23"/>
        <v>0</v>
      </c>
      <c r="L110" s="4">
        <v>42.75</v>
      </c>
      <c r="M110" s="10">
        <f t="shared" si="24"/>
        <v>13.2</v>
      </c>
      <c r="N110" s="4">
        <v>11</v>
      </c>
      <c r="O110" s="10">
        <f t="shared" si="25"/>
        <v>33.884999999999998</v>
      </c>
      <c r="P110" s="4" t="s">
        <v>3057</v>
      </c>
      <c r="Q110" s="10">
        <f t="shared" si="26"/>
        <v>27.019499999999997</v>
      </c>
      <c r="R110" s="4">
        <v>14.999999999999995</v>
      </c>
      <c r="S110" s="10">
        <f t="shared" si="27"/>
        <v>18.913649999999997</v>
      </c>
      <c r="T110" s="4">
        <v>44.111200000000025</v>
      </c>
      <c r="U110" s="10">
        <f t="shared" si="28"/>
        <v>17.739554999999996</v>
      </c>
      <c r="V110" s="4">
        <v>21</v>
      </c>
      <c r="W110" s="10">
        <f t="shared" si="29"/>
        <v>25.651048500000002</v>
      </c>
      <c r="X110" s="4">
        <v>6</v>
      </c>
      <c r="Y110" s="10">
        <f t="shared" si="30"/>
        <v>24.25573395</v>
      </c>
      <c r="Z110" s="4" t="s">
        <v>3057</v>
      </c>
      <c r="AA110" s="10">
        <f t="shared" si="31"/>
        <v>18.779013764999998</v>
      </c>
      <c r="AB110" s="4">
        <v>44</v>
      </c>
      <c r="AC110" s="10">
        <f t="shared" si="32"/>
        <v>13.145309635499999</v>
      </c>
      <c r="AD110" s="4">
        <v>27.499999999999993</v>
      </c>
      <c r="AE110" s="10">
        <f t="shared" si="33"/>
        <v>22.401716744849999</v>
      </c>
      <c r="AF110" s="4">
        <v>32.29999999999999</v>
      </c>
      <c r="AG110" s="10">
        <f t="shared" si="34"/>
        <v>23.931201721394999</v>
      </c>
      <c r="AH110" s="4">
        <v>29.199999999999996</v>
      </c>
      <c r="AI110" s="10">
        <f t="shared" si="35"/>
        <v>26.441841204976491</v>
      </c>
      <c r="AJ110" s="4">
        <v>32</v>
      </c>
      <c r="AK110" s="10">
        <f t="shared" si="36"/>
        <v>27.26928884348354</v>
      </c>
      <c r="AL110" s="4">
        <v>6.0000000000000009</v>
      </c>
      <c r="AM110" s="10">
        <f t="shared" si="37"/>
        <v>28.688502190438477</v>
      </c>
      <c r="AN110" s="5">
        <f t="shared" si="38"/>
        <v>22.688502190438477</v>
      </c>
      <c r="AO110" s="6">
        <f t="shared" si="39"/>
        <v>3.7814170317397457</v>
      </c>
    </row>
    <row r="111" spans="1:41" x14ac:dyDescent="0.25">
      <c r="A111" t="s">
        <v>163</v>
      </c>
      <c r="B111" t="s">
        <v>2610</v>
      </c>
      <c r="C111" t="str">
        <f>_xlfn.XLOOKUP(A111,Fore!A:A,Fore!AC:AC)</f>
        <v>CY</v>
      </c>
      <c r="D111" s="4" t="s">
        <v>3057</v>
      </c>
      <c r="E111" s="10" t="str">
        <f t="shared" si="20"/>
        <v>0</v>
      </c>
      <c r="F111" s="4" t="s">
        <v>3057</v>
      </c>
      <c r="G111" s="10">
        <f t="shared" si="21"/>
        <v>0</v>
      </c>
      <c r="H111" s="4" t="s">
        <v>3057</v>
      </c>
      <c r="I111" s="10">
        <f t="shared" si="22"/>
        <v>0</v>
      </c>
      <c r="J111" s="4">
        <v>60</v>
      </c>
      <c r="K111" s="10">
        <f t="shared" si="23"/>
        <v>0</v>
      </c>
      <c r="L111" s="4">
        <v>10</v>
      </c>
      <c r="M111" s="10">
        <f t="shared" si="24"/>
        <v>18</v>
      </c>
      <c r="N111" s="4">
        <v>35</v>
      </c>
      <c r="O111" s="10">
        <f t="shared" si="25"/>
        <v>12.399999999999999</v>
      </c>
      <c r="P111" s="4">
        <v>15</v>
      </c>
      <c r="Q111" s="10">
        <f t="shared" si="26"/>
        <v>19.18</v>
      </c>
      <c r="R111" s="4">
        <v>30</v>
      </c>
      <c r="S111" s="10">
        <f t="shared" si="27"/>
        <v>17.925999999999998</v>
      </c>
      <c r="T111" s="4">
        <v>20</v>
      </c>
      <c r="U111" s="10">
        <f t="shared" si="28"/>
        <v>21.548199999999998</v>
      </c>
      <c r="V111" s="4">
        <v>30</v>
      </c>
      <c r="W111" s="10">
        <f t="shared" si="29"/>
        <v>21.083739999999999</v>
      </c>
      <c r="X111" s="4">
        <v>30</v>
      </c>
      <c r="Y111" s="10">
        <f t="shared" si="30"/>
        <v>23.758617999999998</v>
      </c>
      <c r="Z111" s="4" t="s">
        <v>3057</v>
      </c>
      <c r="AA111" s="10">
        <f t="shared" si="31"/>
        <v>25.631032599999998</v>
      </c>
      <c r="AB111" s="4">
        <v>5</v>
      </c>
      <c r="AC111" s="10">
        <f t="shared" si="32"/>
        <v>17.941722819999995</v>
      </c>
      <c r="AD111" s="4">
        <v>24</v>
      </c>
      <c r="AE111" s="10">
        <f t="shared" si="33"/>
        <v>14.059205973999996</v>
      </c>
      <c r="AF111" s="4">
        <v>10</v>
      </c>
      <c r="AG111" s="10">
        <f t="shared" si="34"/>
        <v>17.041444181799996</v>
      </c>
      <c r="AH111" s="4">
        <v>20</v>
      </c>
      <c r="AI111" s="10">
        <f t="shared" si="35"/>
        <v>14.929010927259997</v>
      </c>
      <c r="AJ111" s="4">
        <v>25</v>
      </c>
      <c r="AK111" s="10">
        <f t="shared" si="36"/>
        <v>16.450307649081999</v>
      </c>
      <c r="AL111" s="4">
        <v>35</v>
      </c>
      <c r="AM111" s="10">
        <f t="shared" si="37"/>
        <v>19.015215354357398</v>
      </c>
      <c r="AN111" s="5">
        <f t="shared" si="38"/>
        <v>15.984784645642602</v>
      </c>
      <c r="AO111" s="6">
        <f t="shared" si="39"/>
        <v>0.45670813273264577</v>
      </c>
    </row>
    <row r="112" spans="1:41" x14ac:dyDescent="0.25">
      <c r="A112" t="s">
        <v>2259</v>
      </c>
      <c r="B112" t="s">
        <v>2582</v>
      </c>
      <c r="C112" t="str">
        <f>_xlfn.XLOOKUP(A112,Fore!A:A,Fore!AC:AC)</f>
        <v>CY</v>
      </c>
      <c r="D112" s="4" t="s">
        <v>3057</v>
      </c>
      <c r="E112" s="10" t="str">
        <f t="shared" si="20"/>
        <v>0</v>
      </c>
      <c r="F112" s="4" t="s">
        <v>3057</v>
      </c>
      <c r="G112" s="10">
        <f t="shared" si="21"/>
        <v>0</v>
      </c>
      <c r="H112" s="4" t="s">
        <v>3057</v>
      </c>
      <c r="I112" s="10">
        <f t="shared" si="22"/>
        <v>0</v>
      </c>
      <c r="J112" s="4" t="s">
        <v>3057</v>
      </c>
      <c r="K112" s="10">
        <f t="shared" si="23"/>
        <v>0</v>
      </c>
      <c r="L112" s="4" t="s">
        <v>3057</v>
      </c>
      <c r="M112" s="10">
        <f t="shared" si="24"/>
        <v>0</v>
      </c>
      <c r="N112" s="4" t="s">
        <v>3057</v>
      </c>
      <c r="O112" s="10">
        <f t="shared" si="25"/>
        <v>0</v>
      </c>
      <c r="P112" s="4" t="s">
        <v>3057</v>
      </c>
      <c r="Q112" s="10">
        <f t="shared" si="26"/>
        <v>0</v>
      </c>
      <c r="R112" s="4" t="s">
        <v>3057</v>
      </c>
      <c r="S112" s="10">
        <f t="shared" si="27"/>
        <v>0</v>
      </c>
      <c r="T112" s="4" t="s">
        <v>3057</v>
      </c>
      <c r="U112" s="10">
        <f t="shared" si="28"/>
        <v>0</v>
      </c>
      <c r="V112" s="4" t="s">
        <v>3057</v>
      </c>
      <c r="W112" s="10">
        <f t="shared" si="29"/>
        <v>0</v>
      </c>
      <c r="X112" s="4">
        <v>0</v>
      </c>
      <c r="Y112" s="10">
        <f t="shared" si="30"/>
        <v>0</v>
      </c>
      <c r="Z112" s="4" t="s">
        <v>3057</v>
      </c>
      <c r="AA112" s="10">
        <f t="shared" si="31"/>
        <v>0</v>
      </c>
      <c r="AB112" s="4" t="s">
        <v>3057</v>
      </c>
      <c r="AC112" s="10">
        <f t="shared" si="32"/>
        <v>0</v>
      </c>
      <c r="AD112" s="4" t="s">
        <v>3057</v>
      </c>
      <c r="AE112" s="10">
        <f t="shared" si="33"/>
        <v>0</v>
      </c>
      <c r="AF112" s="4" t="s">
        <v>3057</v>
      </c>
      <c r="AG112" s="10">
        <f t="shared" si="34"/>
        <v>0</v>
      </c>
      <c r="AH112" s="4">
        <v>300</v>
      </c>
      <c r="AI112" s="10">
        <f t="shared" si="35"/>
        <v>0</v>
      </c>
      <c r="AJ112" s="4" t="s">
        <v>3057</v>
      </c>
      <c r="AK112" s="10">
        <f t="shared" si="36"/>
        <v>90</v>
      </c>
      <c r="AL112" s="4" t="s">
        <v>3057</v>
      </c>
      <c r="AM112" s="10">
        <f t="shared" si="37"/>
        <v>62.999999999999993</v>
      </c>
      <c r="AN112" s="5">
        <f t="shared" si="38"/>
        <v>62.999999999999993</v>
      </c>
      <c r="AO112" s="6" t="str">
        <f t="shared" si="39"/>
        <v>0</v>
      </c>
    </row>
    <row r="113" spans="1:41" x14ac:dyDescent="0.25">
      <c r="A113" t="s">
        <v>1712</v>
      </c>
      <c r="B113" t="s">
        <v>2906</v>
      </c>
      <c r="C113" t="str">
        <f>_xlfn.XLOOKUP(A113,Fore!A:A,Fore!AC:AC)</f>
        <v>CY</v>
      </c>
      <c r="D113" s="4" t="s">
        <v>3057</v>
      </c>
      <c r="E113" s="10" t="str">
        <f t="shared" si="20"/>
        <v>0</v>
      </c>
      <c r="F113" s="4" t="s">
        <v>3057</v>
      </c>
      <c r="G113" s="10">
        <f t="shared" si="21"/>
        <v>0</v>
      </c>
      <c r="H113" s="4" t="s">
        <v>3057</v>
      </c>
      <c r="I113" s="10">
        <f t="shared" si="22"/>
        <v>0</v>
      </c>
      <c r="J113" s="4" t="s">
        <v>3057</v>
      </c>
      <c r="K113" s="10">
        <f t="shared" si="23"/>
        <v>0</v>
      </c>
      <c r="L113" s="4" t="s">
        <v>3057</v>
      </c>
      <c r="M113" s="10">
        <f t="shared" si="24"/>
        <v>0</v>
      </c>
      <c r="N113" s="4" t="s">
        <v>3057</v>
      </c>
      <c r="O113" s="10">
        <f t="shared" si="25"/>
        <v>0</v>
      </c>
      <c r="P113" s="4" t="s">
        <v>3057</v>
      </c>
      <c r="Q113" s="10">
        <f t="shared" si="26"/>
        <v>0</v>
      </c>
      <c r="R113" s="4">
        <v>100</v>
      </c>
      <c r="S113" s="10">
        <f t="shared" si="27"/>
        <v>0</v>
      </c>
      <c r="T113" s="4">
        <v>200</v>
      </c>
      <c r="U113" s="10">
        <f t="shared" si="28"/>
        <v>30</v>
      </c>
      <c r="V113" s="4" t="s">
        <v>3057</v>
      </c>
      <c r="W113" s="10">
        <f t="shared" si="29"/>
        <v>81</v>
      </c>
      <c r="X113" s="4">
        <v>0</v>
      </c>
      <c r="Y113" s="10">
        <f t="shared" si="30"/>
        <v>56.699999999999996</v>
      </c>
      <c r="Z113" s="4" t="s">
        <v>3057</v>
      </c>
      <c r="AA113" s="10">
        <f t="shared" si="31"/>
        <v>39.69</v>
      </c>
      <c r="AB113" s="4" t="s">
        <v>3057</v>
      </c>
      <c r="AC113" s="10">
        <f t="shared" si="32"/>
        <v>27.782999999999998</v>
      </c>
      <c r="AD113" s="4" t="s">
        <v>3057</v>
      </c>
      <c r="AE113" s="10">
        <f t="shared" si="33"/>
        <v>19.448099999999997</v>
      </c>
      <c r="AF113" s="4" t="s">
        <v>3057</v>
      </c>
      <c r="AG113" s="10">
        <f t="shared" si="34"/>
        <v>13.613669999999997</v>
      </c>
      <c r="AH113" s="4" t="s">
        <v>3057</v>
      </c>
      <c r="AI113" s="10">
        <f t="shared" si="35"/>
        <v>9.5295689999999968</v>
      </c>
      <c r="AJ113" s="4" t="s">
        <v>3057</v>
      </c>
      <c r="AK113" s="10">
        <f t="shared" si="36"/>
        <v>6.6706982999999971</v>
      </c>
      <c r="AL113" s="4" t="s">
        <v>3057</v>
      </c>
      <c r="AM113" s="10">
        <f t="shared" si="37"/>
        <v>4.669488809999998</v>
      </c>
      <c r="AN113" s="5">
        <f t="shared" si="38"/>
        <v>4.669488809999998</v>
      </c>
      <c r="AO113" s="6" t="str">
        <f t="shared" si="39"/>
        <v>0</v>
      </c>
    </row>
    <row r="114" spans="1:41" x14ac:dyDescent="0.25">
      <c r="A114" t="s">
        <v>1932</v>
      </c>
      <c r="B114" t="s">
        <v>2930</v>
      </c>
      <c r="C114" t="str">
        <f>_xlfn.XLOOKUP(A114,Fore!A:A,Fore!AC:AC)</f>
        <v>CX</v>
      </c>
      <c r="D114" s="4" t="s">
        <v>3057</v>
      </c>
      <c r="E114" s="10" t="str">
        <f t="shared" si="20"/>
        <v>0</v>
      </c>
      <c r="F114" s="4" t="s">
        <v>3057</v>
      </c>
      <c r="G114" s="10">
        <f t="shared" si="21"/>
        <v>0</v>
      </c>
      <c r="H114" s="4" t="s">
        <v>3057</v>
      </c>
      <c r="I114" s="10">
        <f t="shared" si="22"/>
        <v>0</v>
      </c>
      <c r="J114" s="4" t="s">
        <v>3057</v>
      </c>
      <c r="K114" s="10">
        <f t="shared" si="23"/>
        <v>0</v>
      </c>
      <c r="L114" s="4" t="s">
        <v>3057</v>
      </c>
      <c r="M114" s="10">
        <f t="shared" si="24"/>
        <v>0</v>
      </c>
      <c r="N114" s="4" t="s">
        <v>3057</v>
      </c>
      <c r="O114" s="10">
        <f t="shared" si="25"/>
        <v>0</v>
      </c>
      <c r="P114" s="4" t="s">
        <v>3057</v>
      </c>
      <c r="Q114" s="10">
        <f t="shared" si="26"/>
        <v>0</v>
      </c>
      <c r="R114" s="4" t="s">
        <v>3057</v>
      </c>
      <c r="S114" s="10">
        <f t="shared" si="27"/>
        <v>0</v>
      </c>
      <c r="T114" s="4" t="s">
        <v>3057</v>
      </c>
      <c r="U114" s="10">
        <f t="shared" si="28"/>
        <v>0</v>
      </c>
      <c r="V114" s="4" t="s">
        <v>3057</v>
      </c>
      <c r="W114" s="10">
        <f t="shared" si="29"/>
        <v>0</v>
      </c>
      <c r="X114" s="4">
        <v>300</v>
      </c>
      <c r="Y114" s="10">
        <f t="shared" si="30"/>
        <v>0</v>
      </c>
      <c r="Z114" s="4" t="s">
        <v>3057</v>
      </c>
      <c r="AA114" s="10">
        <f t="shared" si="31"/>
        <v>90</v>
      </c>
      <c r="AB114" s="4" t="s">
        <v>3057</v>
      </c>
      <c r="AC114" s="10">
        <f t="shared" si="32"/>
        <v>62.999999999999993</v>
      </c>
      <c r="AD114" s="4" t="s">
        <v>3057</v>
      </c>
      <c r="AE114" s="10">
        <f t="shared" si="33"/>
        <v>44.099999999999994</v>
      </c>
      <c r="AF114" s="4" t="s">
        <v>3057</v>
      </c>
      <c r="AG114" s="10">
        <f t="shared" si="34"/>
        <v>30.869999999999994</v>
      </c>
      <c r="AH114" s="4" t="s">
        <v>3057</v>
      </c>
      <c r="AI114" s="10">
        <f t="shared" si="35"/>
        <v>21.608999999999995</v>
      </c>
      <c r="AJ114" s="4" t="s">
        <v>3057</v>
      </c>
      <c r="AK114" s="10">
        <f t="shared" si="36"/>
        <v>15.126299999999995</v>
      </c>
      <c r="AL114" s="4" t="s">
        <v>3057</v>
      </c>
      <c r="AM114" s="10">
        <f t="shared" si="37"/>
        <v>10.588409999999996</v>
      </c>
      <c r="AN114" s="5">
        <f t="shared" si="38"/>
        <v>10.588409999999996</v>
      </c>
      <c r="AO114" s="6" t="str">
        <f t="shared" si="39"/>
        <v>0</v>
      </c>
    </row>
    <row r="115" spans="1:41" x14ac:dyDescent="0.25">
      <c r="A115" t="s">
        <v>650</v>
      </c>
      <c r="B115" t="s">
        <v>2697</v>
      </c>
      <c r="C115" t="str">
        <f>_xlfn.XLOOKUP(A115,Fore!A:A,Fore!AC:AC)</f>
        <v>CY</v>
      </c>
      <c r="D115" s="4" t="s">
        <v>3057</v>
      </c>
      <c r="E115" s="10" t="str">
        <f t="shared" si="20"/>
        <v>0</v>
      </c>
      <c r="F115" s="4" t="s">
        <v>3057</v>
      </c>
      <c r="G115" s="10">
        <f t="shared" si="21"/>
        <v>0</v>
      </c>
      <c r="H115" s="4" t="s">
        <v>3057</v>
      </c>
      <c r="I115" s="10">
        <f t="shared" si="22"/>
        <v>0</v>
      </c>
      <c r="J115" s="4">
        <v>4</v>
      </c>
      <c r="K115" s="10">
        <f t="shared" si="23"/>
        <v>0</v>
      </c>
      <c r="L115" s="4">
        <v>20</v>
      </c>
      <c r="M115" s="10">
        <f t="shared" si="24"/>
        <v>1.2</v>
      </c>
      <c r="N115" s="4">
        <v>50.000000000000007</v>
      </c>
      <c r="O115" s="10">
        <f t="shared" si="25"/>
        <v>14.36</v>
      </c>
      <c r="P115" s="4">
        <v>33.000000000000014</v>
      </c>
      <c r="Q115" s="10">
        <f t="shared" si="26"/>
        <v>25.052</v>
      </c>
      <c r="R115" s="4">
        <v>41</v>
      </c>
      <c r="S115" s="10">
        <f t="shared" si="27"/>
        <v>27.436399999999999</v>
      </c>
      <c r="T115" s="4">
        <v>32.428399999999989</v>
      </c>
      <c r="U115" s="10">
        <f t="shared" si="28"/>
        <v>31.505479999999999</v>
      </c>
      <c r="V115" s="4">
        <v>22.000000000000007</v>
      </c>
      <c r="W115" s="10">
        <f t="shared" si="29"/>
        <v>31.782355999999993</v>
      </c>
      <c r="X115" s="4">
        <v>6</v>
      </c>
      <c r="Y115" s="10">
        <f t="shared" si="30"/>
        <v>28.847649199999996</v>
      </c>
      <c r="Z115" s="4" t="s">
        <v>3057</v>
      </c>
      <c r="AA115" s="10">
        <f t="shared" si="31"/>
        <v>21.993354439999997</v>
      </c>
      <c r="AB115" s="4">
        <v>5.0000000000000009</v>
      </c>
      <c r="AC115" s="10">
        <f t="shared" si="32"/>
        <v>15.395348107999997</v>
      </c>
      <c r="AD115" s="4">
        <v>21</v>
      </c>
      <c r="AE115" s="10">
        <f t="shared" si="33"/>
        <v>12.276743675599997</v>
      </c>
      <c r="AF115" s="4">
        <v>5.0000000000000009</v>
      </c>
      <c r="AG115" s="10">
        <f t="shared" si="34"/>
        <v>14.893720572919996</v>
      </c>
      <c r="AH115" s="4">
        <v>26</v>
      </c>
      <c r="AI115" s="10">
        <f t="shared" si="35"/>
        <v>11.925604401043996</v>
      </c>
      <c r="AJ115" s="4" t="s">
        <v>3057</v>
      </c>
      <c r="AK115" s="10">
        <f t="shared" si="36"/>
        <v>16.147923080730795</v>
      </c>
      <c r="AL115" s="4">
        <v>21.999999999999989</v>
      </c>
      <c r="AM115" s="10">
        <f t="shared" si="37"/>
        <v>11.303546156511556</v>
      </c>
      <c r="AN115" s="5">
        <f t="shared" si="38"/>
        <v>10.696453843488433</v>
      </c>
      <c r="AO115" s="6">
        <f t="shared" si="39"/>
        <v>0.48620244743129265</v>
      </c>
    </row>
    <row r="116" spans="1:41" x14ac:dyDescent="0.25">
      <c r="A116" t="s">
        <v>640</v>
      </c>
      <c r="B116" t="s">
        <v>2637</v>
      </c>
      <c r="C116" t="str">
        <f>_xlfn.XLOOKUP(A116,Fore!A:A,Fore!AC:AC)</f>
        <v>CY</v>
      </c>
      <c r="D116" s="4" t="s">
        <v>3057</v>
      </c>
      <c r="E116" s="10" t="str">
        <f t="shared" si="20"/>
        <v>0</v>
      </c>
      <c r="F116" s="4" t="s">
        <v>3057</v>
      </c>
      <c r="G116" s="10">
        <f t="shared" si="21"/>
        <v>0</v>
      </c>
      <c r="H116" s="4" t="s">
        <v>3057</v>
      </c>
      <c r="I116" s="10">
        <f t="shared" si="22"/>
        <v>0</v>
      </c>
      <c r="J116" s="4">
        <v>10</v>
      </c>
      <c r="K116" s="10">
        <f t="shared" si="23"/>
        <v>0</v>
      </c>
      <c r="L116" s="4" t="s">
        <v>3057</v>
      </c>
      <c r="M116" s="10">
        <f t="shared" si="24"/>
        <v>3</v>
      </c>
      <c r="N116" s="4">
        <v>84</v>
      </c>
      <c r="O116" s="10">
        <f t="shared" si="25"/>
        <v>0.89999999999999991</v>
      </c>
      <c r="P116" s="4">
        <v>54.000000000000014</v>
      </c>
      <c r="Q116" s="10">
        <f t="shared" si="26"/>
        <v>25.83</v>
      </c>
      <c r="R116" s="4">
        <v>24.999999999999996</v>
      </c>
      <c r="S116" s="10">
        <f t="shared" si="27"/>
        <v>34.280999999999999</v>
      </c>
      <c r="T116" s="4">
        <v>22</v>
      </c>
      <c r="U116" s="10">
        <f t="shared" si="28"/>
        <v>31.496699999999997</v>
      </c>
      <c r="V116" s="4">
        <v>13.999999999999998</v>
      </c>
      <c r="W116" s="10">
        <f t="shared" si="29"/>
        <v>28.647689999999997</v>
      </c>
      <c r="X116" s="4">
        <v>0</v>
      </c>
      <c r="Y116" s="10">
        <f t="shared" si="30"/>
        <v>24.253382999999996</v>
      </c>
      <c r="Z116" s="4" t="s">
        <v>3057</v>
      </c>
      <c r="AA116" s="10">
        <f t="shared" si="31"/>
        <v>16.977368099999996</v>
      </c>
      <c r="AB116" s="4" t="s">
        <v>3057</v>
      </c>
      <c r="AC116" s="10">
        <f t="shared" si="32"/>
        <v>11.884157669999997</v>
      </c>
      <c r="AD116" s="4">
        <v>10</v>
      </c>
      <c r="AE116" s="10">
        <f t="shared" si="33"/>
        <v>8.3189103689999975</v>
      </c>
      <c r="AF116" s="4">
        <v>17</v>
      </c>
      <c r="AG116" s="10">
        <f t="shared" si="34"/>
        <v>8.8232372582999972</v>
      </c>
      <c r="AH116" s="4">
        <v>21.998999999999999</v>
      </c>
      <c r="AI116" s="10">
        <f t="shared" si="35"/>
        <v>11.276266080809997</v>
      </c>
      <c r="AJ116" s="4">
        <v>10</v>
      </c>
      <c r="AK116" s="10">
        <f t="shared" si="36"/>
        <v>14.493086256566997</v>
      </c>
      <c r="AL116" s="4">
        <v>12</v>
      </c>
      <c r="AM116" s="10">
        <f t="shared" si="37"/>
        <v>13.145160379596897</v>
      </c>
      <c r="AN116" s="5">
        <f t="shared" si="38"/>
        <v>1.1451603795968968</v>
      </c>
      <c r="AO116" s="6">
        <f t="shared" si="39"/>
        <v>9.543003163307473E-2</v>
      </c>
    </row>
    <row r="117" spans="1:41" x14ac:dyDescent="0.25">
      <c r="A117" t="s">
        <v>1122</v>
      </c>
      <c r="B117" t="s">
        <v>2947</v>
      </c>
      <c r="C117" t="str">
        <f>_xlfn.XLOOKUP(A117,Fore!A:A,Fore!AC:AC)</f>
        <v>CY</v>
      </c>
      <c r="D117" s="4" t="s">
        <v>3057</v>
      </c>
      <c r="E117" s="10" t="str">
        <f t="shared" si="20"/>
        <v>0</v>
      </c>
      <c r="F117" s="4" t="s">
        <v>3057</v>
      </c>
      <c r="G117" s="10">
        <f t="shared" si="21"/>
        <v>0</v>
      </c>
      <c r="H117" s="4" t="s">
        <v>3057</v>
      </c>
      <c r="I117" s="10">
        <f t="shared" si="22"/>
        <v>0</v>
      </c>
      <c r="J117" s="4" t="s">
        <v>3057</v>
      </c>
      <c r="K117" s="10">
        <f t="shared" si="23"/>
        <v>0</v>
      </c>
      <c r="L117" s="4">
        <v>279</v>
      </c>
      <c r="M117" s="10">
        <f t="shared" si="24"/>
        <v>0</v>
      </c>
      <c r="N117" s="4" t="s">
        <v>3057</v>
      </c>
      <c r="O117" s="10">
        <f t="shared" si="25"/>
        <v>195.29999999999998</v>
      </c>
      <c r="P117" s="4" t="s">
        <v>3057</v>
      </c>
      <c r="Q117" s="10">
        <f t="shared" si="26"/>
        <v>136.70999999999998</v>
      </c>
      <c r="R117" s="4" t="s">
        <v>3057</v>
      </c>
      <c r="S117" s="10">
        <f t="shared" si="27"/>
        <v>95.696999999999974</v>
      </c>
      <c r="T117" s="4" t="s">
        <v>3057</v>
      </c>
      <c r="U117" s="10">
        <f t="shared" si="28"/>
        <v>66.987899999999982</v>
      </c>
      <c r="V117" s="4" t="s">
        <v>3057</v>
      </c>
      <c r="W117" s="10">
        <f t="shared" si="29"/>
        <v>46.891529999999982</v>
      </c>
      <c r="X117" s="4">
        <v>0</v>
      </c>
      <c r="Y117" s="10">
        <f t="shared" si="30"/>
        <v>32.824070999999982</v>
      </c>
      <c r="Z117" s="4" t="s">
        <v>3057</v>
      </c>
      <c r="AA117" s="10">
        <f t="shared" si="31"/>
        <v>22.976849699999985</v>
      </c>
      <c r="AB117" s="4" t="s">
        <v>3057</v>
      </c>
      <c r="AC117" s="10">
        <f t="shared" si="32"/>
        <v>16.083794789999988</v>
      </c>
      <c r="AD117" s="4" t="s">
        <v>3057</v>
      </c>
      <c r="AE117" s="10">
        <f t="shared" si="33"/>
        <v>11.25865635299999</v>
      </c>
      <c r="AF117" s="4" t="s">
        <v>3057</v>
      </c>
      <c r="AG117" s="10">
        <f t="shared" si="34"/>
        <v>7.8810594470999931</v>
      </c>
      <c r="AH117" s="4" t="s">
        <v>3057</v>
      </c>
      <c r="AI117" s="10">
        <f t="shared" si="35"/>
        <v>5.5167416129699944</v>
      </c>
      <c r="AJ117" s="4" t="s">
        <v>3057</v>
      </c>
      <c r="AK117" s="10">
        <f t="shared" si="36"/>
        <v>3.8617191290789958</v>
      </c>
      <c r="AL117" s="4" t="s">
        <v>3057</v>
      </c>
      <c r="AM117" s="10">
        <f t="shared" si="37"/>
        <v>2.7032033903552968</v>
      </c>
      <c r="AN117" s="5">
        <f t="shared" si="38"/>
        <v>2.7032033903552968</v>
      </c>
      <c r="AO117" s="6" t="str">
        <f t="shared" si="39"/>
        <v>0</v>
      </c>
    </row>
    <row r="118" spans="1:41" x14ac:dyDescent="0.25">
      <c r="A118" t="s">
        <v>1874</v>
      </c>
      <c r="B118" t="s">
        <v>2948</v>
      </c>
      <c r="C118" t="str">
        <f>_xlfn.XLOOKUP(A118,Fore!A:A,Fore!AC:AC)</f>
        <v>CY</v>
      </c>
      <c r="D118" s="4" t="s">
        <v>3057</v>
      </c>
      <c r="E118" s="10" t="str">
        <f t="shared" si="20"/>
        <v>0</v>
      </c>
      <c r="F118" s="4" t="s">
        <v>3057</v>
      </c>
      <c r="G118" s="10">
        <f t="shared" si="21"/>
        <v>0</v>
      </c>
      <c r="H118" s="4" t="s">
        <v>3057</v>
      </c>
      <c r="I118" s="10">
        <f t="shared" si="22"/>
        <v>0</v>
      </c>
      <c r="J118" s="4" t="s">
        <v>3057</v>
      </c>
      <c r="K118" s="10">
        <f t="shared" si="23"/>
        <v>0</v>
      </c>
      <c r="L118" s="4" t="s">
        <v>3057</v>
      </c>
      <c r="M118" s="10">
        <f t="shared" si="24"/>
        <v>0</v>
      </c>
      <c r="N118" s="4" t="s">
        <v>3057</v>
      </c>
      <c r="O118" s="10">
        <f t="shared" si="25"/>
        <v>0</v>
      </c>
      <c r="P118" s="4" t="s">
        <v>3057</v>
      </c>
      <c r="Q118" s="10">
        <f t="shared" si="26"/>
        <v>0</v>
      </c>
      <c r="R118" s="4" t="s">
        <v>3057</v>
      </c>
      <c r="S118" s="10">
        <f t="shared" si="27"/>
        <v>0</v>
      </c>
      <c r="T118" s="4" t="s">
        <v>3057</v>
      </c>
      <c r="U118" s="10">
        <f t="shared" si="28"/>
        <v>0</v>
      </c>
      <c r="V118" s="4">
        <v>150</v>
      </c>
      <c r="W118" s="10">
        <f t="shared" si="29"/>
        <v>0</v>
      </c>
      <c r="X118" s="4">
        <v>0</v>
      </c>
      <c r="Y118" s="10">
        <f t="shared" si="30"/>
        <v>45</v>
      </c>
      <c r="Z118" s="4" t="s">
        <v>3057</v>
      </c>
      <c r="AA118" s="10">
        <f t="shared" si="31"/>
        <v>31.499999999999996</v>
      </c>
      <c r="AB118" s="4" t="s">
        <v>3057</v>
      </c>
      <c r="AC118" s="10">
        <f t="shared" si="32"/>
        <v>22.049999999999997</v>
      </c>
      <c r="AD118" s="4">
        <v>120</v>
      </c>
      <c r="AE118" s="10">
        <f t="shared" si="33"/>
        <v>15.434999999999997</v>
      </c>
      <c r="AF118" s="4" t="s">
        <v>3057</v>
      </c>
      <c r="AG118" s="10">
        <f t="shared" si="34"/>
        <v>46.804499999999997</v>
      </c>
      <c r="AH118" s="4" t="s">
        <v>3057</v>
      </c>
      <c r="AI118" s="10">
        <f t="shared" si="35"/>
        <v>32.763149999999996</v>
      </c>
      <c r="AJ118" s="4" t="s">
        <v>3057</v>
      </c>
      <c r="AK118" s="10">
        <f t="shared" si="36"/>
        <v>22.934204999999995</v>
      </c>
      <c r="AL118" s="4" t="s">
        <v>3057</v>
      </c>
      <c r="AM118" s="10">
        <f t="shared" si="37"/>
        <v>16.053943499999995</v>
      </c>
      <c r="AN118" s="5">
        <f t="shared" si="38"/>
        <v>16.053943499999995</v>
      </c>
      <c r="AO118" s="6" t="str">
        <f t="shared" si="39"/>
        <v>0</v>
      </c>
    </row>
    <row r="119" spans="1:41" x14ac:dyDescent="0.25">
      <c r="A119" t="s">
        <v>611</v>
      </c>
      <c r="B119" t="s">
        <v>2716</v>
      </c>
      <c r="C119" t="str">
        <f>_xlfn.XLOOKUP(A119,Fore!A:A,Fore!AC:AC)</f>
        <v>CY</v>
      </c>
      <c r="D119" s="4" t="s">
        <v>3057</v>
      </c>
      <c r="E119" s="10" t="str">
        <f t="shared" si="20"/>
        <v>0</v>
      </c>
      <c r="F119" s="4" t="s">
        <v>3057</v>
      </c>
      <c r="G119" s="10">
        <f t="shared" si="21"/>
        <v>0</v>
      </c>
      <c r="H119" s="4" t="s">
        <v>3057</v>
      </c>
      <c r="I119" s="10">
        <f t="shared" si="22"/>
        <v>0</v>
      </c>
      <c r="J119" s="4">
        <v>7</v>
      </c>
      <c r="K119" s="10">
        <f t="shared" si="23"/>
        <v>0</v>
      </c>
      <c r="L119" s="4">
        <v>20.000000000000004</v>
      </c>
      <c r="M119" s="10">
        <f t="shared" si="24"/>
        <v>2.1</v>
      </c>
      <c r="N119" s="4" t="s">
        <v>3057</v>
      </c>
      <c r="O119" s="10">
        <f t="shared" si="25"/>
        <v>14.630000000000003</v>
      </c>
      <c r="P119" s="4">
        <v>79.999999999999986</v>
      </c>
      <c r="Q119" s="10">
        <f t="shared" si="26"/>
        <v>10.241000000000001</v>
      </c>
      <c r="R119" s="4" t="s">
        <v>3057</v>
      </c>
      <c r="S119" s="10">
        <f t="shared" si="27"/>
        <v>31.168699999999998</v>
      </c>
      <c r="T119" s="4">
        <v>10</v>
      </c>
      <c r="U119" s="10">
        <f t="shared" si="28"/>
        <v>21.818089999999998</v>
      </c>
      <c r="V119" s="4">
        <v>10</v>
      </c>
      <c r="W119" s="10">
        <f t="shared" si="29"/>
        <v>18.272662999999998</v>
      </c>
      <c r="X119" s="4">
        <v>10.139999999999999</v>
      </c>
      <c r="Y119" s="10">
        <f t="shared" si="30"/>
        <v>15.790864099999999</v>
      </c>
      <c r="Z119" s="4" t="s">
        <v>3057</v>
      </c>
      <c r="AA119" s="10">
        <f t="shared" si="31"/>
        <v>14.095604869999999</v>
      </c>
      <c r="AB119" s="4" t="s">
        <v>3057</v>
      </c>
      <c r="AC119" s="10">
        <f t="shared" si="32"/>
        <v>9.8669234089999982</v>
      </c>
      <c r="AD119" s="4">
        <v>50</v>
      </c>
      <c r="AE119" s="10">
        <f t="shared" si="33"/>
        <v>6.906846386299998</v>
      </c>
      <c r="AF119" s="4">
        <v>60</v>
      </c>
      <c r="AG119" s="10">
        <f t="shared" si="34"/>
        <v>19.834792470409997</v>
      </c>
      <c r="AH119" s="4" t="s">
        <v>3057</v>
      </c>
      <c r="AI119" s="10">
        <f t="shared" si="35"/>
        <v>31.884354729286997</v>
      </c>
      <c r="AJ119" s="4" t="s">
        <v>3057</v>
      </c>
      <c r="AK119" s="10">
        <f t="shared" si="36"/>
        <v>22.319048310500897</v>
      </c>
      <c r="AL119" s="4">
        <v>19.999999999999996</v>
      </c>
      <c r="AM119" s="10">
        <f t="shared" si="37"/>
        <v>15.623333817350627</v>
      </c>
      <c r="AN119" s="5">
        <f t="shared" si="38"/>
        <v>4.3766661826493696</v>
      </c>
      <c r="AO119" s="6">
        <f t="shared" si="39"/>
        <v>0.21883330913246851</v>
      </c>
    </row>
    <row r="120" spans="1:41" x14ac:dyDescent="0.25">
      <c r="A120" t="s">
        <v>72</v>
      </c>
      <c r="B120" t="s">
        <v>2644</v>
      </c>
      <c r="C120" t="str">
        <f>_xlfn.XLOOKUP(A120,Fore!A:A,Fore!AC:AC)</f>
        <v>CX</v>
      </c>
      <c r="D120" s="4" t="s">
        <v>3057</v>
      </c>
      <c r="E120" s="10" t="str">
        <f t="shared" si="20"/>
        <v>0</v>
      </c>
      <c r="F120" s="4" t="s">
        <v>3057</v>
      </c>
      <c r="G120" s="10">
        <f t="shared" si="21"/>
        <v>0</v>
      </c>
      <c r="H120" s="4" t="s">
        <v>3057</v>
      </c>
      <c r="I120" s="10">
        <f t="shared" si="22"/>
        <v>0</v>
      </c>
      <c r="J120" s="4">
        <v>11</v>
      </c>
      <c r="K120" s="10">
        <f t="shared" si="23"/>
        <v>0</v>
      </c>
      <c r="L120" s="4">
        <v>27.1</v>
      </c>
      <c r="M120" s="10">
        <f t="shared" si="24"/>
        <v>3.3</v>
      </c>
      <c r="N120" s="4">
        <v>29.999999999999993</v>
      </c>
      <c r="O120" s="10">
        <f t="shared" si="25"/>
        <v>19.959999999999997</v>
      </c>
      <c r="P120" s="4">
        <v>21.999800000000018</v>
      </c>
      <c r="Q120" s="10">
        <f t="shared" si="26"/>
        <v>22.971999999999994</v>
      </c>
      <c r="R120" s="4">
        <v>18.599999999999991</v>
      </c>
      <c r="S120" s="10">
        <f t="shared" si="27"/>
        <v>22.680340000000001</v>
      </c>
      <c r="T120" s="4">
        <v>24.999999999999996</v>
      </c>
      <c r="U120" s="10">
        <f t="shared" si="28"/>
        <v>21.456237999999995</v>
      </c>
      <c r="V120" s="4">
        <v>23.500000000000004</v>
      </c>
      <c r="W120" s="10">
        <f t="shared" si="29"/>
        <v>22.519366599999994</v>
      </c>
      <c r="X120" s="4">
        <v>7</v>
      </c>
      <c r="Y120" s="10">
        <f t="shared" si="30"/>
        <v>22.813556619999996</v>
      </c>
      <c r="Z120" s="4" t="s">
        <v>3057</v>
      </c>
      <c r="AA120" s="10">
        <f t="shared" si="31"/>
        <v>18.069489633999996</v>
      </c>
      <c r="AB120" s="4">
        <v>8</v>
      </c>
      <c r="AC120" s="10">
        <f t="shared" si="32"/>
        <v>12.648642743799996</v>
      </c>
      <c r="AD120" s="4">
        <v>26.75</v>
      </c>
      <c r="AE120" s="10">
        <f t="shared" si="33"/>
        <v>11.254049920659996</v>
      </c>
      <c r="AF120" s="4">
        <v>21.249999999999989</v>
      </c>
      <c r="AG120" s="10">
        <f t="shared" si="34"/>
        <v>15.902834944461997</v>
      </c>
      <c r="AH120" s="4">
        <v>22.000000000000014</v>
      </c>
      <c r="AI120" s="10">
        <f t="shared" si="35"/>
        <v>17.506984461123395</v>
      </c>
      <c r="AJ120" s="4">
        <v>10</v>
      </c>
      <c r="AK120" s="10">
        <f t="shared" si="36"/>
        <v>18.854889122786378</v>
      </c>
      <c r="AL120" s="4" t="s">
        <v>3057</v>
      </c>
      <c r="AM120" s="10">
        <f t="shared" si="37"/>
        <v>16.198422385950465</v>
      </c>
      <c r="AN120" s="5">
        <f t="shared" si="38"/>
        <v>16.198422385950465</v>
      </c>
      <c r="AO120" s="6" t="str">
        <f t="shared" si="39"/>
        <v>0</v>
      </c>
    </row>
    <row r="121" spans="1:41" x14ac:dyDescent="0.25">
      <c r="A121" t="s">
        <v>1544</v>
      </c>
      <c r="B121" t="s">
        <v>2608</v>
      </c>
      <c r="C121" t="str">
        <f>_xlfn.XLOOKUP(A121,Fore!A:A,Fore!AC:AC)</f>
        <v>CY</v>
      </c>
      <c r="D121" s="4" t="s">
        <v>3057</v>
      </c>
      <c r="E121" s="10" t="str">
        <f t="shared" si="20"/>
        <v>0</v>
      </c>
      <c r="F121" s="4" t="s">
        <v>3057</v>
      </c>
      <c r="G121" s="10">
        <f t="shared" si="21"/>
        <v>0</v>
      </c>
      <c r="H121" s="4" t="s">
        <v>3057</v>
      </c>
      <c r="I121" s="10">
        <f t="shared" si="22"/>
        <v>0</v>
      </c>
      <c r="J121" s="4" t="s">
        <v>3057</v>
      </c>
      <c r="K121" s="10">
        <f t="shared" si="23"/>
        <v>0</v>
      </c>
      <c r="L121" s="4" t="s">
        <v>3057</v>
      </c>
      <c r="M121" s="10">
        <f t="shared" si="24"/>
        <v>0</v>
      </c>
      <c r="N121" s="4">
        <v>6</v>
      </c>
      <c r="O121" s="10">
        <f t="shared" si="25"/>
        <v>0</v>
      </c>
      <c r="P121" s="4">
        <v>33.999999999999993</v>
      </c>
      <c r="Q121" s="10">
        <f t="shared" si="26"/>
        <v>1.7999999999999998</v>
      </c>
      <c r="R121" s="4">
        <v>21</v>
      </c>
      <c r="S121" s="10">
        <f t="shared" si="27"/>
        <v>11.459999999999997</v>
      </c>
      <c r="T121" s="4">
        <v>46</v>
      </c>
      <c r="U121" s="10">
        <f t="shared" si="28"/>
        <v>14.321999999999999</v>
      </c>
      <c r="V121" s="4" t="s">
        <v>3057</v>
      </c>
      <c r="W121" s="10">
        <f t="shared" si="29"/>
        <v>23.825399999999998</v>
      </c>
      <c r="X121" s="4">
        <v>0</v>
      </c>
      <c r="Y121" s="10">
        <f t="shared" si="30"/>
        <v>16.677779999999998</v>
      </c>
      <c r="Z121" s="4">
        <v>3</v>
      </c>
      <c r="AA121" s="10">
        <f t="shared" si="31"/>
        <v>11.674445999999998</v>
      </c>
      <c r="AB121" s="4">
        <v>10</v>
      </c>
      <c r="AC121" s="10">
        <f t="shared" si="32"/>
        <v>9.0721121999999976</v>
      </c>
      <c r="AD121" s="4">
        <v>29.999999999999996</v>
      </c>
      <c r="AE121" s="10">
        <f t="shared" si="33"/>
        <v>9.3504785399999975</v>
      </c>
      <c r="AF121" s="4">
        <v>10</v>
      </c>
      <c r="AG121" s="10">
        <f t="shared" si="34"/>
        <v>15.545334977999996</v>
      </c>
      <c r="AH121" s="4">
        <v>32</v>
      </c>
      <c r="AI121" s="10">
        <f t="shared" si="35"/>
        <v>13.881734484599997</v>
      </c>
      <c r="AJ121" s="4">
        <v>41</v>
      </c>
      <c r="AK121" s="10">
        <f t="shared" si="36"/>
        <v>19.317214139219999</v>
      </c>
      <c r="AL121" s="4">
        <v>11.000000000000002</v>
      </c>
      <c r="AM121" s="10">
        <f t="shared" si="37"/>
        <v>25.822049897453997</v>
      </c>
      <c r="AN121" s="5">
        <f t="shared" si="38"/>
        <v>14.822049897453995</v>
      </c>
      <c r="AO121" s="6">
        <f t="shared" si="39"/>
        <v>1.3474590815867267</v>
      </c>
    </row>
    <row r="122" spans="1:41" x14ac:dyDescent="0.25">
      <c r="A122" t="s">
        <v>101</v>
      </c>
      <c r="B122" t="s">
        <v>2733</v>
      </c>
      <c r="C122" t="str">
        <f>_xlfn.XLOOKUP(A122,Fore!A:A,Fore!AC:AC)</f>
        <v>CY</v>
      </c>
      <c r="D122" s="4" t="s">
        <v>3057</v>
      </c>
      <c r="E122" s="10" t="str">
        <f t="shared" si="20"/>
        <v>0</v>
      </c>
      <c r="F122" s="4" t="s">
        <v>3057</v>
      </c>
      <c r="G122" s="10">
        <f t="shared" si="21"/>
        <v>0</v>
      </c>
      <c r="H122" s="4" t="s">
        <v>3057</v>
      </c>
      <c r="I122" s="10">
        <f t="shared" si="22"/>
        <v>0</v>
      </c>
      <c r="J122" s="4">
        <v>23</v>
      </c>
      <c r="K122" s="10">
        <f t="shared" si="23"/>
        <v>0</v>
      </c>
      <c r="L122" s="4">
        <v>12</v>
      </c>
      <c r="M122" s="10">
        <f t="shared" si="24"/>
        <v>6.8999999999999995</v>
      </c>
      <c r="N122" s="4">
        <v>30.677799999999998</v>
      </c>
      <c r="O122" s="10">
        <f t="shared" si="25"/>
        <v>10.469999999999999</v>
      </c>
      <c r="P122" s="4">
        <v>21.999999999999993</v>
      </c>
      <c r="Q122" s="10">
        <f t="shared" si="26"/>
        <v>16.532339999999998</v>
      </c>
      <c r="R122" s="4">
        <v>29.990000000000023</v>
      </c>
      <c r="S122" s="10">
        <f t="shared" si="27"/>
        <v>18.172637999999996</v>
      </c>
      <c r="T122" s="4">
        <v>34</v>
      </c>
      <c r="U122" s="10">
        <f t="shared" si="28"/>
        <v>21.717846600000001</v>
      </c>
      <c r="V122" s="4">
        <v>34</v>
      </c>
      <c r="W122" s="10">
        <f t="shared" si="29"/>
        <v>25.402492619999997</v>
      </c>
      <c r="X122" s="4">
        <v>1</v>
      </c>
      <c r="Y122" s="10">
        <f t="shared" si="30"/>
        <v>27.981744833999997</v>
      </c>
      <c r="Z122" s="4">
        <v>1</v>
      </c>
      <c r="AA122" s="10">
        <f t="shared" si="31"/>
        <v>19.887221383799996</v>
      </c>
      <c r="AB122" s="4" t="s">
        <v>3057</v>
      </c>
      <c r="AC122" s="10">
        <f t="shared" si="32"/>
        <v>14.221054968659997</v>
      </c>
      <c r="AD122" s="4">
        <v>17.000000000000004</v>
      </c>
      <c r="AE122" s="10">
        <f t="shared" si="33"/>
        <v>9.9547384780619979</v>
      </c>
      <c r="AF122" s="4">
        <v>11.5</v>
      </c>
      <c r="AG122" s="10">
        <f t="shared" si="34"/>
        <v>12.068316934643398</v>
      </c>
      <c r="AH122" s="4">
        <v>16.5</v>
      </c>
      <c r="AI122" s="10">
        <f t="shared" si="35"/>
        <v>11.897821854250378</v>
      </c>
      <c r="AJ122" s="4">
        <v>10</v>
      </c>
      <c r="AK122" s="10">
        <f t="shared" si="36"/>
        <v>13.278475297975262</v>
      </c>
      <c r="AL122" s="4" t="s">
        <v>3057</v>
      </c>
      <c r="AM122" s="10">
        <f t="shared" si="37"/>
        <v>12.294932708582683</v>
      </c>
      <c r="AN122" s="5">
        <f t="shared" si="38"/>
        <v>12.294932708582683</v>
      </c>
      <c r="AO122" s="6" t="str">
        <f t="shared" si="39"/>
        <v>0</v>
      </c>
    </row>
    <row r="123" spans="1:41" x14ac:dyDescent="0.25">
      <c r="A123" t="s">
        <v>415</v>
      </c>
      <c r="B123" t="s">
        <v>2619</v>
      </c>
      <c r="C123" t="str">
        <f>_xlfn.XLOOKUP(A123,Fore!A:A,Fore!AC:AC)</f>
        <v>CY</v>
      </c>
      <c r="D123" s="4" t="s">
        <v>3057</v>
      </c>
      <c r="E123" s="10" t="str">
        <f t="shared" si="20"/>
        <v>0</v>
      </c>
      <c r="F123" s="4" t="s">
        <v>3057</v>
      </c>
      <c r="G123" s="10">
        <f t="shared" si="21"/>
        <v>0</v>
      </c>
      <c r="H123" s="4" t="s">
        <v>3057</v>
      </c>
      <c r="I123" s="10">
        <f t="shared" si="22"/>
        <v>0</v>
      </c>
      <c r="J123" s="4">
        <v>21</v>
      </c>
      <c r="K123" s="10">
        <f t="shared" si="23"/>
        <v>0</v>
      </c>
      <c r="L123" s="4">
        <v>19</v>
      </c>
      <c r="M123" s="10">
        <f t="shared" si="24"/>
        <v>6.3</v>
      </c>
      <c r="N123" s="4">
        <v>35.666699999999992</v>
      </c>
      <c r="O123" s="10">
        <f t="shared" si="25"/>
        <v>15.19</v>
      </c>
      <c r="P123" s="4">
        <v>8</v>
      </c>
      <c r="Q123" s="10">
        <f t="shared" si="26"/>
        <v>21.333009999999994</v>
      </c>
      <c r="R123" s="4">
        <v>6</v>
      </c>
      <c r="S123" s="10">
        <f t="shared" si="27"/>
        <v>17.333106999999995</v>
      </c>
      <c r="T123" s="4">
        <v>22.000000000000011</v>
      </c>
      <c r="U123" s="10">
        <f t="shared" si="28"/>
        <v>13.933174899999994</v>
      </c>
      <c r="V123" s="4">
        <v>18.000000000000007</v>
      </c>
      <c r="W123" s="10">
        <f t="shared" si="29"/>
        <v>16.353222429999999</v>
      </c>
      <c r="X123" s="4">
        <v>2</v>
      </c>
      <c r="Y123" s="10">
        <f t="shared" si="30"/>
        <v>16.847255701000002</v>
      </c>
      <c r="Z123" s="4">
        <v>9</v>
      </c>
      <c r="AA123" s="10">
        <f t="shared" si="31"/>
        <v>12.393078990699999</v>
      </c>
      <c r="AB123" s="4">
        <v>13.000000000000002</v>
      </c>
      <c r="AC123" s="10">
        <f t="shared" si="32"/>
        <v>11.375155293489998</v>
      </c>
      <c r="AD123" s="4">
        <v>8</v>
      </c>
      <c r="AE123" s="10">
        <f t="shared" si="33"/>
        <v>11.862608705442998</v>
      </c>
      <c r="AF123" s="4">
        <v>18</v>
      </c>
      <c r="AG123" s="10">
        <f t="shared" si="34"/>
        <v>10.703826093810099</v>
      </c>
      <c r="AH123" s="4">
        <v>21</v>
      </c>
      <c r="AI123" s="10">
        <f t="shared" si="35"/>
        <v>12.892678265667069</v>
      </c>
      <c r="AJ123" s="4">
        <v>7</v>
      </c>
      <c r="AK123" s="10">
        <f t="shared" si="36"/>
        <v>15.324874785966948</v>
      </c>
      <c r="AL123" s="4">
        <v>29.000000000000004</v>
      </c>
      <c r="AM123" s="10">
        <f t="shared" si="37"/>
        <v>12.827412350176862</v>
      </c>
      <c r="AN123" s="5">
        <f t="shared" si="38"/>
        <v>16.172587649823143</v>
      </c>
      <c r="AO123" s="6">
        <f t="shared" si="39"/>
        <v>0.55767543620079796</v>
      </c>
    </row>
    <row r="124" spans="1:41" x14ac:dyDescent="0.25">
      <c r="A124" t="s">
        <v>559</v>
      </c>
      <c r="B124" t="s">
        <v>2612</v>
      </c>
      <c r="C124" t="str">
        <f>_xlfn.XLOOKUP(A124,Fore!A:A,Fore!AC:AC)</f>
        <v>CY</v>
      </c>
      <c r="D124" s="4" t="s">
        <v>3057</v>
      </c>
      <c r="E124" s="10" t="str">
        <f t="shared" si="20"/>
        <v>0</v>
      </c>
      <c r="F124" s="4" t="s">
        <v>3057</v>
      </c>
      <c r="G124" s="10">
        <f t="shared" si="21"/>
        <v>0</v>
      </c>
      <c r="H124" s="4" t="s">
        <v>3057</v>
      </c>
      <c r="I124" s="10">
        <f t="shared" si="22"/>
        <v>0</v>
      </c>
      <c r="J124" s="4" t="s">
        <v>3057</v>
      </c>
      <c r="K124" s="10">
        <f t="shared" si="23"/>
        <v>0</v>
      </c>
      <c r="L124" s="4">
        <v>11.75</v>
      </c>
      <c r="M124" s="10">
        <f t="shared" si="24"/>
        <v>0</v>
      </c>
      <c r="N124" s="4">
        <v>30</v>
      </c>
      <c r="O124" s="10">
        <f t="shared" si="25"/>
        <v>8.2249999999999996</v>
      </c>
      <c r="P124" s="4">
        <v>40.25</v>
      </c>
      <c r="Q124" s="10">
        <f t="shared" si="26"/>
        <v>14.7575</v>
      </c>
      <c r="R124" s="4" t="s">
        <v>3057</v>
      </c>
      <c r="S124" s="10">
        <f t="shared" si="27"/>
        <v>22.405249999999999</v>
      </c>
      <c r="T124" s="4">
        <v>1.9999999999999996</v>
      </c>
      <c r="U124" s="10">
        <f t="shared" si="28"/>
        <v>15.683674999999997</v>
      </c>
      <c r="V124" s="4">
        <v>10</v>
      </c>
      <c r="W124" s="10">
        <f t="shared" si="29"/>
        <v>11.578572499999996</v>
      </c>
      <c r="X124" s="4">
        <v>0</v>
      </c>
      <c r="Y124" s="10">
        <f t="shared" si="30"/>
        <v>11.105000749999997</v>
      </c>
      <c r="Z124" s="4">
        <v>10</v>
      </c>
      <c r="AA124" s="10">
        <f t="shared" si="31"/>
        <v>7.7735005249999976</v>
      </c>
      <c r="AB124" s="4">
        <v>26.999999999999996</v>
      </c>
      <c r="AC124" s="10">
        <f t="shared" si="32"/>
        <v>8.4414503674999981</v>
      </c>
      <c r="AD124" s="4" t="s">
        <v>3057</v>
      </c>
      <c r="AE124" s="10">
        <f t="shared" si="33"/>
        <v>14.009015257249995</v>
      </c>
      <c r="AF124" s="4">
        <v>30</v>
      </c>
      <c r="AG124" s="10">
        <f t="shared" si="34"/>
        <v>9.8063106800749953</v>
      </c>
      <c r="AH124" s="4">
        <v>30</v>
      </c>
      <c r="AI124" s="10">
        <f t="shared" si="35"/>
        <v>15.864417476052497</v>
      </c>
      <c r="AJ124" s="4" t="s">
        <v>3057</v>
      </c>
      <c r="AK124" s="10">
        <f t="shared" si="36"/>
        <v>20.105092233236746</v>
      </c>
      <c r="AL124" s="4">
        <v>43.000000000000007</v>
      </c>
      <c r="AM124" s="10">
        <f t="shared" si="37"/>
        <v>14.073564563265721</v>
      </c>
      <c r="AN124" s="5">
        <f t="shared" si="38"/>
        <v>28.926435436734288</v>
      </c>
      <c r="AO124" s="6">
        <f t="shared" si="39"/>
        <v>0.67270780085428561</v>
      </c>
    </row>
    <row r="125" spans="1:41" x14ac:dyDescent="0.25">
      <c r="A125" t="s">
        <v>558</v>
      </c>
      <c r="B125" t="s">
        <v>2614</v>
      </c>
      <c r="C125" t="str">
        <f>_xlfn.XLOOKUP(A125,Fore!A:A,Fore!AC:AC)</f>
        <v>CY</v>
      </c>
      <c r="D125" s="4" t="s">
        <v>3057</v>
      </c>
      <c r="E125" s="10" t="str">
        <f t="shared" si="20"/>
        <v>0</v>
      </c>
      <c r="F125" s="4" t="s">
        <v>3057</v>
      </c>
      <c r="G125" s="10">
        <f t="shared" si="21"/>
        <v>0</v>
      </c>
      <c r="H125" s="4" t="s">
        <v>3057</v>
      </c>
      <c r="I125" s="10">
        <f t="shared" si="22"/>
        <v>0</v>
      </c>
      <c r="J125" s="4">
        <v>10</v>
      </c>
      <c r="K125" s="10">
        <f t="shared" si="23"/>
        <v>0</v>
      </c>
      <c r="L125" s="4">
        <v>40</v>
      </c>
      <c r="M125" s="10">
        <f t="shared" si="24"/>
        <v>3</v>
      </c>
      <c r="N125" s="4">
        <v>20</v>
      </c>
      <c r="O125" s="10">
        <f t="shared" si="25"/>
        <v>28.9</v>
      </c>
      <c r="P125" s="4">
        <v>53</v>
      </c>
      <c r="Q125" s="10">
        <f t="shared" si="26"/>
        <v>26.229999999999997</v>
      </c>
      <c r="R125" s="4">
        <v>2.0000000000000004</v>
      </c>
      <c r="S125" s="10">
        <f t="shared" si="27"/>
        <v>34.260999999999996</v>
      </c>
      <c r="T125" s="4" t="s">
        <v>3057</v>
      </c>
      <c r="U125" s="10">
        <f t="shared" si="28"/>
        <v>24.582699999999996</v>
      </c>
      <c r="V125" s="4" t="s">
        <v>3057</v>
      </c>
      <c r="W125" s="10">
        <f t="shared" si="29"/>
        <v>17.207889999999995</v>
      </c>
      <c r="X125" s="4">
        <v>0</v>
      </c>
      <c r="Y125" s="10">
        <f t="shared" si="30"/>
        <v>12.045522999999996</v>
      </c>
      <c r="Z125" s="4" t="s">
        <v>3057</v>
      </c>
      <c r="AA125" s="10">
        <f t="shared" si="31"/>
        <v>8.431866099999997</v>
      </c>
      <c r="AB125" s="4" t="s">
        <v>3057</v>
      </c>
      <c r="AC125" s="10">
        <f t="shared" si="32"/>
        <v>5.9023062699999977</v>
      </c>
      <c r="AD125" s="4">
        <v>10</v>
      </c>
      <c r="AE125" s="10">
        <f t="shared" si="33"/>
        <v>4.1316143889999983</v>
      </c>
      <c r="AF125" s="4">
        <v>36</v>
      </c>
      <c r="AG125" s="10">
        <f t="shared" si="34"/>
        <v>5.8921300722999987</v>
      </c>
      <c r="AH125" s="4">
        <v>20</v>
      </c>
      <c r="AI125" s="10">
        <f t="shared" si="35"/>
        <v>14.924491050609998</v>
      </c>
      <c r="AJ125" s="4">
        <v>10</v>
      </c>
      <c r="AK125" s="10">
        <f t="shared" si="36"/>
        <v>16.447143735426998</v>
      </c>
      <c r="AL125" s="4">
        <v>33.000000000000007</v>
      </c>
      <c r="AM125" s="10">
        <f t="shared" si="37"/>
        <v>14.513000614798898</v>
      </c>
      <c r="AN125" s="5">
        <f t="shared" si="38"/>
        <v>18.486999385201109</v>
      </c>
      <c r="AO125" s="6">
        <f t="shared" si="39"/>
        <v>0.56021210258185172</v>
      </c>
    </row>
    <row r="126" spans="1:41" x14ac:dyDescent="0.25">
      <c r="A126" t="s">
        <v>629</v>
      </c>
      <c r="B126" t="s">
        <v>2631</v>
      </c>
      <c r="C126" t="str">
        <f>_xlfn.XLOOKUP(A126,Fore!A:A,Fore!AC:AC)</f>
        <v>CX</v>
      </c>
      <c r="D126" s="4" t="s">
        <v>3057</v>
      </c>
      <c r="E126" s="10" t="str">
        <f t="shared" si="20"/>
        <v>0</v>
      </c>
      <c r="F126" s="4" t="s">
        <v>3057</v>
      </c>
      <c r="G126" s="10">
        <f t="shared" si="21"/>
        <v>0</v>
      </c>
      <c r="H126" s="4" t="s">
        <v>3057</v>
      </c>
      <c r="I126" s="10">
        <f t="shared" si="22"/>
        <v>0</v>
      </c>
      <c r="J126" s="4">
        <v>12.000000000000002</v>
      </c>
      <c r="K126" s="10">
        <f t="shared" si="23"/>
        <v>0</v>
      </c>
      <c r="L126" s="4">
        <v>6</v>
      </c>
      <c r="M126" s="10">
        <f t="shared" si="24"/>
        <v>3.6000000000000005</v>
      </c>
      <c r="N126" s="4">
        <v>22.999999999999996</v>
      </c>
      <c r="O126" s="10">
        <f t="shared" si="25"/>
        <v>5.2799999999999994</v>
      </c>
      <c r="P126" s="4">
        <v>12.000000000000002</v>
      </c>
      <c r="Q126" s="10">
        <f t="shared" si="26"/>
        <v>10.595999999999998</v>
      </c>
      <c r="R126" s="4">
        <v>20</v>
      </c>
      <c r="S126" s="10">
        <f t="shared" si="27"/>
        <v>11.017199999999999</v>
      </c>
      <c r="T126" s="4">
        <v>14</v>
      </c>
      <c r="U126" s="10">
        <f t="shared" si="28"/>
        <v>13.712039999999998</v>
      </c>
      <c r="V126" s="4">
        <v>14</v>
      </c>
      <c r="W126" s="10">
        <f t="shared" si="29"/>
        <v>13.798427999999998</v>
      </c>
      <c r="X126" s="4">
        <v>22</v>
      </c>
      <c r="Y126" s="10">
        <f t="shared" si="30"/>
        <v>13.858899599999997</v>
      </c>
      <c r="Z126" s="4" t="s">
        <v>3057</v>
      </c>
      <c r="AA126" s="10">
        <f t="shared" si="31"/>
        <v>16.301229719999995</v>
      </c>
      <c r="AB126" s="4">
        <v>2</v>
      </c>
      <c r="AC126" s="10">
        <f t="shared" si="32"/>
        <v>11.410860803999995</v>
      </c>
      <c r="AD126" s="4">
        <v>12</v>
      </c>
      <c r="AE126" s="10">
        <f t="shared" si="33"/>
        <v>8.5876025627999955</v>
      </c>
      <c r="AF126" s="4">
        <v>23</v>
      </c>
      <c r="AG126" s="10">
        <f t="shared" si="34"/>
        <v>9.6113217939599949</v>
      </c>
      <c r="AH126" s="4">
        <v>21</v>
      </c>
      <c r="AI126" s="10">
        <f t="shared" si="35"/>
        <v>13.627925255771995</v>
      </c>
      <c r="AJ126" s="4">
        <v>20</v>
      </c>
      <c r="AK126" s="10">
        <f t="shared" si="36"/>
        <v>15.839547679040397</v>
      </c>
      <c r="AL126" s="4">
        <v>23</v>
      </c>
      <c r="AM126" s="10">
        <f t="shared" si="37"/>
        <v>17.087683375328275</v>
      </c>
      <c r="AN126" s="5">
        <f t="shared" si="38"/>
        <v>5.9123166246717247</v>
      </c>
      <c r="AO126" s="6">
        <f t="shared" si="39"/>
        <v>0.25705724455094453</v>
      </c>
    </row>
    <row r="127" spans="1:41" x14ac:dyDescent="0.25">
      <c r="A127" t="s">
        <v>936</v>
      </c>
      <c r="B127" t="s">
        <v>2634</v>
      </c>
      <c r="C127" t="str">
        <f>_xlfn.XLOOKUP(A127,Fore!A:A,Fore!AC:AC)</f>
        <v>CY</v>
      </c>
      <c r="D127" s="4" t="s">
        <v>3057</v>
      </c>
      <c r="E127" s="10" t="str">
        <f t="shared" si="20"/>
        <v>0</v>
      </c>
      <c r="F127" s="4" t="s">
        <v>3057</v>
      </c>
      <c r="G127" s="10">
        <f t="shared" si="21"/>
        <v>0</v>
      </c>
      <c r="H127" s="4" t="s">
        <v>3057</v>
      </c>
      <c r="I127" s="10">
        <f t="shared" si="22"/>
        <v>0</v>
      </c>
      <c r="J127" s="4">
        <v>21</v>
      </c>
      <c r="K127" s="10">
        <f t="shared" si="23"/>
        <v>0</v>
      </c>
      <c r="L127" s="4" t="s">
        <v>3057</v>
      </c>
      <c r="M127" s="10">
        <f t="shared" si="24"/>
        <v>6.3</v>
      </c>
      <c r="N127" s="4" t="s">
        <v>3057</v>
      </c>
      <c r="O127" s="10">
        <f t="shared" si="25"/>
        <v>1.89</v>
      </c>
      <c r="P127" s="4">
        <v>56.000000000000021</v>
      </c>
      <c r="Q127" s="10">
        <f t="shared" si="26"/>
        <v>1.323</v>
      </c>
      <c r="R127" s="4">
        <v>11.999999999999995</v>
      </c>
      <c r="S127" s="10">
        <f t="shared" si="27"/>
        <v>17.726100000000002</v>
      </c>
      <c r="T127" s="4">
        <v>72</v>
      </c>
      <c r="U127" s="10">
        <f t="shared" si="28"/>
        <v>16.00827</v>
      </c>
      <c r="V127" s="4">
        <v>25.999999999999993</v>
      </c>
      <c r="W127" s="10">
        <f t="shared" si="29"/>
        <v>32.805788999999997</v>
      </c>
      <c r="X127" s="4">
        <v>0</v>
      </c>
      <c r="Y127" s="10">
        <f t="shared" si="30"/>
        <v>30.764052299999992</v>
      </c>
      <c r="Z127" s="4" t="s">
        <v>3057</v>
      </c>
      <c r="AA127" s="10">
        <f t="shared" si="31"/>
        <v>21.534836609999992</v>
      </c>
      <c r="AB127" s="4">
        <v>20</v>
      </c>
      <c r="AC127" s="10">
        <f t="shared" si="32"/>
        <v>15.074385626999993</v>
      </c>
      <c r="AD127" s="4" t="s">
        <v>3057</v>
      </c>
      <c r="AE127" s="10">
        <f t="shared" si="33"/>
        <v>16.552069938899994</v>
      </c>
      <c r="AF127" s="4" t="s">
        <v>3057</v>
      </c>
      <c r="AG127" s="10">
        <f t="shared" si="34"/>
        <v>11.586448957229996</v>
      </c>
      <c r="AH127" s="4" t="s">
        <v>3057</v>
      </c>
      <c r="AI127" s="10">
        <f t="shared" si="35"/>
        <v>8.110514270060996</v>
      </c>
      <c r="AJ127" s="4" t="s">
        <v>3057</v>
      </c>
      <c r="AK127" s="10">
        <f t="shared" si="36"/>
        <v>5.6773599890426967</v>
      </c>
      <c r="AL127" s="4" t="s">
        <v>3057</v>
      </c>
      <c r="AM127" s="10">
        <f t="shared" si="37"/>
        <v>3.9741519923298876</v>
      </c>
      <c r="AN127" s="5">
        <f t="shared" si="38"/>
        <v>3.9741519923298876</v>
      </c>
      <c r="AO127" s="6" t="str">
        <f t="shared" si="39"/>
        <v>0</v>
      </c>
    </row>
    <row r="128" spans="1:41" x14ac:dyDescent="0.25">
      <c r="A128" t="s">
        <v>123</v>
      </c>
      <c r="B128" t="s">
        <v>2640</v>
      </c>
      <c r="C128" t="str">
        <f>_xlfn.XLOOKUP(A128,Fore!A:A,Fore!AC:AC)</f>
        <v>CX</v>
      </c>
      <c r="D128" s="4" t="s">
        <v>3057</v>
      </c>
      <c r="E128" s="10" t="str">
        <f t="shared" si="20"/>
        <v>0</v>
      </c>
      <c r="F128" s="4" t="s">
        <v>3057</v>
      </c>
      <c r="G128" s="10">
        <f t="shared" si="21"/>
        <v>0</v>
      </c>
      <c r="H128" s="4" t="s">
        <v>3057</v>
      </c>
      <c r="I128" s="10">
        <f t="shared" si="22"/>
        <v>0</v>
      </c>
      <c r="J128" s="4">
        <v>25</v>
      </c>
      <c r="K128" s="10">
        <f t="shared" si="23"/>
        <v>0</v>
      </c>
      <c r="L128" s="4">
        <v>17.999999999999996</v>
      </c>
      <c r="M128" s="10">
        <f t="shared" si="24"/>
        <v>7.5</v>
      </c>
      <c r="N128" s="4">
        <v>29.000000000000004</v>
      </c>
      <c r="O128" s="10">
        <f t="shared" si="25"/>
        <v>14.849999999999996</v>
      </c>
      <c r="P128" s="4">
        <v>21.000000000000007</v>
      </c>
      <c r="Q128" s="10">
        <f t="shared" si="26"/>
        <v>19.094999999999999</v>
      </c>
      <c r="R128" s="4">
        <v>14</v>
      </c>
      <c r="S128" s="10">
        <f t="shared" si="27"/>
        <v>19.666499999999999</v>
      </c>
      <c r="T128" s="4" t="s">
        <v>3057</v>
      </c>
      <c r="U128" s="10">
        <f t="shared" si="28"/>
        <v>17.966549999999998</v>
      </c>
      <c r="V128" s="4">
        <v>19.999999999999996</v>
      </c>
      <c r="W128" s="10">
        <f t="shared" si="29"/>
        <v>12.576584999999998</v>
      </c>
      <c r="X128" s="4">
        <v>3</v>
      </c>
      <c r="Y128" s="10">
        <f t="shared" si="30"/>
        <v>14.803609499999997</v>
      </c>
      <c r="Z128" s="4" t="s">
        <v>3057</v>
      </c>
      <c r="AA128" s="10">
        <f t="shared" si="31"/>
        <v>11.262526649999998</v>
      </c>
      <c r="AB128" s="4" t="s">
        <v>3057</v>
      </c>
      <c r="AC128" s="10">
        <f t="shared" si="32"/>
        <v>7.8837686549999981</v>
      </c>
      <c r="AD128" s="4">
        <v>13.999999999999998</v>
      </c>
      <c r="AE128" s="10">
        <f t="shared" si="33"/>
        <v>5.5186380584999988</v>
      </c>
      <c r="AF128" s="4">
        <v>25.999999999999996</v>
      </c>
      <c r="AG128" s="10">
        <f t="shared" si="34"/>
        <v>8.0630466409499988</v>
      </c>
      <c r="AH128" s="4">
        <v>12</v>
      </c>
      <c r="AI128" s="10">
        <f t="shared" si="35"/>
        <v>13.444132648664997</v>
      </c>
      <c r="AJ128" s="4" t="s">
        <v>3057</v>
      </c>
      <c r="AK128" s="10">
        <f t="shared" si="36"/>
        <v>13.010892854065498</v>
      </c>
      <c r="AL128" s="4">
        <v>22</v>
      </c>
      <c r="AM128" s="10">
        <f t="shared" si="37"/>
        <v>9.1076249978458481</v>
      </c>
      <c r="AN128" s="5">
        <f t="shared" si="38"/>
        <v>12.892375002154152</v>
      </c>
      <c r="AO128" s="6">
        <f t="shared" si="39"/>
        <v>0.58601704555246148</v>
      </c>
    </row>
    <row r="129" spans="1:41" x14ac:dyDescent="0.25">
      <c r="A129" t="s">
        <v>1529</v>
      </c>
      <c r="B129" t="s">
        <v>2891</v>
      </c>
      <c r="C129" t="str">
        <f>_xlfn.XLOOKUP(A129,Fore!A:A,Fore!AC:AC)</f>
        <v>CY</v>
      </c>
      <c r="D129" s="4" t="s">
        <v>3057</v>
      </c>
      <c r="E129" s="10" t="str">
        <f t="shared" si="20"/>
        <v>0</v>
      </c>
      <c r="F129" s="4" t="s">
        <v>3057</v>
      </c>
      <c r="G129" s="10">
        <f t="shared" si="21"/>
        <v>0</v>
      </c>
      <c r="H129" s="4" t="s">
        <v>3057</v>
      </c>
      <c r="I129" s="10">
        <f t="shared" si="22"/>
        <v>0</v>
      </c>
      <c r="J129" s="4" t="s">
        <v>3057</v>
      </c>
      <c r="K129" s="10">
        <f t="shared" si="23"/>
        <v>0</v>
      </c>
      <c r="L129" s="4" t="s">
        <v>3057</v>
      </c>
      <c r="M129" s="10">
        <f t="shared" si="24"/>
        <v>0</v>
      </c>
      <c r="N129" s="4">
        <v>66.667000000000002</v>
      </c>
      <c r="O129" s="10">
        <f t="shared" si="25"/>
        <v>0</v>
      </c>
      <c r="P129" s="4" t="s">
        <v>3057</v>
      </c>
      <c r="Q129" s="10">
        <f t="shared" si="26"/>
        <v>20.0001</v>
      </c>
      <c r="R129" s="4">
        <v>68.75</v>
      </c>
      <c r="S129" s="10">
        <f t="shared" si="27"/>
        <v>14.000069999999999</v>
      </c>
      <c r="T129" s="4">
        <v>64.582999999999998</v>
      </c>
      <c r="U129" s="10">
        <f t="shared" si="28"/>
        <v>30.425049000000001</v>
      </c>
      <c r="V129" s="4" t="s">
        <v>3057</v>
      </c>
      <c r="W129" s="10">
        <f t="shared" si="29"/>
        <v>40.672434299999999</v>
      </c>
      <c r="X129" s="4">
        <v>0</v>
      </c>
      <c r="Y129" s="10">
        <f t="shared" si="30"/>
        <v>28.470704009999999</v>
      </c>
      <c r="Z129" s="4" t="s">
        <v>3057</v>
      </c>
      <c r="AA129" s="10">
        <f t="shared" si="31"/>
        <v>19.929492806999999</v>
      </c>
      <c r="AB129" s="4" t="s">
        <v>3057</v>
      </c>
      <c r="AC129" s="10">
        <f t="shared" si="32"/>
        <v>13.950644964899999</v>
      </c>
      <c r="AD129" s="4" t="s">
        <v>3057</v>
      </c>
      <c r="AE129" s="10">
        <f t="shared" si="33"/>
        <v>9.7654514754299981</v>
      </c>
      <c r="AF129" s="4" t="s">
        <v>3057</v>
      </c>
      <c r="AG129" s="10">
        <f t="shared" si="34"/>
        <v>6.8358160328009987</v>
      </c>
      <c r="AH129" s="4" t="s">
        <v>3057</v>
      </c>
      <c r="AI129" s="10">
        <f t="shared" si="35"/>
        <v>4.7850712229606991</v>
      </c>
      <c r="AJ129" s="4" t="s">
        <v>3057</v>
      </c>
      <c r="AK129" s="10">
        <f t="shared" si="36"/>
        <v>3.349549856072489</v>
      </c>
      <c r="AL129" s="4" t="s">
        <v>3057</v>
      </c>
      <c r="AM129" s="10">
        <f t="shared" si="37"/>
        <v>2.3446848992507423</v>
      </c>
      <c r="AN129" s="5">
        <f t="shared" si="38"/>
        <v>2.3446848992507423</v>
      </c>
      <c r="AO129" s="6" t="str">
        <f t="shared" si="39"/>
        <v>0</v>
      </c>
    </row>
    <row r="130" spans="1:41" x14ac:dyDescent="0.25">
      <c r="A130" t="s">
        <v>1543</v>
      </c>
      <c r="B130" t="s">
        <v>2611</v>
      </c>
      <c r="C130" t="str">
        <f>_xlfn.XLOOKUP(A130,Fore!A:A,Fore!AC:AC)</f>
        <v>CY</v>
      </c>
      <c r="D130" s="4" t="s">
        <v>3057</v>
      </c>
      <c r="E130" s="10" t="str">
        <f t="shared" si="20"/>
        <v>0</v>
      </c>
      <c r="F130" s="4" t="s">
        <v>3057</v>
      </c>
      <c r="G130" s="10">
        <f t="shared" si="21"/>
        <v>0</v>
      </c>
      <c r="H130" s="4" t="s">
        <v>3057</v>
      </c>
      <c r="I130" s="10">
        <f t="shared" si="22"/>
        <v>0</v>
      </c>
      <c r="J130" s="4" t="s">
        <v>3057</v>
      </c>
      <c r="K130" s="10">
        <f t="shared" si="23"/>
        <v>0</v>
      </c>
      <c r="L130" s="4" t="s">
        <v>3057</v>
      </c>
      <c r="M130" s="10">
        <f t="shared" si="24"/>
        <v>0</v>
      </c>
      <c r="N130" s="4">
        <v>5</v>
      </c>
      <c r="O130" s="10">
        <f t="shared" si="25"/>
        <v>0</v>
      </c>
      <c r="P130" s="4">
        <v>33.999199999999995</v>
      </c>
      <c r="Q130" s="10">
        <f t="shared" si="26"/>
        <v>1.5</v>
      </c>
      <c r="R130" s="4">
        <v>21</v>
      </c>
      <c r="S130" s="10">
        <f t="shared" si="27"/>
        <v>11.249759999999998</v>
      </c>
      <c r="T130" s="4">
        <v>20</v>
      </c>
      <c r="U130" s="10">
        <f t="shared" si="28"/>
        <v>14.174831999999999</v>
      </c>
      <c r="V130" s="4" t="s">
        <v>3057</v>
      </c>
      <c r="W130" s="10">
        <f t="shared" si="29"/>
        <v>15.922382399999998</v>
      </c>
      <c r="X130" s="4">
        <v>0</v>
      </c>
      <c r="Y130" s="10">
        <f t="shared" si="30"/>
        <v>11.145667679999999</v>
      </c>
      <c r="Z130" s="4" t="s">
        <v>3057</v>
      </c>
      <c r="AA130" s="10">
        <f t="shared" si="31"/>
        <v>7.8019673759999986</v>
      </c>
      <c r="AB130" s="4">
        <v>10</v>
      </c>
      <c r="AC130" s="10">
        <f t="shared" si="32"/>
        <v>5.461377163199999</v>
      </c>
      <c r="AD130" s="4">
        <v>29.999999999999996</v>
      </c>
      <c r="AE130" s="10">
        <f t="shared" si="33"/>
        <v>6.8229640142399992</v>
      </c>
      <c r="AF130" s="4" t="s">
        <v>3057</v>
      </c>
      <c r="AG130" s="10">
        <f t="shared" si="34"/>
        <v>13.776074809967998</v>
      </c>
      <c r="AH130" s="4">
        <v>22</v>
      </c>
      <c r="AI130" s="10">
        <f t="shared" si="35"/>
        <v>9.6432523669775971</v>
      </c>
      <c r="AJ130" s="4">
        <v>41</v>
      </c>
      <c r="AK130" s="10">
        <f t="shared" si="36"/>
        <v>13.350276656884319</v>
      </c>
      <c r="AL130" s="4">
        <v>11.000000000000002</v>
      </c>
      <c r="AM130" s="10">
        <f t="shared" si="37"/>
        <v>21.645193659819022</v>
      </c>
      <c r="AN130" s="5">
        <f t="shared" si="38"/>
        <v>10.64519365981902</v>
      </c>
      <c r="AO130" s="6">
        <f t="shared" si="39"/>
        <v>0.96774487816536525</v>
      </c>
    </row>
    <row r="131" spans="1:41" x14ac:dyDescent="0.25">
      <c r="A131" t="s">
        <v>2281</v>
      </c>
      <c r="B131" t="s">
        <v>2589</v>
      </c>
      <c r="C131" t="str">
        <f>_xlfn.XLOOKUP(A131,Fore!A:A,Fore!AC:AC)</f>
        <v>CZ</v>
      </c>
      <c r="D131" s="4" t="s">
        <v>3057</v>
      </c>
      <c r="E131" s="10" t="str">
        <f t="shared" si="20"/>
        <v>0</v>
      </c>
      <c r="F131" s="4" t="s">
        <v>3057</v>
      </c>
      <c r="G131" s="10">
        <f t="shared" si="21"/>
        <v>0</v>
      </c>
      <c r="H131" s="4" t="s">
        <v>3057</v>
      </c>
      <c r="I131" s="10">
        <f t="shared" si="22"/>
        <v>0</v>
      </c>
      <c r="J131" s="4" t="s">
        <v>3057</v>
      </c>
      <c r="K131" s="10">
        <f t="shared" si="23"/>
        <v>0</v>
      </c>
      <c r="L131" s="4" t="s">
        <v>3057</v>
      </c>
      <c r="M131" s="10">
        <f t="shared" si="24"/>
        <v>0</v>
      </c>
      <c r="N131" s="4" t="s">
        <v>3057</v>
      </c>
      <c r="O131" s="10">
        <f t="shared" si="25"/>
        <v>0</v>
      </c>
      <c r="P131" s="4" t="s">
        <v>3057</v>
      </c>
      <c r="Q131" s="10">
        <f t="shared" si="26"/>
        <v>0</v>
      </c>
      <c r="R131" s="4" t="s">
        <v>3057</v>
      </c>
      <c r="S131" s="10">
        <f t="shared" si="27"/>
        <v>0</v>
      </c>
      <c r="T131" s="4" t="s">
        <v>3057</v>
      </c>
      <c r="U131" s="10">
        <f t="shared" si="28"/>
        <v>0</v>
      </c>
      <c r="V131" s="4" t="s">
        <v>3057</v>
      </c>
      <c r="W131" s="10">
        <f t="shared" si="29"/>
        <v>0</v>
      </c>
      <c r="X131" s="4">
        <v>0</v>
      </c>
      <c r="Y131" s="10">
        <f t="shared" si="30"/>
        <v>0</v>
      </c>
      <c r="Z131" s="4" t="s">
        <v>3057</v>
      </c>
      <c r="AA131" s="10">
        <f t="shared" si="31"/>
        <v>0</v>
      </c>
      <c r="AB131" s="4" t="s">
        <v>3057</v>
      </c>
      <c r="AC131" s="10">
        <f t="shared" si="32"/>
        <v>0</v>
      </c>
      <c r="AD131" s="4" t="s">
        <v>3057</v>
      </c>
      <c r="AE131" s="10">
        <f t="shared" si="33"/>
        <v>0</v>
      </c>
      <c r="AF131" s="4" t="s">
        <v>3057</v>
      </c>
      <c r="AG131" s="10">
        <f t="shared" si="34"/>
        <v>0</v>
      </c>
      <c r="AH131" s="4" t="s">
        <v>3057</v>
      </c>
      <c r="AI131" s="10">
        <f t="shared" si="35"/>
        <v>0</v>
      </c>
      <c r="AJ131" s="4">
        <v>150</v>
      </c>
      <c r="AK131" s="10">
        <f t="shared" si="36"/>
        <v>0</v>
      </c>
      <c r="AL131" s="4">
        <v>24</v>
      </c>
      <c r="AM131" s="10">
        <f t="shared" si="37"/>
        <v>45</v>
      </c>
      <c r="AN131" s="5">
        <f t="shared" si="38"/>
        <v>21</v>
      </c>
      <c r="AO131" s="6">
        <f t="shared" si="39"/>
        <v>0.875</v>
      </c>
    </row>
    <row r="132" spans="1:41" x14ac:dyDescent="0.25">
      <c r="A132" t="s">
        <v>937</v>
      </c>
      <c r="B132" t="s">
        <v>2774</v>
      </c>
      <c r="C132" t="str">
        <f>_xlfn.XLOOKUP(A132,Fore!A:A,Fore!AC:AC)</f>
        <v>CY</v>
      </c>
      <c r="D132" s="4" t="s">
        <v>3057</v>
      </c>
      <c r="E132" s="10" t="str">
        <f t="shared" ref="E132:E195" si="40">D132</f>
        <v>0</v>
      </c>
      <c r="F132" s="4" t="s">
        <v>3057</v>
      </c>
      <c r="G132" s="10">
        <f t="shared" ref="G132:G195" si="41">$C$1*D132+(1-$C$1)*E132</f>
        <v>0</v>
      </c>
      <c r="H132" s="4" t="s">
        <v>3057</v>
      </c>
      <c r="I132" s="10">
        <f t="shared" ref="I132:I195" si="42">$C$1*F132+(1-$C$1)*G132</f>
        <v>0</v>
      </c>
      <c r="J132" s="4" t="s">
        <v>3057</v>
      </c>
      <c r="K132" s="10">
        <f t="shared" ref="K132:K195" si="43">$C$1*H132+(1-$C$1)*I132</f>
        <v>0</v>
      </c>
      <c r="L132" s="4">
        <v>27.000000000000004</v>
      </c>
      <c r="M132" s="10">
        <f t="shared" ref="M132:M195" si="44">$C$1*J132+(1-$C$1)*K132</f>
        <v>0</v>
      </c>
      <c r="N132" s="4">
        <v>20</v>
      </c>
      <c r="O132" s="10">
        <f t="shared" ref="O132:O195" si="45">$C$1*M132+(1-$C$1)*L132</f>
        <v>18.900000000000002</v>
      </c>
      <c r="P132" s="4">
        <v>14</v>
      </c>
      <c r="Q132" s="10">
        <f t="shared" ref="Q132:Q195" si="46">$C$1*N132+(1-$C$1)*O132</f>
        <v>19.23</v>
      </c>
      <c r="R132" s="4">
        <v>15.999999999999991</v>
      </c>
      <c r="S132" s="10">
        <f t="shared" ref="S132:S195" si="47">$C$1*P132+(1-$C$1)*Q132</f>
        <v>17.661000000000001</v>
      </c>
      <c r="T132" s="4" t="s">
        <v>3057</v>
      </c>
      <c r="U132" s="10">
        <f t="shared" ref="U132:U195" si="48">$C$1*R132+(1-$C$1)*S132</f>
        <v>17.162699999999997</v>
      </c>
      <c r="V132" s="4">
        <v>5.9999999999999982</v>
      </c>
      <c r="W132" s="10">
        <f t="shared" ref="W132:W195" si="49">$C$1*T132+(1-$C$1)*U132</f>
        <v>12.013889999999998</v>
      </c>
      <c r="X132" s="4">
        <v>5</v>
      </c>
      <c r="Y132" s="10">
        <f t="shared" ref="Y132:Y195" si="50">$C$1*V132+(1-$C$1)*W132</f>
        <v>10.209722999999997</v>
      </c>
      <c r="Z132" s="4">
        <v>3</v>
      </c>
      <c r="AA132" s="10">
        <f t="shared" ref="AA132:AA195" si="51">$C$1*X132+(1-$C$1)*Y132</f>
        <v>8.6468060999999974</v>
      </c>
      <c r="AB132" s="4">
        <v>20</v>
      </c>
      <c r="AC132" s="10">
        <f t="shared" ref="AC132:AC195" si="52">$C$1*Z132+(1-$C$1)*AA132</f>
        <v>6.9527642699999976</v>
      </c>
      <c r="AD132" s="4">
        <v>5</v>
      </c>
      <c r="AE132" s="10">
        <f t="shared" ref="AE132:AE195" si="53">$C$1*AB132+(1-$C$1)*AC132</f>
        <v>10.866934988999997</v>
      </c>
      <c r="AF132" s="4">
        <v>10</v>
      </c>
      <c r="AG132" s="10">
        <f t="shared" ref="AG132:AG195" si="54">$C$1*AD132+(1-$C$1)*AE132</f>
        <v>9.1068544922999983</v>
      </c>
      <c r="AH132" s="4">
        <v>15</v>
      </c>
      <c r="AI132" s="10">
        <f t="shared" ref="AI132:AI195" si="55">$C$1*AF132+(1-$C$1)*AG132</f>
        <v>9.3747981446099988</v>
      </c>
      <c r="AJ132" s="4" t="s">
        <v>3057</v>
      </c>
      <c r="AK132" s="10">
        <f t="shared" ref="AK132:AK195" si="56">$C$1*AH132+(1-$C$1)*AI132</f>
        <v>11.062358701226998</v>
      </c>
      <c r="AL132" s="4">
        <v>11.000000000000002</v>
      </c>
      <c r="AM132" s="10">
        <f t="shared" ref="AM132:AM195" si="57">$C$1*AJ132+(1-$C$1)*AK132</f>
        <v>7.743651090858898</v>
      </c>
      <c r="AN132" s="5">
        <f t="shared" ref="AN132:AN195" si="58">ABS(AL132-AM132)</f>
        <v>3.2563489091411038</v>
      </c>
      <c r="AO132" s="6">
        <f t="shared" ref="AO132:AO195" si="59">IFERROR(ABS((AL132-AM132)/AL132),"0")</f>
        <v>0.29603171901282754</v>
      </c>
    </row>
    <row r="133" spans="1:41" x14ac:dyDescent="0.25">
      <c r="A133" t="s">
        <v>2320</v>
      </c>
      <c r="B133" t="s">
        <v>2592</v>
      </c>
      <c r="C133" t="str">
        <f>_xlfn.XLOOKUP(A133,Fore!A:A,Fore!AC:AC)</f>
        <v>CY</v>
      </c>
      <c r="D133" s="4" t="s">
        <v>3057</v>
      </c>
      <c r="E133" s="10" t="str">
        <f t="shared" si="40"/>
        <v>0</v>
      </c>
      <c r="F133" s="4" t="s">
        <v>3057</v>
      </c>
      <c r="G133" s="10">
        <f t="shared" si="41"/>
        <v>0</v>
      </c>
      <c r="H133" s="4" t="s">
        <v>3057</v>
      </c>
      <c r="I133" s="10">
        <f t="shared" si="42"/>
        <v>0</v>
      </c>
      <c r="J133" s="4" t="s">
        <v>3057</v>
      </c>
      <c r="K133" s="10">
        <f t="shared" si="43"/>
        <v>0</v>
      </c>
      <c r="L133" s="4" t="s">
        <v>3057</v>
      </c>
      <c r="M133" s="10">
        <f t="shared" si="44"/>
        <v>0</v>
      </c>
      <c r="N133" s="4" t="s">
        <v>3057</v>
      </c>
      <c r="O133" s="10">
        <f t="shared" si="45"/>
        <v>0</v>
      </c>
      <c r="P133" s="4" t="s">
        <v>3057</v>
      </c>
      <c r="Q133" s="10">
        <f t="shared" si="46"/>
        <v>0</v>
      </c>
      <c r="R133" s="4" t="s">
        <v>3057</v>
      </c>
      <c r="S133" s="10">
        <f t="shared" si="47"/>
        <v>0</v>
      </c>
      <c r="T133" s="4" t="s">
        <v>3057</v>
      </c>
      <c r="U133" s="10">
        <f t="shared" si="48"/>
        <v>0</v>
      </c>
      <c r="V133" s="4" t="s">
        <v>3057</v>
      </c>
      <c r="W133" s="10">
        <f t="shared" si="49"/>
        <v>0</v>
      </c>
      <c r="X133" s="4">
        <v>0</v>
      </c>
      <c r="Y133" s="10">
        <f t="shared" si="50"/>
        <v>0</v>
      </c>
      <c r="Z133" s="4" t="s">
        <v>3057</v>
      </c>
      <c r="AA133" s="10">
        <f t="shared" si="51"/>
        <v>0</v>
      </c>
      <c r="AB133" s="4" t="s">
        <v>3057</v>
      </c>
      <c r="AC133" s="10">
        <f t="shared" si="52"/>
        <v>0</v>
      </c>
      <c r="AD133" s="4" t="s">
        <v>3057</v>
      </c>
      <c r="AE133" s="10">
        <f t="shared" si="53"/>
        <v>0</v>
      </c>
      <c r="AF133" s="4" t="s">
        <v>3057</v>
      </c>
      <c r="AG133" s="10">
        <f t="shared" si="54"/>
        <v>0</v>
      </c>
      <c r="AH133" s="4" t="s">
        <v>3057</v>
      </c>
      <c r="AI133" s="10">
        <f t="shared" si="55"/>
        <v>0</v>
      </c>
      <c r="AJ133" s="4">
        <v>150</v>
      </c>
      <c r="AK133" s="10">
        <f t="shared" si="56"/>
        <v>0</v>
      </c>
      <c r="AL133" s="4" t="s">
        <v>3057</v>
      </c>
      <c r="AM133" s="10">
        <f t="shared" si="57"/>
        <v>45</v>
      </c>
      <c r="AN133" s="5">
        <f t="shared" si="58"/>
        <v>45</v>
      </c>
      <c r="AO133" s="6" t="str">
        <f t="shared" si="59"/>
        <v>0</v>
      </c>
    </row>
    <row r="134" spans="1:41" x14ac:dyDescent="0.25">
      <c r="A134" t="s">
        <v>2321</v>
      </c>
      <c r="B134" t="s">
        <v>2593</v>
      </c>
      <c r="C134" t="str">
        <f>_xlfn.XLOOKUP(A134,Fore!A:A,Fore!AC:AC)</f>
        <v>CY</v>
      </c>
      <c r="D134" s="4" t="s">
        <v>3057</v>
      </c>
      <c r="E134" s="10" t="str">
        <f t="shared" si="40"/>
        <v>0</v>
      </c>
      <c r="F134" s="4" t="s">
        <v>3057</v>
      </c>
      <c r="G134" s="10">
        <f t="shared" si="41"/>
        <v>0</v>
      </c>
      <c r="H134" s="4" t="s">
        <v>3057</v>
      </c>
      <c r="I134" s="10">
        <f t="shared" si="42"/>
        <v>0</v>
      </c>
      <c r="J134" s="4" t="s">
        <v>3057</v>
      </c>
      <c r="K134" s="10">
        <f t="shared" si="43"/>
        <v>0</v>
      </c>
      <c r="L134" s="4" t="s">
        <v>3057</v>
      </c>
      <c r="M134" s="10">
        <f t="shared" si="44"/>
        <v>0</v>
      </c>
      <c r="N134" s="4" t="s">
        <v>3057</v>
      </c>
      <c r="O134" s="10">
        <f t="shared" si="45"/>
        <v>0</v>
      </c>
      <c r="P134" s="4" t="s">
        <v>3057</v>
      </c>
      <c r="Q134" s="10">
        <f t="shared" si="46"/>
        <v>0</v>
      </c>
      <c r="R134" s="4" t="s">
        <v>3057</v>
      </c>
      <c r="S134" s="10">
        <f t="shared" si="47"/>
        <v>0</v>
      </c>
      <c r="T134" s="4" t="s">
        <v>3057</v>
      </c>
      <c r="U134" s="10">
        <f t="shared" si="48"/>
        <v>0</v>
      </c>
      <c r="V134" s="4" t="s">
        <v>3057</v>
      </c>
      <c r="W134" s="10">
        <f t="shared" si="49"/>
        <v>0</v>
      </c>
      <c r="X134" s="4">
        <v>0</v>
      </c>
      <c r="Y134" s="10">
        <f t="shared" si="50"/>
        <v>0</v>
      </c>
      <c r="Z134" s="4" t="s">
        <v>3057</v>
      </c>
      <c r="AA134" s="10">
        <f t="shared" si="51"/>
        <v>0</v>
      </c>
      <c r="AB134" s="4" t="s">
        <v>3057</v>
      </c>
      <c r="AC134" s="10">
        <f t="shared" si="52"/>
        <v>0</v>
      </c>
      <c r="AD134" s="4" t="s">
        <v>3057</v>
      </c>
      <c r="AE134" s="10">
        <f t="shared" si="53"/>
        <v>0</v>
      </c>
      <c r="AF134" s="4" t="s">
        <v>3057</v>
      </c>
      <c r="AG134" s="10">
        <f t="shared" si="54"/>
        <v>0</v>
      </c>
      <c r="AH134" s="4" t="s">
        <v>3057</v>
      </c>
      <c r="AI134" s="10">
        <f t="shared" si="55"/>
        <v>0</v>
      </c>
      <c r="AJ134" s="4">
        <v>150</v>
      </c>
      <c r="AK134" s="10">
        <f t="shared" si="56"/>
        <v>0</v>
      </c>
      <c r="AL134" s="4" t="s">
        <v>3057</v>
      </c>
      <c r="AM134" s="10">
        <f t="shared" si="57"/>
        <v>45</v>
      </c>
      <c r="AN134" s="5">
        <f t="shared" si="58"/>
        <v>45</v>
      </c>
      <c r="AO134" s="6" t="str">
        <f t="shared" si="59"/>
        <v>0</v>
      </c>
    </row>
    <row r="135" spans="1:41" x14ac:dyDescent="0.25">
      <c r="A135" t="s">
        <v>2319</v>
      </c>
      <c r="B135" t="s">
        <v>2594</v>
      </c>
      <c r="C135" t="str">
        <f>_xlfn.XLOOKUP(A135,Fore!A:A,Fore!AC:AC)</f>
        <v>CY</v>
      </c>
      <c r="D135" s="4" t="s">
        <v>3057</v>
      </c>
      <c r="E135" s="10" t="str">
        <f t="shared" si="40"/>
        <v>0</v>
      </c>
      <c r="F135" s="4" t="s">
        <v>3057</v>
      </c>
      <c r="G135" s="10">
        <f t="shared" si="41"/>
        <v>0</v>
      </c>
      <c r="H135" s="4" t="s">
        <v>3057</v>
      </c>
      <c r="I135" s="10">
        <f t="shared" si="42"/>
        <v>0</v>
      </c>
      <c r="J135" s="4" t="s">
        <v>3057</v>
      </c>
      <c r="K135" s="10">
        <f t="shared" si="43"/>
        <v>0</v>
      </c>
      <c r="L135" s="4" t="s">
        <v>3057</v>
      </c>
      <c r="M135" s="10">
        <f t="shared" si="44"/>
        <v>0</v>
      </c>
      <c r="N135" s="4" t="s">
        <v>3057</v>
      </c>
      <c r="O135" s="10">
        <f t="shared" si="45"/>
        <v>0</v>
      </c>
      <c r="P135" s="4" t="s">
        <v>3057</v>
      </c>
      <c r="Q135" s="10">
        <f t="shared" si="46"/>
        <v>0</v>
      </c>
      <c r="R135" s="4" t="s">
        <v>3057</v>
      </c>
      <c r="S135" s="10">
        <f t="shared" si="47"/>
        <v>0</v>
      </c>
      <c r="T135" s="4" t="s">
        <v>3057</v>
      </c>
      <c r="U135" s="10">
        <f t="shared" si="48"/>
        <v>0</v>
      </c>
      <c r="V135" s="4" t="s">
        <v>3057</v>
      </c>
      <c r="W135" s="10">
        <f t="shared" si="49"/>
        <v>0</v>
      </c>
      <c r="X135" s="4">
        <v>0</v>
      </c>
      <c r="Y135" s="10">
        <f t="shared" si="50"/>
        <v>0</v>
      </c>
      <c r="Z135" s="4" t="s">
        <v>3057</v>
      </c>
      <c r="AA135" s="10">
        <f t="shared" si="51"/>
        <v>0</v>
      </c>
      <c r="AB135" s="4" t="s">
        <v>3057</v>
      </c>
      <c r="AC135" s="10">
        <f t="shared" si="52"/>
        <v>0</v>
      </c>
      <c r="AD135" s="4" t="s">
        <v>3057</v>
      </c>
      <c r="AE135" s="10">
        <f t="shared" si="53"/>
        <v>0</v>
      </c>
      <c r="AF135" s="4" t="s">
        <v>3057</v>
      </c>
      <c r="AG135" s="10">
        <f t="shared" si="54"/>
        <v>0</v>
      </c>
      <c r="AH135" s="4" t="s">
        <v>3057</v>
      </c>
      <c r="AI135" s="10">
        <f t="shared" si="55"/>
        <v>0</v>
      </c>
      <c r="AJ135" s="4">
        <v>150</v>
      </c>
      <c r="AK135" s="10">
        <f t="shared" si="56"/>
        <v>0</v>
      </c>
      <c r="AL135" s="4" t="s">
        <v>3057</v>
      </c>
      <c r="AM135" s="10">
        <f t="shared" si="57"/>
        <v>45</v>
      </c>
      <c r="AN135" s="5">
        <f t="shared" si="58"/>
        <v>45</v>
      </c>
      <c r="AO135" s="6" t="str">
        <f t="shared" si="59"/>
        <v>0</v>
      </c>
    </row>
    <row r="136" spans="1:41" x14ac:dyDescent="0.25">
      <c r="A136" t="s">
        <v>2186</v>
      </c>
      <c r="B136" t="s">
        <v>2597</v>
      </c>
      <c r="C136" t="str">
        <f>_xlfn.XLOOKUP(A136,Fore!A:A,Fore!AC:AC)</f>
        <v>CZ</v>
      </c>
      <c r="D136" s="4" t="s">
        <v>3057</v>
      </c>
      <c r="E136" s="10" t="str">
        <f t="shared" si="40"/>
        <v>0</v>
      </c>
      <c r="F136" s="4" t="s">
        <v>3057</v>
      </c>
      <c r="G136" s="10">
        <f t="shared" si="41"/>
        <v>0</v>
      </c>
      <c r="H136" s="4" t="s">
        <v>3057</v>
      </c>
      <c r="I136" s="10">
        <f t="shared" si="42"/>
        <v>0</v>
      </c>
      <c r="J136" s="4" t="s">
        <v>3057</v>
      </c>
      <c r="K136" s="10">
        <f t="shared" si="43"/>
        <v>0</v>
      </c>
      <c r="L136" s="4" t="s">
        <v>3057</v>
      </c>
      <c r="M136" s="10">
        <f t="shared" si="44"/>
        <v>0</v>
      </c>
      <c r="N136" s="4" t="s">
        <v>3057</v>
      </c>
      <c r="O136" s="10">
        <f t="shared" si="45"/>
        <v>0</v>
      </c>
      <c r="P136" s="4" t="s">
        <v>3057</v>
      </c>
      <c r="Q136" s="10">
        <f t="shared" si="46"/>
        <v>0</v>
      </c>
      <c r="R136" s="4" t="s">
        <v>3057</v>
      </c>
      <c r="S136" s="10">
        <f t="shared" si="47"/>
        <v>0</v>
      </c>
      <c r="T136" s="4" t="s">
        <v>3057</v>
      </c>
      <c r="U136" s="10">
        <f t="shared" si="48"/>
        <v>0</v>
      </c>
      <c r="V136" s="4" t="s">
        <v>3057</v>
      </c>
      <c r="W136" s="10">
        <f t="shared" si="49"/>
        <v>0</v>
      </c>
      <c r="X136" s="4">
        <v>0</v>
      </c>
      <c r="Y136" s="10">
        <f t="shared" si="50"/>
        <v>0</v>
      </c>
      <c r="Z136" s="4" t="s">
        <v>3057</v>
      </c>
      <c r="AA136" s="10">
        <f t="shared" si="51"/>
        <v>0</v>
      </c>
      <c r="AB136" s="4" t="s">
        <v>3057</v>
      </c>
      <c r="AC136" s="10">
        <f t="shared" si="52"/>
        <v>0</v>
      </c>
      <c r="AD136" s="4" t="s">
        <v>3057</v>
      </c>
      <c r="AE136" s="10">
        <f t="shared" si="53"/>
        <v>0</v>
      </c>
      <c r="AF136" s="4">
        <v>30</v>
      </c>
      <c r="AG136" s="10">
        <f t="shared" si="54"/>
        <v>0</v>
      </c>
      <c r="AH136" s="4" t="s">
        <v>3057</v>
      </c>
      <c r="AI136" s="10">
        <f t="shared" si="55"/>
        <v>9</v>
      </c>
      <c r="AJ136" s="4">
        <v>120</v>
      </c>
      <c r="AK136" s="10">
        <f t="shared" si="56"/>
        <v>6.3</v>
      </c>
      <c r="AL136" s="4" t="s">
        <v>3057</v>
      </c>
      <c r="AM136" s="10">
        <f t="shared" si="57"/>
        <v>40.409999999999997</v>
      </c>
      <c r="AN136" s="5">
        <f t="shared" si="58"/>
        <v>40.409999999999997</v>
      </c>
      <c r="AO136" s="6" t="str">
        <f t="shared" si="59"/>
        <v>0</v>
      </c>
    </row>
    <row r="137" spans="1:41" x14ac:dyDescent="0.25">
      <c r="A137" t="s">
        <v>947</v>
      </c>
      <c r="B137" t="s">
        <v>2620</v>
      </c>
      <c r="C137" t="str">
        <f>_xlfn.XLOOKUP(A137,Fore!A:A,Fore!AC:AC)</f>
        <v>CY</v>
      </c>
      <c r="D137" s="4" t="s">
        <v>3057</v>
      </c>
      <c r="E137" s="10" t="str">
        <f t="shared" si="40"/>
        <v>0</v>
      </c>
      <c r="F137" s="4" t="s">
        <v>3057</v>
      </c>
      <c r="G137" s="10">
        <f t="shared" si="41"/>
        <v>0</v>
      </c>
      <c r="H137" s="4">
        <v>3</v>
      </c>
      <c r="I137" s="10">
        <f t="shared" si="42"/>
        <v>0</v>
      </c>
      <c r="J137" s="4">
        <v>3</v>
      </c>
      <c r="K137" s="10">
        <f t="shared" si="43"/>
        <v>0.89999999999999991</v>
      </c>
      <c r="L137" s="4" t="s">
        <v>3057</v>
      </c>
      <c r="M137" s="10">
        <f t="shared" si="44"/>
        <v>1.5299999999999998</v>
      </c>
      <c r="N137" s="4">
        <v>4</v>
      </c>
      <c r="O137" s="10">
        <f t="shared" si="45"/>
        <v>0.45899999999999991</v>
      </c>
      <c r="P137" s="4">
        <v>15</v>
      </c>
      <c r="Q137" s="10">
        <f t="shared" si="46"/>
        <v>1.5212999999999999</v>
      </c>
      <c r="R137" s="4" t="s">
        <v>3057</v>
      </c>
      <c r="S137" s="10">
        <f t="shared" si="47"/>
        <v>5.5649099999999994</v>
      </c>
      <c r="T137" s="4" t="s">
        <v>3057</v>
      </c>
      <c r="U137" s="10">
        <f t="shared" si="48"/>
        <v>3.8954369999999994</v>
      </c>
      <c r="V137" s="4">
        <v>5</v>
      </c>
      <c r="W137" s="10">
        <f t="shared" si="49"/>
        <v>2.7268058999999996</v>
      </c>
      <c r="X137" s="4">
        <v>9</v>
      </c>
      <c r="Y137" s="10">
        <f t="shared" si="50"/>
        <v>3.4087641299999998</v>
      </c>
      <c r="Z137" s="4" t="s">
        <v>3057</v>
      </c>
      <c r="AA137" s="10">
        <f t="shared" si="51"/>
        <v>5.0861348909999995</v>
      </c>
      <c r="AB137" s="4">
        <v>8</v>
      </c>
      <c r="AC137" s="10">
        <f t="shared" si="52"/>
        <v>3.5602944236999994</v>
      </c>
      <c r="AD137" s="4">
        <v>20</v>
      </c>
      <c r="AE137" s="10">
        <f t="shared" si="53"/>
        <v>4.8922060965899998</v>
      </c>
      <c r="AF137" s="4">
        <v>11</v>
      </c>
      <c r="AG137" s="10">
        <f t="shared" si="54"/>
        <v>9.4245442676129993</v>
      </c>
      <c r="AH137" s="4">
        <v>29</v>
      </c>
      <c r="AI137" s="10">
        <f t="shared" si="55"/>
        <v>9.897180987329099</v>
      </c>
      <c r="AJ137" s="4">
        <v>19</v>
      </c>
      <c r="AK137" s="10">
        <f t="shared" si="56"/>
        <v>15.628026691130369</v>
      </c>
      <c r="AL137" s="4">
        <v>7</v>
      </c>
      <c r="AM137" s="10">
        <f t="shared" si="57"/>
        <v>16.639618683791259</v>
      </c>
      <c r="AN137" s="5">
        <f t="shared" si="58"/>
        <v>9.6396186837912587</v>
      </c>
      <c r="AO137" s="6">
        <f t="shared" si="59"/>
        <v>1.3770883833987513</v>
      </c>
    </row>
    <row r="138" spans="1:41" x14ac:dyDescent="0.25">
      <c r="A138" t="s">
        <v>927</v>
      </c>
      <c r="B138" t="s">
        <v>2689</v>
      </c>
      <c r="C138" t="str">
        <f>_xlfn.XLOOKUP(A138,Fore!A:A,Fore!AC:AC)</f>
        <v>CY</v>
      </c>
      <c r="D138" s="4" t="s">
        <v>3057</v>
      </c>
      <c r="E138" s="10" t="str">
        <f t="shared" si="40"/>
        <v>0</v>
      </c>
      <c r="F138" s="4" t="s">
        <v>3057</v>
      </c>
      <c r="G138" s="10">
        <f t="shared" si="41"/>
        <v>0</v>
      </c>
      <c r="H138" s="4" t="s">
        <v>3057</v>
      </c>
      <c r="I138" s="10">
        <f t="shared" si="42"/>
        <v>0</v>
      </c>
      <c r="J138" s="4">
        <v>7</v>
      </c>
      <c r="K138" s="10">
        <f t="shared" si="43"/>
        <v>0</v>
      </c>
      <c r="L138" s="4">
        <v>10</v>
      </c>
      <c r="M138" s="10">
        <f t="shared" si="44"/>
        <v>2.1</v>
      </c>
      <c r="N138" s="4">
        <v>27</v>
      </c>
      <c r="O138" s="10">
        <f t="shared" si="45"/>
        <v>7.63</v>
      </c>
      <c r="P138" s="4">
        <v>6.1666999999999987</v>
      </c>
      <c r="Q138" s="10">
        <f t="shared" si="46"/>
        <v>13.440999999999999</v>
      </c>
      <c r="R138" s="4">
        <v>22.833299999999994</v>
      </c>
      <c r="S138" s="10">
        <f t="shared" si="47"/>
        <v>11.258709999999997</v>
      </c>
      <c r="T138" s="4">
        <v>15.000000000000007</v>
      </c>
      <c r="U138" s="10">
        <f t="shared" si="48"/>
        <v>14.731086999999995</v>
      </c>
      <c r="V138" s="4">
        <v>5</v>
      </c>
      <c r="W138" s="10">
        <f t="shared" si="49"/>
        <v>14.811760899999998</v>
      </c>
      <c r="X138" s="4">
        <v>11</v>
      </c>
      <c r="Y138" s="10">
        <f t="shared" si="50"/>
        <v>11.868232629999998</v>
      </c>
      <c r="Z138" s="4">
        <v>2</v>
      </c>
      <c r="AA138" s="10">
        <f t="shared" si="51"/>
        <v>11.607762841</v>
      </c>
      <c r="AB138" s="4">
        <v>3</v>
      </c>
      <c r="AC138" s="10">
        <f t="shared" si="52"/>
        <v>8.725433988699999</v>
      </c>
      <c r="AD138" s="4">
        <v>6</v>
      </c>
      <c r="AE138" s="10">
        <f t="shared" si="53"/>
        <v>7.007803792089998</v>
      </c>
      <c r="AF138" s="4">
        <v>3</v>
      </c>
      <c r="AG138" s="10">
        <f t="shared" si="54"/>
        <v>6.7054626544629983</v>
      </c>
      <c r="AH138" s="4">
        <v>2</v>
      </c>
      <c r="AI138" s="10">
        <f t="shared" si="55"/>
        <v>5.5938238581240984</v>
      </c>
      <c r="AJ138" s="4">
        <v>9</v>
      </c>
      <c r="AK138" s="10">
        <f t="shared" si="56"/>
        <v>4.5156767006868685</v>
      </c>
      <c r="AL138" s="4">
        <v>4</v>
      </c>
      <c r="AM138" s="10">
        <f t="shared" si="57"/>
        <v>5.8609736904808081</v>
      </c>
      <c r="AN138" s="5">
        <f t="shared" si="58"/>
        <v>1.8609736904808081</v>
      </c>
      <c r="AO138" s="6">
        <f t="shared" si="59"/>
        <v>0.46524342262020202</v>
      </c>
    </row>
    <row r="139" spans="1:41" x14ac:dyDescent="0.25">
      <c r="A139" t="s">
        <v>1714</v>
      </c>
      <c r="B139" t="s">
        <v>2908</v>
      </c>
      <c r="C139" t="str">
        <f>_xlfn.XLOOKUP(A139,Fore!A:A,Fore!AC:AC)</f>
        <v>CY</v>
      </c>
      <c r="D139" s="4" t="s">
        <v>3057</v>
      </c>
      <c r="E139" s="10" t="str">
        <f t="shared" si="40"/>
        <v>0</v>
      </c>
      <c r="F139" s="4" t="s">
        <v>3057</v>
      </c>
      <c r="G139" s="10">
        <f t="shared" si="41"/>
        <v>0</v>
      </c>
      <c r="H139" s="4" t="s">
        <v>3057</v>
      </c>
      <c r="I139" s="10">
        <f t="shared" si="42"/>
        <v>0</v>
      </c>
      <c r="J139" s="4" t="s">
        <v>3057</v>
      </c>
      <c r="K139" s="10">
        <f t="shared" si="43"/>
        <v>0</v>
      </c>
      <c r="L139" s="4" t="s">
        <v>3057</v>
      </c>
      <c r="M139" s="10">
        <f t="shared" si="44"/>
        <v>0</v>
      </c>
      <c r="N139" s="4" t="s">
        <v>3057</v>
      </c>
      <c r="O139" s="10">
        <f t="shared" si="45"/>
        <v>0</v>
      </c>
      <c r="P139" s="4" t="s">
        <v>3057</v>
      </c>
      <c r="Q139" s="10">
        <f t="shared" si="46"/>
        <v>0</v>
      </c>
      <c r="R139" s="4">
        <v>132</v>
      </c>
      <c r="S139" s="10">
        <f t="shared" si="47"/>
        <v>0</v>
      </c>
      <c r="T139" s="4" t="s">
        <v>3057</v>
      </c>
      <c r="U139" s="10">
        <f t="shared" si="48"/>
        <v>39.6</v>
      </c>
      <c r="V139" s="4" t="s">
        <v>3057</v>
      </c>
      <c r="W139" s="10">
        <f t="shared" si="49"/>
        <v>27.72</v>
      </c>
      <c r="X139" s="4">
        <v>0</v>
      </c>
      <c r="Y139" s="10">
        <f t="shared" si="50"/>
        <v>19.403999999999996</v>
      </c>
      <c r="Z139" s="4" t="s">
        <v>3057</v>
      </c>
      <c r="AA139" s="10">
        <f t="shared" si="51"/>
        <v>13.582799999999997</v>
      </c>
      <c r="AB139" s="4" t="s">
        <v>3057</v>
      </c>
      <c r="AC139" s="10">
        <f t="shared" si="52"/>
        <v>9.5079599999999971</v>
      </c>
      <c r="AD139" s="4" t="s">
        <v>3057</v>
      </c>
      <c r="AE139" s="10">
        <f t="shared" si="53"/>
        <v>6.6555719999999976</v>
      </c>
      <c r="AF139" s="4" t="s">
        <v>3057</v>
      </c>
      <c r="AG139" s="10">
        <f t="shared" si="54"/>
        <v>4.6589003999999976</v>
      </c>
      <c r="AH139" s="4" t="s">
        <v>3057</v>
      </c>
      <c r="AI139" s="10">
        <f t="shared" si="55"/>
        <v>3.2612302799999981</v>
      </c>
      <c r="AJ139" s="4" t="s">
        <v>3057</v>
      </c>
      <c r="AK139" s="10">
        <f t="shared" si="56"/>
        <v>2.2828611959999985</v>
      </c>
      <c r="AL139" s="4" t="s">
        <v>3057</v>
      </c>
      <c r="AM139" s="10">
        <f t="shared" si="57"/>
        <v>1.5980028371999988</v>
      </c>
      <c r="AN139" s="5">
        <f t="shared" si="58"/>
        <v>1.5980028371999988</v>
      </c>
      <c r="AO139" s="6" t="str">
        <f t="shared" si="59"/>
        <v>0</v>
      </c>
    </row>
    <row r="140" spans="1:41" x14ac:dyDescent="0.25">
      <c r="A140" t="s">
        <v>949</v>
      </c>
      <c r="B140" t="s">
        <v>2641</v>
      </c>
      <c r="C140" t="str">
        <f>_xlfn.XLOOKUP(A140,Fore!A:A,Fore!AC:AC)</f>
        <v>CY</v>
      </c>
      <c r="D140" s="4" t="s">
        <v>3057</v>
      </c>
      <c r="E140" s="10" t="str">
        <f t="shared" si="40"/>
        <v>0</v>
      </c>
      <c r="F140" s="4" t="s">
        <v>3057</v>
      </c>
      <c r="G140" s="10">
        <f t="shared" si="41"/>
        <v>0</v>
      </c>
      <c r="H140" s="4" t="s">
        <v>3057</v>
      </c>
      <c r="I140" s="10">
        <f t="shared" si="42"/>
        <v>0</v>
      </c>
      <c r="J140" s="4">
        <v>16</v>
      </c>
      <c r="K140" s="10">
        <f t="shared" si="43"/>
        <v>0</v>
      </c>
      <c r="L140" s="4">
        <v>12.000000000000002</v>
      </c>
      <c r="M140" s="10">
        <f t="shared" si="44"/>
        <v>4.8</v>
      </c>
      <c r="N140" s="4">
        <v>7.9999999999999991</v>
      </c>
      <c r="O140" s="10">
        <f t="shared" si="45"/>
        <v>9.84</v>
      </c>
      <c r="P140" s="4">
        <v>7.0000000000000036</v>
      </c>
      <c r="Q140" s="10">
        <f t="shared" si="46"/>
        <v>9.2880000000000003</v>
      </c>
      <c r="R140" s="4">
        <v>4.9999999999999982</v>
      </c>
      <c r="S140" s="10">
        <f t="shared" si="47"/>
        <v>8.6016000000000012</v>
      </c>
      <c r="T140" s="4">
        <v>8.0000000000000018</v>
      </c>
      <c r="U140" s="10">
        <f t="shared" si="48"/>
        <v>7.5211199999999998</v>
      </c>
      <c r="V140" s="4">
        <v>10.000000000000005</v>
      </c>
      <c r="W140" s="10">
        <f t="shared" si="49"/>
        <v>7.664784</v>
      </c>
      <c r="X140" s="4">
        <v>4</v>
      </c>
      <c r="Y140" s="10">
        <f t="shared" si="50"/>
        <v>8.3653488000000014</v>
      </c>
      <c r="Z140" s="4" t="s">
        <v>3057</v>
      </c>
      <c r="AA140" s="10">
        <f t="shared" si="51"/>
        <v>7.0557441600000006</v>
      </c>
      <c r="AB140" s="4">
        <v>1</v>
      </c>
      <c r="AC140" s="10">
        <f t="shared" si="52"/>
        <v>4.9390209120000002</v>
      </c>
      <c r="AD140" s="4">
        <v>19.999999999999993</v>
      </c>
      <c r="AE140" s="10">
        <f t="shared" si="53"/>
        <v>3.7573146383999996</v>
      </c>
      <c r="AF140" s="4">
        <v>5.0000000000000009</v>
      </c>
      <c r="AG140" s="10">
        <f t="shared" si="54"/>
        <v>8.6301202468799971</v>
      </c>
      <c r="AH140" s="4">
        <v>6</v>
      </c>
      <c r="AI140" s="10">
        <f t="shared" si="55"/>
        <v>7.5410841728159976</v>
      </c>
      <c r="AJ140" s="4">
        <v>11</v>
      </c>
      <c r="AK140" s="10">
        <f t="shared" si="56"/>
        <v>7.0787589209711976</v>
      </c>
      <c r="AL140" s="4">
        <v>15.999999999999998</v>
      </c>
      <c r="AM140" s="10">
        <f t="shared" si="57"/>
        <v>8.2551312446798377</v>
      </c>
      <c r="AN140" s="5">
        <f t="shared" si="58"/>
        <v>7.7448687553201605</v>
      </c>
      <c r="AO140" s="6">
        <f t="shared" si="59"/>
        <v>0.48405429720751009</v>
      </c>
    </row>
    <row r="141" spans="1:41" x14ac:dyDescent="0.25">
      <c r="A141" t="s">
        <v>595</v>
      </c>
      <c r="B141" t="s">
        <v>2855</v>
      </c>
      <c r="C141" t="str">
        <f>_xlfn.XLOOKUP(A141,Fore!A:A,Fore!AC:AC)</f>
        <v>CY</v>
      </c>
      <c r="D141" s="4" t="s">
        <v>3057</v>
      </c>
      <c r="E141" s="10" t="str">
        <f t="shared" si="40"/>
        <v>0</v>
      </c>
      <c r="F141" s="4" t="s">
        <v>3057</v>
      </c>
      <c r="G141" s="10">
        <f t="shared" si="41"/>
        <v>0</v>
      </c>
      <c r="H141" s="4" t="s">
        <v>3057</v>
      </c>
      <c r="I141" s="10">
        <f t="shared" si="42"/>
        <v>0</v>
      </c>
      <c r="J141" s="4" t="s">
        <v>3057</v>
      </c>
      <c r="K141" s="10">
        <f t="shared" si="43"/>
        <v>0</v>
      </c>
      <c r="L141" s="4">
        <v>25</v>
      </c>
      <c r="M141" s="10">
        <f t="shared" si="44"/>
        <v>0</v>
      </c>
      <c r="N141" s="4">
        <v>48.75</v>
      </c>
      <c r="O141" s="10">
        <f t="shared" si="45"/>
        <v>17.5</v>
      </c>
      <c r="P141" s="4" t="s">
        <v>3057</v>
      </c>
      <c r="Q141" s="10">
        <f t="shared" si="46"/>
        <v>26.875</v>
      </c>
      <c r="R141" s="4">
        <v>30</v>
      </c>
      <c r="S141" s="10">
        <f t="shared" si="47"/>
        <v>18.8125</v>
      </c>
      <c r="T141" s="4">
        <v>3.25</v>
      </c>
      <c r="U141" s="10">
        <f t="shared" si="48"/>
        <v>22.168749999999999</v>
      </c>
      <c r="V141" s="4" t="s">
        <v>3057</v>
      </c>
      <c r="W141" s="10">
        <f t="shared" si="49"/>
        <v>16.493124999999999</v>
      </c>
      <c r="X141" s="4">
        <v>0</v>
      </c>
      <c r="Y141" s="10">
        <f t="shared" si="50"/>
        <v>11.545187499999999</v>
      </c>
      <c r="Z141" s="4" t="s">
        <v>3057</v>
      </c>
      <c r="AA141" s="10">
        <f t="shared" si="51"/>
        <v>8.0816312499999992</v>
      </c>
      <c r="AB141" s="4" t="s">
        <v>3057</v>
      </c>
      <c r="AC141" s="10">
        <f t="shared" si="52"/>
        <v>5.6571418749999989</v>
      </c>
      <c r="AD141" s="4" t="s">
        <v>3057</v>
      </c>
      <c r="AE141" s="10">
        <f t="shared" si="53"/>
        <v>3.959999312499999</v>
      </c>
      <c r="AF141" s="4">
        <v>20</v>
      </c>
      <c r="AG141" s="10">
        <f t="shared" si="54"/>
        <v>2.7719995187499991</v>
      </c>
      <c r="AH141" s="4" t="s">
        <v>3057</v>
      </c>
      <c r="AI141" s="10">
        <f t="shared" si="55"/>
        <v>7.9403996631249996</v>
      </c>
      <c r="AJ141" s="4" t="s">
        <v>3057</v>
      </c>
      <c r="AK141" s="10">
        <f t="shared" si="56"/>
        <v>5.5582797641874997</v>
      </c>
      <c r="AL141" s="4" t="s">
        <v>3057</v>
      </c>
      <c r="AM141" s="10">
        <f t="shared" si="57"/>
        <v>3.8907958349312497</v>
      </c>
      <c r="AN141" s="5">
        <f t="shared" si="58"/>
        <v>3.8907958349312497</v>
      </c>
      <c r="AO141" s="6" t="str">
        <f t="shared" si="59"/>
        <v>0</v>
      </c>
    </row>
    <row r="142" spans="1:41" x14ac:dyDescent="0.25">
      <c r="A142" t="s">
        <v>738</v>
      </c>
      <c r="B142" t="s">
        <v>2856</v>
      </c>
      <c r="C142" t="str">
        <f>_xlfn.XLOOKUP(A142,Fore!A:A,Fore!AC:AC)</f>
        <v>CY</v>
      </c>
      <c r="D142" s="4" t="s">
        <v>3057</v>
      </c>
      <c r="E142" s="10" t="str">
        <f t="shared" si="40"/>
        <v>0</v>
      </c>
      <c r="F142" s="4" t="s">
        <v>3057</v>
      </c>
      <c r="G142" s="10">
        <f t="shared" si="41"/>
        <v>0</v>
      </c>
      <c r="H142" s="4" t="s">
        <v>3057</v>
      </c>
      <c r="I142" s="10">
        <f t="shared" si="42"/>
        <v>0</v>
      </c>
      <c r="J142" s="4">
        <v>10</v>
      </c>
      <c r="K142" s="10">
        <f t="shared" si="43"/>
        <v>0</v>
      </c>
      <c r="L142" s="4">
        <v>7</v>
      </c>
      <c r="M142" s="10">
        <f t="shared" si="44"/>
        <v>3</v>
      </c>
      <c r="N142" s="4">
        <v>3.0004</v>
      </c>
      <c r="O142" s="10">
        <f t="shared" si="45"/>
        <v>5.7999999999999989</v>
      </c>
      <c r="P142" s="4">
        <v>24.999600000000004</v>
      </c>
      <c r="Q142" s="10">
        <f t="shared" si="46"/>
        <v>4.960119999999999</v>
      </c>
      <c r="R142" s="4">
        <v>15</v>
      </c>
      <c r="S142" s="10">
        <f t="shared" si="47"/>
        <v>10.971964</v>
      </c>
      <c r="T142" s="4">
        <v>7.9999999999999991</v>
      </c>
      <c r="U142" s="10">
        <f t="shared" si="48"/>
        <v>12.180374799999999</v>
      </c>
      <c r="V142" s="4" t="s">
        <v>3057</v>
      </c>
      <c r="W142" s="10">
        <f t="shared" si="49"/>
        <v>10.926262359999999</v>
      </c>
      <c r="X142" s="4">
        <v>5</v>
      </c>
      <c r="Y142" s="10">
        <f t="shared" si="50"/>
        <v>7.6483836519999988</v>
      </c>
      <c r="Z142" s="4" t="s">
        <v>3057</v>
      </c>
      <c r="AA142" s="10">
        <f t="shared" si="51"/>
        <v>6.8538685563999993</v>
      </c>
      <c r="AB142" s="4" t="s">
        <v>3057</v>
      </c>
      <c r="AC142" s="10">
        <f t="shared" si="52"/>
        <v>4.7977079894799992</v>
      </c>
      <c r="AD142" s="4">
        <v>24</v>
      </c>
      <c r="AE142" s="10">
        <f t="shared" si="53"/>
        <v>3.3583955926359992</v>
      </c>
      <c r="AF142" s="4">
        <v>15</v>
      </c>
      <c r="AG142" s="10">
        <f t="shared" si="54"/>
        <v>9.5508769148451975</v>
      </c>
      <c r="AH142" s="4" t="s">
        <v>3057</v>
      </c>
      <c r="AI142" s="10">
        <f t="shared" si="55"/>
        <v>11.185613840391639</v>
      </c>
      <c r="AJ142" s="4" t="s">
        <v>3057</v>
      </c>
      <c r="AK142" s="10">
        <f t="shared" si="56"/>
        <v>7.8299296882741469</v>
      </c>
      <c r="AL142" s="4">
        <v>9.8610000000000007</v>
      </c>
      <c r="AM142" s="10">
        <f t="shared" si="57"/>
        <v>5.4809507817919023</v>
      </c>
      <c r="AN142" s="5">
        <f t="shared" si="58"/>
        <v>4.3800492182080983</v>
      </c>
      <c r="AO142" s="6">
        <f t="shared" si="59"/>
        <v>0.44417901006065286</v>
      </c>
    </row>
    <row r="143" spans="1:41" x14ac:dyDescent="0.25">
      <c r="A143" t="s">
        <v>642</v>
      </c>
      <c r="B143" t="s">
        <v>2732</v>
      </c>
      <c r="C143" t="str">
        <f>_xlfn.XLOOKUP(A143,Fore!A:A,Fore!AC:AC)</f>
        <v>CY</v>
      </c>
      <c r="D143" s="4" t="s">
        <v>3057</v>
      </c>
      <c r="E143" s="10" t="str">
        <f t="shared" si="40"/>
        <v>0</v>
      </c>
      <c r="F143" s="4" t="s">
        <v>3057</v>
      </c>
      <c r="G143" s="10">
        <f t="shared" si="41"/>
        <v>0</v>
      </c>
      <c r="H143" s="4" t="s">
        <v>3057</v>
      </c>
      <c r="I143" s="10">
        <f t="shared" si="42"/>
        <v>0</v>
      </c>
      <c r="J143" s="4">
        <v>10</v>
      </c>
      <c r="K143" s="10">
        <f t="shared" si="43"/>
        <v>0</v>
      </c>
      <c r="L143" s="4">
        <v>25.999999999999993</v>
      </c>
      <c r="M143" s="10">
        <f t="shared" si="44"/>
        <v>3</v>
      </c>
      <c r="N143" s="4">
        <v>21.999999999999989</v>
      </c>
      <c r="O143" s="10">
        <f t="shared" si="45"/>
        <v>19.099999999999991</v>
      </c>
      <c r="P143" s="4">
        <v>13</v>
      </c>
      <c r="Q143" s="10">
        <f t="shared" si="46"/>
        <v>19.969999999999988</v>
      </c>
      <c r="R143" s="4">
        <v>23.999999999999996</v>
      </c>
      <c r="S143" s="10">
        <f t="shared" si="47"/>
        <v>17.878999999999991</v>
      </c>
      <c r="T143" s="4">
        <v>7.0000000000000044</v>
      </c>
      <c r="U143" s="10">
        <f t="shared" si="48"/>
        <v>19.715299999999992</v>
      </c>
      <c r="V143" s="4">
        <v>7.0000000000000018</v>
      </c>
      <c r="W143" s="10">
        <f t="shared" si="49"/>
        <v>15.900709999999995</v>
      </c>
      <c r="X143" s="4">
        <v>0</v>
      </c>
      <c r="Y143" s="10">
        <f t="shared" si="50"/>
        <v>13.230496999999996</v>
      </c>
      <c r="Z143" s="4" t="s">
        <v>3057</v>
      </c>
      <c r="AA143" s="10">
        <f t="shared" si="51"/>
        <v>9.261347899999997</v>
      </c>
      <c r="AB143" s="4" t="s">
        <v>3057</v>
      </c>
      <c r="AC143" s="10">
        <f t="shared" si="52"/>
        <v>6.4829435299999973</v>
      </c>
      <c r="AD143" s="4" t="s">
        <v>3057</v>
      </c>
      <c r="AE143" s="10">
        <f t="shared" si="53"/>
        <v>4.5380604709999979</v>
      </c>
      <c r="AF143" s="4" t="s">
        <v>3057</v>
      </c>
      <c r="AG143" s="10">
        <f t="shared" si="54"/>
        <v>3.1766423296999982</v>
      </c>
      <c r="AH143" s="4">
        <v>5</v>
      </c>
      <c r="AI143" s="10">
        <f t="shared" si="55"/>
        <v>2.2236496307899984</v>
      </c>
      <c r="AJ143" s="4">
        <v>3</v>
      </c>
      <c r="AK143" s="10">
        <f t="shared" si="56"/>
        <v>3.0565547415529988</v>
      </c>
      <c r="AL143" s="4">
        <v>4</v>
      </c>
      <c r="AM143" s="10">
        <f t="shared" si="57"/>
        <v>3.0395883190870987</v>
      </c>
      <c r="AN143" s="5">
        <f t="shared" si="58"/>
        <v>0.9604116809129013</v>
      </c>
      <c r="AO143" s="6">
        <f t="shared" si="59"/>
        <v>0.24010292022822532</v>
      </c>
    </row>
    <row r="144" spans="1:41" x14ac:dyDescent="0.25">
      <c r="A144" t="s">
        <v>584</v>
      </c>
      <c r="B144" t="s">
        <v>2693</v>
      </c>
      <c r="C144" t="str">
        <f>_xlfn.XLOOKUP(A144,Fore!A:A,Fore!AC:AC)</f>
        <v>CY</v>
      </c>
      <c r="D144" s="4" t="s">
        <v>3057</v>
      </c>
      <c r="E144" s="10" t="str">
        <f t="shared" si="40"/>
        <v>0</v>
      </c>
      <c r="F144" s="4" t="s">
        <v>3057</v>
      </c>
      <c r="G144" s="10">
        <f t="shared" si="41"/>
        <v>0</v>
      </c>
      <c r="H144" s="4" t="s">
        <v>3057</v>
      </c>
      <c r="I144" s="10">
        <f t="shared" si="42"/>
        <v>0</v>
      </c>
      <c r="J144" s="4" t="s">
        <v>3057</v>
      </c>
      <c r="K144" s="10">
        <f t="shared" si="43"/>
        <v>0</v>
      </c>
      <c r="L144" s="4">
        <v>28</v>
      </c>
      <c r="M144" s="10">
        <f t="shared" si="44"/>
        <v>0</v>
      </c>
      <c r="N144" s="4">
        <v>17</v>
      </c>
      <c r="O144" s="10">
        <f t="shared" si="45"/>
        <v>19.599999999999998</v>
      </c>
      <c r="P144" s="4">
        <v>11.999999999999998</v>
      </c>
      <c r="Q144" s="10">
        <f t="shared" si="46"/>
        <v>18.819999999999997</v>
      </c>
      <c r="R144" s="4">
        <v>7</v>
      </c>
      <c r="S144" s="10">
        <f t="shared" si="47"/>
        <v>16.773999999999997</v>
      </c>
      <c r="T144" s="4">
        <v>2</v>
      </c>
      <c r="U144" s="10">
        <f t="shared" si="48"/>
        <v>13.841799999999997</v>
      </c>
      <c r="V144" s="4">
        <v>12</v>
      </c>
      <c r="W144" s="10">
        <f t="shared" si="49"/>
        <v>10.289259999999997</v>
      </c>
      <c r="X144" s="4">
        <v>1</v>
      </c>
      <c r="Y144" s="10">
        <f t="shared" si="50"/>
        <v>10.802481999999998</v>
      </c>
      <c r="Z144" s="4" t="s">
        <v>3057</v>
      </c>
      <c r="AA144" s="10">
        <f t="shared" si="51"/>
        <v>7.8617373999999973</v>
      </c>
      <c r="AB144" s="4" t="s">
        <v>3057</v>
      </c>
      <c r="AC144" s="10">
        <f t="shared" si="52"/>
        <v>5.5032161799999981</v>
      </c>
      <c r="AD144" s="4">
        <v>12</v>
      </c>
      <c r="AE144" s="10">
        <f t="shared" si="53"/>
        <v>3.8522513259999984</v>
      </c>
      <c r="AF144" s="4">
        <v>14</v>
      </c>
      <c r="AG144" s="10">
        <f t="shared" si="54"/>
        <v>6.2965759281999985</v>
      </c>
      <c r="AH144" s="4">
        <v>14</v>
      </c>
      <c r="AI144" s="10">
        <f t="shared" si="55"/>
        <v>8.6076031497399992</v>
      </c>
      <c r="AJ144" s="4" t="s">
        <v>3057</v>
      </c>
      <c r="AK144" s="10">
        <f t="shared" si="56"/>
        <v>10.225322204817999</v>
      </c>
      <c r="AL144" s="4" t="s">
        <v>3057</v>
      </c>
      <c r="AM144" s="10">
        <f t="shared" si="57"/>
        <v>7.1577255433725986</v>
      </c>
      <c r="AN144" s="5">
        <f t="shared" si="58"/>
        <v>7.1577255433725986</v>
      </c>
      <c r="AO144" s="6" t="str">
        <f t="shared" si="59"/>
        <v>0</v>
      </c>
    </row>
    <row r="145" spans="1:41" x14ac:dyDescent="0.25">
      <c r="A145" t="s">
        <v>588</v>
      </c>
      <c r="B145" t="s">
        <v>2621</v>
      </c>
      <c r="C145" t="str">
        <f>_xlfn.XLOOKUP(A145,Fore!A:A,Fore!AC:AC)</f>
        <v>CZ</v>
      </c>
      <c r="D145" s="4" t="s">
        <v>3057</v>
      </c>
      <c r="E145" s="10" t="str">
        <f t="shared" si="40"/>
        <v>0</v>
      </c>
      <c r="F145" s="4" t="s">
        <v>3057</v>
      </c>
      <c r="G145" s="10">
        <f t="shared" si="41"/>
        <v>0</v>
      </c>
      <c r="H145" s="4" t="s">
        <v>3057</v>
      </c>
      <c r="I145" s="10">
        <f t="shared" si="42"/>
        <v>0</v>
      </c>
      <c r="J145" s="4" t="s">
        <v>3057</v>
      </c>
      <c r="K145" s="10">
        <f t="shared" si="43"/>
        <v>0</v>
      </c>
      <c r="L145" s="4">
        <v>6</v>
      </c>
      <c r="M145" s="10">
        <f t="shared" si="44"/>
        <v>0</v>
      </c>
      <c r="N145" s="4">
        <v>19</v>
      </c>
      <c r="O145" s="10">
        <f t="shared" si="45"/>
        <v>4.1999999999999993</v>
      </c>
      <c r="P145" s="4">
        <v>21</v>
      </c>
      <c r="Q145" s="10">
        <f t="shared" si="46"/>
        <v>8.64</v>
      </c>
      <c r="R145" s="4" t="s">
        <v>3057</v>
      </c>
      <c r="S145" s="10">
        <f t="shared" si="47"/>
        <v>12.347999999999999</v>
      </c>
      <c r="T145" s="4" t="s">
        <v>3057</v>
      </c>
      <c r="U145" s="10">
        <f t="shared" si="48"/>
        <v>8.6435999999999993</v>
      </c>
      <c r="V145" s="4">
        <v>5</v>
      </c>
      <c r="W145" s="10">
        <f t="shared" si="49"/>
        <v>6.0505199999999988</v>
      </c>
      <c r="X145" s="4">
        <v>0</v>
      </c>
      <c r="Y145" s="10">
        <f t="shared" si="50"/>
        <v>5.7353639999999988</v>
      </c>
      <c r="Z145" s="4" t="s">
        <v>3057</v>
      </c>
      <c r="AA145" s="10">
        <f t="shared" si="51"/>
        <v>4.0147547999999986</v>
      </c>
      <c r="AB145" s="4" t="s">
        <v>3057</v>
      </c>
      <c r="AC145" s="10">
        <f t="shared" si="52"/>
        <v>2.8103283599999989</v>
      </c>
      <c r="AD145" s="4">
        <v>10</v>
      </c>
      <c r="AE145" s="10">
        <f t="shared" si="53"/>
        <v>1.9672298519999991</v>
      </c>
      <c r="AF145" s="4">
        <v>1</v>
      </c>
      <c r="AG145" s="10">
        <f t="shared" si="54"/>
        <v>4.3770608963999997</v>
      </c>
      <c r="AH145" s="4">
        <v>10</v>
      </c>
      <c r="AI145" s="10">
        <f t="shared" si="55"/>
        <v>3.3639426274799993</v>
      </c>
      <c r="AJ145" s="4">
        <v>2</v>
      </c>
      <c r="AK145" s="10">
        <f t="shared" si="56"/>
        <v>5.3547598392359994</v>
      </c>
      <c r="AL145" s="4">
        <v>40</v>
      </c>
      <c r="AM145" s="10">
        <f t="shared" si="57"/>
        <v>4.3483318874651991</v>
      </c>
      <c r="AN145" s="5">
        <f t="shared" si="58"/>
        <v>35.6516681125348</v>
      </c>
      <c r="AO145" s="6">
        <f t="shared" si="59"/>
        <v>0.89129170281337</v>
      </c>
    </row>
    <row r="146" spans="1:41" x14ac:dyDescent="0.25">
      <c r="A146" t="s">
        <v>486</v>
      </c>
      <c r="B146" t="s">
        <v>2715</v>
      </c>
      <c r="C146" t="str">
        <f>_xlfn.XLOOKUP(A146,Fore!A:A,Fore!AC:AC)</f>
        <v>CX</v>
      </c>
      <c r="D146" s="4" t="s">
        <v>3057</v>
      </c>
      <c r="E146" s="10" t="str">
        <f t="shared" si="40"/>
        <v>0</v>
      </c>
      <c r="F146" s="4" t="s">
        <v>3057</v>
      </c>
      <c r="G146" s="10">
        <f t="shared" si="41"/>
        <v>0</v>
      </c>
      <c r="H146" s="4" t="s">
        <v>3057</v>
      </c>
      <c r="I146" s="10">
        <f t="shared" si="42"/>
        <v>0</v>
      </c>
      <c r="J146" s="4">
        <v>15</v>
      </c>
      <c r="K146" s="10">
        <f t="shared" si="43"/>
        <v>0</v>
      </c>
      <c r="L146" s="4">
        <v>14.000000000000002</v>
      </c>
      <c r="M146" s="10">
        <f t="shared" si="44"/>
        <v>4.5</v>
      </c>
      <c r="N146" s="4">
        <v>9</v>
      </c>
      <c r="O146" s="10">
        <f t="shared" si="45"/>
        <v>11.15</v>
      </c>
      <c r="P146" s="4">
        <v>6.75</v>
      </c>
      <c r="Q146" s="10">
        <f t="shared" si="46"/>
        <v>10.504999999999999</v>
      </c>
      <c r="R146" s="4">
        <v>10.249999999999996</v>
      </c>
      <c r="S146" s="10">
        <f t="shared" si="47"/>
        <v>9.3784999999999989</v>
      </c>
      <c r="T146" s="4">
        <v>7</v>
      </c>
      <c r="U146" s="10">
        <f t="shared" si="48"/>
        <v>9.6399499999999971</v>
      </c>
      <c r="V146" s="4">
        <v>13.999999999999991</v>
      </c>
      <c r="W146" s="10">
        <f t="shared" si="49"/>
        <v>8.8479649999999985</v>
      </c>
      <c r="X146" s="4">
        <v>0</v>
      </c>
      <c r="Y146" s="10">
        <f t="shared" si="50"/>
        <v>10.393575499999997</v>
      </c>
      <c r="Z146" s="4" t="s">
        <v>3057</v>
      </c>
      <c r="AA146" s="10">
        <f t="shared" si="51"/>
        <v>7.2755028499999979</v>
      </c>
      <c r="AB146" s="4" t="s">
        <v>3057</v>
      </c>
      <c r="AC146" s="10">
        <f t="shared" si="52"/>
        <v>5.0928519949999984</v>
      </c>
      <c r="AD146" s="4">
        <v>13</v>
      </c>
      <c r="AE146" s="10">
        <f t="shared" si="53"/>
        <v>3.5649963964999984</v>
      </c>
      <c r="AF146" s="4">
        <v>6</v>
      </c>
      <c r="AG146" s="10">
        <f t="shared" si="54"/>
        <v>6.3954974775499984</v>
      </c>
      <c r="AH146" s="4" t="s">
        <v>3057</v>
      </c>
      <c r="AI146" s="10">
        <f t="shared" si="55"/>
        <v>6.2768482342849987</v>
      </c>
      <c r="AJ146" s="4">
        <v>5</v>
      </c>
      <c r="AK146" s="10">
        <f t="shared" si="56"/>
        <v>4.3937937639994988</v>
      </c>
      <c r="AL146" s="4">
        <v>10.999999999999998</v>
      </c>
      <c r="AM146" s="10">
        <f t="shared" si="57"/>
        <v>4.5756556347996487</v>
      </c>
      <c r="AN146" s="5">
        <f t="shared" si="58"/>
        <v>6.4243443652003496</v>
      </c>
      <c r="AO146" s="6">
        <f t="shared" si="59"/>
        <v>0.58403130592730457</v>
      </c>
    </row>
    <row r="147" spans="1:41" x14ac:dyDescent="0.25">
      <c r="A147" t="s">
        <v>1526</v>
      </c>
      <c r="B147" t="s">
        <v>2899</v>
      </c>
      <c r="C147" t="str">
        <f>_xlfn.XLOOKUP(A147,Fore!A:A,Fore!AC:AC)</f>
        <v>CY</v>
      </c>
      <c r="D147" s="4" t="s">
        <v>3057</v>
      </c>
      <c r="E147" s="10" t="str">
        <f t="shared" si="40"/>
        <v>0</v>
      </c>
      <c r="F147" s="4" t="s">
        <v>3057</v>
      </c>
      <c r="G147" s="10">
        <f t="shared" si="41"/>
        <v>0</v>
      </c>
      <c r="H147" s="4" t="s">
        <v>3057</v>
      </c>
      <c r="I147" s="10">
        <f t="shared" si="42"/>
        <v>0</v>
      </c>
      <c r="J147" s="4" t="s">
        <v>3057</v>
      </c>
      <c r="K147" s="10">
        <f t="shared" si="43"/>
        <v>0</v>
      </c>
      <c r="L147" s="4" t="s">
        <v>3057</v>
      </c>
      <c r="M147" s="10">
        <f t="shared" si="44"/>
        <v>0</v>
      </c>
      <c r="N147" s="4">
        <v>110</v>
      </c>
      <c r="O147" s="10">
        <f t="shared" si="45"/>
        <v>0</v>
      </c>
      <c r="P147" s="4" t="s">
        <v>3057</v>
      </c>
      <c r="Q147" s="10">
        <f t="shared" si="46"/>
        <v>33</v>
      </c>
      <c r="R147" s="4" t="s">
        <v>3057</v>
      </c>
      <c r="S147" s="10">
        <f t="shared" si="47"/>
        <v>23.099999999999998</v>
      </c>
      <c r="T147" s="4" t="s">
        <v>3057</v>
      </c>
      <c r="U147" s="10">
        <f t="shared" si="48"/>
        <v>16.169999999999998</v>
      </c>
      <c r="V147" s="4" t="s">
        <v>3057</v>
      </c>
      <c r="W147" s="10">
        <f t="shared" si="49"/>
        <v>11.318999999999997</v>
      </c>
      <c r="X147" s="4">
        <v>0</v>
      </c>
      <c r="Y147" s="10">
        <f t="shared" si="50"/>
        <v>7.9232999999999976</v>
      </c>
      <c r="Z147" s="4" t="s">
        <v>3057</v>
      </c>
      <c r="AA147" s="10">
        <f t="shared" si="51"/>
        <v>5.5463099999999983</v>
      </c>
      <c r="AB147" s="4" t="s">
        <v>3057</v>
      </c>
      <c r="AC147" s="10">
        <f t="shared" si="52"/>
        <v>3.8824169999999985</v>
      </c>
      <c r="AD147" s="4" t="s">
        <v>3057</v>
      </c>
      <c r="AE147" s="10">
        <f t="shared" si="53"/>
        <v>2.7176918999999988</v>
      </c>
      <c r="AF147" s="4" t="s">
        <v>3057</v>
      </c>
      <c r="AG147" s="10">
        <f t="shared" si="54"/>
        <v>1.902384329999999</v>
      </c>
      <c r="AH147" s="4" t="s">
        <v>3057</v>
      </c>
      <c r="AI147" s="10">
        <f t="shared" si="55"/>
        <v>1.3316690309999992</v>
      </c>
      <c r="AJ147" s="4" t="s">
        <v>3057</v>
      </c>
      <c r="AK147" s="10">
        <f t="shared" si="56"/>
        <v>0.93216832169999941</v>
      </c>
      <c r="AL147" s="4" t="s">
        <v>3057</v>
      </c>
      <c r="AM147" s="10">
        <f t="shared" si="57"/>
        <v>0.65251782518999957</v>
      </c>
      <c r="AN147" s="5">
        <f t="shared" si="58"/>
        <v>0.65251782518999957</v>
      </c>
      <c r="AO147" s="6" t="str">
        <f t="shared" si="59"/>
        <v>0</v>
      </c>
    </row>
    <row r="148" spans="1:41" x14ac:dyDescent="0.25">
      <c r="A148" t="s">
        <v>1096</v>
      </c>
      <c r="B148" t="s">
        <v>2860</v>
      </c>
      <c r="C148" t="str">
        <f>_xlfn.XLOOKUP(A148,Fore!A:A,Fore!AC:AC)</f>
        <v>CY</v>
      </c>
      <c r="D148" s="4" t="s">
        <v>3057</v>
      </c>
      <c r="E148" s="10" t="str">
        <f t="shared" si="40"/>
        <v>0</v>
      </c>
      <c r="F148" s="4" t="s">
        <v>3057</v>
      </c>
      <c r="G148" s="10">
        <f t="shared" si="41"/>
        <v>0</v>
      </c>
      <c r="H148" s="4" t="s">
        <v>3057</v>
      </c>
      <c r="I148" s="10">
        <f t="shared" si="42"/>
        <v>0</v>
      </c>
      <c r="J148" s="4">
        <v>26</v>
      </c>
      <c r="K148" s="10">
        <f t="shared" si="43"/>
        <v>0</v>
      </c>
      <c r="L148" s="4">
        <v>34</v>
      </c>
      <c r="M148" s="10">
        <f t="shared" si="44"/>
        <v>7.8</v>
      </c>
      <c r="N148" s="4" t="s">
        <v>3057</v>
      </c>
      <c r="O148" s="10">
        <f t="shared" si="45"/>
        <v>26.139999999999997</v>
      </c>
      <c r="P148" s="4" t="s">
        <v>3057</v>
      </c>
      <c r="Q148" s="10">
        <f t="shared" si="46"/>
        <v>18.297999999999998</v>
      </c>
      <c r="R148" s="4" t="s">
        <v>3057</v>
      </c>
      <c r="S148" s="10">
        <f t="shared" si="47"/>
        <v>12.808599999999998</v>
      </c>
      <c r="T148" s="4" t="s">
        <v>3057</v>
      </c>
      <c r="U148" s="10">
        <f t="shared" si="48"/>
        <v>8.9660199999999985</v>
      </c>
      <c r="V148" s="4">
        <v>49.999999999999986</v>
      </c>
      <c r="W148" s="10">
        <f t="shared" si="49"/>
        <v>6.2762139999999986</v>
      </c>
      <c r="X148" s="4">
        <v>0</v>
      </c>
      <c r="Y148" s="10">
        <f t="shared" si="50"/>
        <v>19.393349799999992</v>
      </c>
      <c r="Z148" s="4" t="s">
        <v>3057</v>
      </c>
      <c r="AA148" s="10">
        <f t="shared" si="51"/>
        <v>13.575344859999994</v>
      </c>
      <c r="AB148" s="4" t="s">
        <v>3057</v>
      </c>
      <c r="AC148" s="10">
        <f t="shared" si="52"/>
        <v>9.5027414019999945</v>
      </c>
      <c r="AD148" s="4" t="s">
        <v>3057</v>
      </c>
      <c r="AE148" s="10">
        <f t="shared" si="53"/>
        <v>6.6519189813999962</v>
      </c>
      <c r="AF148" s="4" t="s">
        <v>3057</v>
      </c>
      <c r="AG148" s="10">
        <f t="shared" si="54"/>
        <v>4.6563432869799968</v>
      </c>
      <c r="AH148" s="4" t="s">
        <v>3057</v>
      </c>
      <c r="AI148" s="10">
        <f t="shared" si="55"/>
        <v>3.2594403008859976</v>
      </c>
      <c r="AJ148" s="4" t="s">
        <v>3057</v>
      </c>
      <c r="AK148" s="10">
        <f t="shared" si="56"/>
        <v>2.281608210620198</v>
      </c>
      <c r="AL148" s="4" t="s">
        <v>3057</v>
      </c>
      <c r="AM148" s="10">
        <f t="shared" si="57"/>
        <v>1.5971257474341385</v>
      </c>
      <c r="AN148" s="5">
        <f t="shared" si="58"/>
        <v>1.5971257474341385</v>
      </c>
      <c r="AO148" s="6" t="str">
        <f t="shared" si="59"/>
        <v>0</v>
      </c>
    </row>
    <row r="149" spans="1:41" x14ac:dyDescent="0.25">
      <c r="A149" t="s">
        <v>939</v>
      </c>
      <c r="B149" t="s">
        <v>2674</v>
      </c>
      <c r="C149" t="str">
        <f>_xlfn.XLOOKUP(A149,Fore!A:A,Fore!AC:AC)</f>
        <v>CY</v>
      </c>
      <c r="D149" s="4" t="s">
        <v>3057</v>
      </c>
      <c r="E149" s="10" t="str">
        <f t="shared" si="40"/>
        <v>0</v>
      </c>
      <c r="F149" s="4" t="s">
        <v>3057</v>
      </c>
      <c r="G149" s="10">
        <f t="shared" si="41"/>
        <v>0</v>
      </c>
      <c r="H149" s="4" t="s">
        <v>3057</v>
      </c>
      <c r="I149" s="10">
        <f t="shared" si="42"/>
        <v>0</v>
      </c>
      <c r="J149" s="4" t="s">
        <v>3057</v>
      </c>
      <c r="K149" s="10">
        <f t="shared" si="43"/>
        <v>0</v>
      </c>
      <c r="L149" s="4">
        <v>18</v>
      </c>
      <c r="M149" s="10">
        <f t="shared" si="44"/>
        <v>0</v>
      </c>
      <c r="N149" s="4">
        <v>10</v>
      </c>
      <c r="O149" s="10">
        <f t="shared" si="45"/>
        <v>12.6</v>
      </c>
      <c r="P149" s="4">
        <v>8</v>
      </c>
      <c r="Q149" s="10">
        <f t="shared" si="46"/>
        <v>11.819999999999999</v>
      </c>
      <c r="R149" s="4">
        <v>12</v>
      </c>
      <c r="S149" s="10">
        <f t="shared" si="47"/>
        <v>10.673999999999999</v>
      </c>
      <c r="T149" s="4" t="s">
        <v>3057</v>
      </c>
      <c r="U149" s="10">
        <f t="shared" si="48"/>
        <v>11.0718</v>
      </c>
      <c r="V149" s="4">
        <v>20</v>
      </c>
      <c r="W149" s="10">
        <f t="shared" si="49"/>
        <v>7.750259999999999</v>
      </c>
      <c r="X149" s="4">
        <v>0</v>
      </c>
      <c r="Y149" s="10">
        <f t="shared" si="50"/>
        <v>11.425182</v>
      </c>
      <c r="Z149" s="4" t="s">
        <v>3057</v>
      </c>
      <c r="AA149" s="10">
        <f t="shared" si="51"/>
        <v>7.9976273999999989</v>
      </c>
      <c r="AB149" s="4" t="s">
        <v>3057</v>
      </c>
      <c r="AC149" s="10">
        <f t="shared" si="52"/>
        <v>5.5983391799999991</v>
      </c>
      <c r="AD149" s="4" t="s">
        <v>3057</v>
      </c>
      <c r="AE149" s="10">
        <f t="shared" si="53"/>
        <v>3.9188374259999992</v>
      </c>
      <c r="AF149" s="4">
        <v>20</v>
      </c>
      <c r="AG149" s="10">
        <f t="shared" si="54"/>
        <v>2.7431861981999992</v>
      </c>
      <c r="AH149" s="4" t="s">
        <v>3057</v>
      </c>
      <c r="AI149" s="10">
        <f t="shared" si="55"/>
        <v>7.9202303387399997</v>
      </c>
      <c r="AJ149" s="4" t="s">
        <v>3057</v>
      </c>
      <c r="AK149" s="10">
        <f t="shared" si="56"/>
        <v>5.5441612371179998</v>
      </c>
      <c r="AL149" s="4">
        <v>20</v>
      </c>
      <c r="AM149" s="10">
        <f t="shared" si="57"/>
        <v>3.8809128659825998</v>
      </c>
      <c r="AN149" s="5">
        <f t="shared" si="58"/>
        <v>16.119087134017398</v>
      </c>
      <c r="AO149" s="6">
        <f t="shared" si="59"/>
        <v>0.8059543567008699</v>
      </c>
    </row>
    <row r="150" spans="1:41" x14ac:dyDescent="0.25">
      <c r="A150" t="s">
        <v>938</v>
      </c>
      <c r="B150" t="s">
        <v>2673</v>
      </c>
      <c r="C150" t="str">
        <f>_xlfn.XLOOKUP(A150,Fore!A:A,Fore!AC:AC)</f>
        <v>CY</v>
      </c>
      <c r="D150" s="4" t="s">
        <v>3057</v>
      </c>
      <c r="E150" s="10" t="str">
        <f t="shared" si="40"/>
        <v>0</v>
      </c>
      <c r="F150" s="4" t="s">
        <v>3057</v>
      </c>
      <c r="G150" s="10">
        <f t="shared" si="41"/>
        <v>0</v>
      </c>
      <c r="H150" s="4" t="s">
        <v>3057</v>
      </c>
      <c r="I150" s="10">
        <f t="shared" si="42"/>
        <v>0</v>
      </c>
      <c r="J150" s="4" t="s">
        <v>3057</v>
      </c>
      <c r="K150" s="10">
        <f t="shared" si="43"/>
        <v>0</v>
      </c>
      <c r="L150" s="4">
        <v>16</v>
      </c>
      <c r="M150" s="10">
        <f t="shared" si="44"/>
        <v>0</v>
      </c>
      <c r="N150" s="4">
        <v>6.9999999999999982</v>
      </c>
      <c r="O150" s="10">
        <f t="shared" si="45"/>
        <v>11.2</v>
      </c>
      <c r="P150" s="4">
        <v>8</v>
      </c>
      <c r="Q150" s="10">
        <f t="shared" si="46"/>
        <v>9.9399999999999977</v>
      </c>
      <c r="R150" s="4">
        <v>12</v>
      </c>
      <c r="S150" s="10">
        <f t="shared" si="47"/>
        <v>9.3579999999999988</v>
      </c>
      <c r="T150" s="4" t="s">
        <v>3057</v>
      </c>
      <c r="U150" s="10">
        <f t="shared" si="48"/>
        <v>10.150599999999997</v>
      </c>
      <c r="V150" s="4">
        <v>20</v>
      </c>
      <c r="W150" s="10">
        <f t="shared" si="49"/>
        <v>7.1054199999999978</v>
      </c>
      <c r="X150" s="4">
        <v>0</v>
      </c>
      <c r="Y150" s="10">
        <f t="shared" si="50"/>
        <v>10.973793999999998</v>
      </c>
      <c r="Z150" s="4" t="s">
        <v>3057</v>
      </c>
      <c r="AA150" s="10">
        <f t="shared" si="51"/>
        <v>7.6816557999999979</v>
      </c>
      <c r="AB150" s="4" t="s">
        <v>3057</v>
      </c>
      <c r="AC150" s="10">
        <f t="shared" si="52"/>
        <v>5.3771590599999985</v>
      </c>
      <c r="AD150" s="4" t="s">
        <v>3057</v>
      </c>
      <c r="AE150" s="10">
        <f t="shared" si="53"/>
        <v>3.7640113419999985</v>
      </c>
      <c r="AF150" s="4">
        <v>20</v>
      </c>
      <c r="AG150" s="10">
        <f t="shared" si="54"/>
        <v>2.634807939399999</v>
      </c>
      <c r="AH150" s="4" t="s">
        <v>3057</v>
      </c>
      <c r="AI150" s="10">
        <f t="shared" si="55"/>
        <v>7.8443655575799989</v>
      </c>
      <c r="AJ150" s="4" t="s">
        <v>3057</v>
      </c>
      <c r="AK150" s="10">
        <f t="shared" si="56"/>
        <v>5.4910558903059989</v>
      </c>
      <c r="AL150" s="4">
        <v>20</v>
      </c>
      <c r="AM150" s="10">
        <f t="shared" si="57"/>
        <v>3.8437391232141991</v>
      </c>
      <c r="AN150" s="5">
        <f t="shared" si="58"/>
        <v>16.156260876785801</v>
      </c>
      <c r="AO150" s="6">
        <f t="shared" si="59"/>
        <v>0.80781304383929009</v>
      </c>
    </row>
    <row r="151" spans="1:41" x14ac:dyDescent="0.25">
      <c r="A151" t="s">
        <v>2318</v>
      </c>
      <c r="B151" t="s">
        <v>2599</v>
      </c>
      <c r="C151" t="str">
        <f>_xlfn.XLOOKUP(A151,Fore!A:A,Fore!AC:AC)</f>
        <v>CY</v>
      </c>
      <c r="D151" s="4" t="s">
        <v>3057</v>
      </c>
      <c r="E151" s="10" t="str">
        <f t="shared" si="40"/>
        <v>0</v>
      </c>
      <c r="F151" s="4" t="s">
        <v>3057</v>
      </c>
      <c r="G151" s="10">
        <f t="shared" si="41"/>
        <v>0</v>
      </c>
      <c r="H151" s="4" t="s">
        <v>3057</v>
      </c>
      <c r="I151" s="10">
        <f t="shared" si="42"/>
        <v>0</v>
      </c>
      <c r="J151" s="4" t="s">
        <v>3057</v>
      </c>
      <c r="K151" s="10">
        <f t="shared" si="43"/>
        <v>0</v>
      </c>
      <c r="L151" s="4" t="s">
        <v>3057</v>
      </c>
      <c r="M151" s="10">
        <f t="shared" si="44"/>
        <v>0</v>
      </c>
      <c r="N151" s="4" t="s">
        <v>3057</v>
      </c>
      <c r="O151" s="10">
        <f t="shared" si="45"/>
        <v>0</v>
      </c>
      <c r="P151" s="4" t="s">
        <v>3057</v>
      </c>
      <c r="Q151" s="10">
        <f t="shared" si="46"/>
        <v>0</v>
      </c>
      <c r="R151" s="4" t="s">
        <v>3057</v>
      </c>
      <c r="S151" s="10">
        <f t="shared" si="47"/>
        <v>0</v>
      </c>
      <c r="T151" s="4" t="s">
        <v>3057</v>
      </c>
      <c r="U151" s="10">
        <f t="shared" si="48"/>
        <v>0</v>
      </c>
      <c r="V151" s="4" t="s">
        <v>3057</v>
      </c>
      <c r="W151" s="10">
        <f t="shared" si="49"/>
        <v>0</v>
      </c>
      <c r="X151" s="4">
        <v>0</v>
      </c>
      <c r="Y151" s="10">
        <f t="shared" si="50"/>
        <v>0</v>
      </c>
      <c r="Z151" s="4" t="s">
        <v>3057</v>
      </c>
      <c r="AA151" s="10">
        <f t="shared" si="51"/>
        <v>0</v>
      </c>
      <c r="AB151" s="4" t="s">
        <v>3057</v>
      </c>
      <c r="AC151" s="10">
        <f t="shared" si="52"/>
        <v>0</v>
      </c>
      <c r="AD151" s="4" t="s">
        <v>3057</v>
      </c>
      <c r="AE151" s="10">
        <f t="shared" si="53"/>
        <v>0</v>
      </c>
      <c r="AF151" s="4" t="s">
        <v>3057</v>
      </c>
      <c r="AG151" s="10">
        <f t="shared" si="54"/>
        <v>0</v>
      </c>
      <c r="AH151" s="4" t="s">
        <v>3057</v>
      </c>
      <c r="AI151" s="10">
        <f t="shared" si="55"/>
        <v>0</v>
      </c>
      <c r="AJ151" s="4">
        <v>100.00000000000001</v>
      </c>
      <c r="AK151" s="10">
        <f t="shared" si="56"/>
        <v>0</v>
      </c>
      <c r="AL151" s="4" t="s">
        <v>3057</v>
      </c>
      <c r="AM151" s="10">
        <f t="shared" si="57"/>
        <v>30.000000000000004</v>
      </c>
      <c r="AN151" s="5">
        <f t="shared" si="58"/>
        <v>30.000000000000004</v>
      </c>
      <c r="AO151" s="6" t="str">
        <f t="shared" si="59"/>
        <v>0</v>
      </c>
    </row>
    <row r="152" spans="1:41" x14ac:dyDescent="0.25">
      <c r="A152" t="s">
        <v>2405</v>
      </c>
      <c r="B152" t="s">
        <v>2600</v>
      </c>
      <c r="C152" t="str">
        <f>_xlfn.XLOOKUP(A152,Fore!A:A,Fore!AC:AC)</f>
        <v>CY</v>
      </c>
      <c r="D152" s="4" t="s">
        <v>3057</v>
      </c>
      <c r="E152" s="10" t="str">
        <f t="shared" si="40"/>
        <v>0</v>
      </c>
      <c r="F152" s="4" t="s">
        <v>3057</v>
      </c>
      <c r="G152" s="10">
        <f t="shared" si="41"/>
        <v>0</v>
      </c>
      <c r="H152" s="4" t="s">
        <v>3057</v>
      </c>
      <c r="I152" s="10">
        <f t="shared" si="42"/>
        <v>0</v>
      </c>
      <c r="J152" s="4" t="s">
        <v>3057</v>
      </c>
      <c r="K152" s="10">
        <f t="shared" si="43"/>
        <v>0</v>
      </c>
      <c r="L152" s="4" t="s">
        <v>3057</v>
      </c>
      <c r="M152" s="10">
        <f t="shared" si="44"/>
        <v>0</v>
      </c>
      <c r="N152" s="4" t="s">
        <v>3057</v>
      </c>
      <c r="O152" s="10">
        <f t="shared" si="45"/>
        <v>0</v>
      </c>
      <c r="P152" s="4" t="s">
        <v>3057</v>
      </c>
      <c r="Q152" s="10">
        <f t="shared" si="46"/>
        <v>0</v>
      </c>
      <c r="R152" s="4" t="s">
        <v>3057</v>
      </c>
      <c r="S152" s="10">
        <f t="shared" si="47"/>
        <v>0</v>
      </c>
      <c r="T152" s="4" t="s">
        <v>3057</v>
      </c>
      <c r="U152" s="10">
        <f t="shared" si="48"/>
        <v>0</v>
      </c>
      <c r="V152" s="4" t="s">
        <v>3057</v>
      </c>
      <c r="W152" s="10">
        <f t="shared" si="49"/>
        <v>0</v>
      </c>
      <c r="X152" s="4">
        <v>0</v>
      </c>
      <c r="Y152" s="10">
        <f t="shared" si="50"/>
        <v>0</v>
      </c>
      <c r="Z152" s="4" t="s">
        <v>3057</v>
      </c>
      <c r="AA152" s="10">
        <f t="shared" si="51"/>
        <v>0</v>
      </c>
      <c r="AB152" s="4" t="s">
        <v>3057</v>
      </c>
      <c r="AC152" s="10">
        <f t="shared" si="52"/>
        <v>0</v>
      </c>
      <c r="AD152" s="4" t="s">
        <v>3057</v>
      </c>
      <c r="AE152" s="10">
        <f t="shared" si="53"/>
        <v>0</v>
      </c>
      <c r="AF152" s="4" t="s">
        <v>3057</v>
      </c>
      <c r="AG152" s="10">
        <f t="shared" si="54"/>
        <v>0</v>
      </c>
      <c r="AH152" s="4" t="s">
        <v>3057</v>
      </c>
      <c r="AI152" s="10">
        <f t="shared" si="55"/>
        <v>0</v>
      </c>
      <c r="AJ152" s="4" t="s">
        <v>3057</v>
      </c>
      <c r="AK152" s="10">
        <f t="shared" si="56"/>
        <v>0</v>
      </c>
      <c r="AL152" s="4">
        <v>100</v>
      </c>
      <c r="AM152" s="10">
        <f t="shared" si="57"/>
        <v>0</v>
      </c>
      <c r="AN152" s="5">
        <f t="shared" si="58"/>
        <v>100</v>
      </c>
      <c r="AO152" s="6">
        <f t="shared" si="59"/>
        <v>1</v>
      </c>
    </row>
    <row r="153" spans="1:41" x14ac:dyDescent="0.25">
      <c r="A153" t="s">
        <v>940</v>
      </c>
      <c r="B153" t="s">
        <v>2675</v>
      </c>
      <c r="C153" t="str">
        <f>_xlfn.XLOOKUP(A153,Fore!A:A,Fore!AC:AC)</f>
        <v>CY</v>
      </c>
      <c r="D153" s="4" t="s">
        <v>3057</v>
      </c>
      <c r="E153" s="10" t="str">
        <f t="shared" si="40"/>
        <v>0</v>
      </c>
      <c r="F153" s="4" t="s">
        <v>3057</v>
      </c>
      <c r="G153" s="10">
        <f t="shared" si="41"/>
        <v>0</v>
      </c>
      <c r="H153" s="4" t="s">
        <v>3057</v>
      </c>
      <c r="I153" s="10">
        <f t="shared" si="42"/>
        <v>0</v>
      </c>
      <c r="J153" s="4" t="s">
        <v>3057</v>
      </c>
      <c r="K153" s="10">
        <f t="shared" si="43"/>
        <v>0</v>
      </c>
      <c r="L153" s="4">
        <v>10.000100000000002</v>
      </c>
      <c r="M153" s="10">
        <f t="shared" si="44"/>
        <v>0</v>
      </c>
      <c r="N153" s="4">
        <v>9.9998999999999985</v>
      </c>
      <c r="O153" s="10">
        <f t="shared" si="45"/>
        <v>7.0000700000000009</v>
      </c>
      <c r="P153" s="4">
        <v>8</v>
      </c>
      <c r="Q153" s="10">
        <f t="shared" si="46"/>
        <v>7.9000189999999995</v>
      </c>
      <c r="R153" s="4">
        <v>12.000000000000004</v>
      </c>
      <c r="S153" s="10">
        <f t="shared" si="47"/>
        <v>7.9300132999999988</v>
      </c>
      <c r="T153" s="4" t="s">
        <v>3057</v>
      </c>
      <c r="U153" s="10">
        <f t="shared" si="48"/>
        <v>9.1510093099999992</v>
      </c>
      <c r="V153" s="4">
        <v>20</v>
      </c>
      <c r="W153" s="10">
        <f t="shared" si="49"/>
        <v>6.4057065169999987</v>
      </c>
      <c r="X153" s="4">
        <v>0</v>
      </c>
      <c r="Y153" s="10">
        <f t="shared" si="50"/>
        <v>10.483994561899998</v>
      </c>
      <c r="Z153" s="4" t="s">
        <v>3057</v>
      </c>
      <c r="AA153" s="10">
        <f t="shared" si="51"/>
        <v>7.3387961933299977</v>
      </c>
      <c r="AB153" s="4" t="s">
        <v>3057</v>
      </c>
      <c r="AC153" s="10">
        <f t="shared" si="52"/>
        <v>5.1371573353309978</v>
      </c>
      <c r="AD153" s="4" t="s">
        <v>3057</v>
      </c>
      <c r="AE153" s="10">
        <f t="shared" si="53"/>
        <v>3.5960101347316984</v>
      </c>
      <c r="AF153" s="4">
        <v>20</v>
      </c>
      <c r="AG153" s="10">
        <f t="shared" si="54"/>
        <v>2.5172070943121887</v>
      </c>
      <c r="AH153" s="4" t="s">
        <v>3057</v>
      </c>
      <c r="AI153" s="10">
        <f t="shared" si="55"/>
        <v>7.7620449660185322</v>
      </c>
      <c r="AJ153" s="4" t="s">
        <v>3057</v>
      </c>
      <c r="AK153" s="10">
        <f t="shared" si="56"/>
        <v>5.4334314762129718</v>
      </c>
      <c r="AL153" s="4">
        <v>20</v>
      </c>
      <c r="AM153" s="10">
        <f t="shared" si="57"/>
        <v>3.8034020333490801</v>
      </c>
      <c r="AN153" s="5">
        <f t="shared" si="58"/>
        <v>16.19659796665092</v>
      </c>
      <c r="AO153" s="6">
        <f t="shared" si="59"/>
        <v>0.80982989833254604</v>
      </c>
    </row>
    <row r="154" spans="1:41" x14ac:dyDescent="0.25">
      <c r="A154" t="s">
        <v>1786</v>
      </c>
      <c r="B154" t="s">
        <v>2912</v>
      </c>
      <c r="C154" t="str">
        <f>_xlfn.XLOOKUP(A154,Fore!A:A,Fore!AC:AC)</f>
        <v>CY</v>
      </c>
      <c r="D154" s="4" t="s">
        <v>3057</v>
      </c>
      <c r="E154" s="10" t="str">
        <f t="shared" si="40"/>
        <v>0</v>
      </c>
      <c r="F154" s="4" t="s">
        <v>3057</v>
      </c>
      <c r="G154" s="10">
        <f t="shared" si="41"/>
        <v>0</v>
      </c>
      <c r="H154" s="4" t="s">
        <v>3057</v>
      </c>
      <c r="I154" s="10">
        <f t="shared" si="42"/>
        <v>0</v>
      </c>
      <c r="J154" s="4" t="s">
        <v>3057</v>
      </c>
      <c r="K154" s="10">
        <f t="shared" si="43"/>
        <v>0</v>
      </c>
      <c r="L154" s="4" t="s">
        <v>3057</v>
      </c>
      <c r="M154" s="10">
        <f t="shared" si="44"/>
        <v>0</v>
      </c>
      <c r="N154" s="4" t="s">
        <v>3057</v>
      </c>
      <c r="O154" s="10">
        <f t="shared" si="45"/>
        <v>0</v>
      </c>
      <c r="P154" s="4" t="s">
        <v>3057</v>
      </c>
      <c r="Q154" s="10">
        <f t="shared" si="46"/>
        <v>0</v>
      </c>
      <c r="R154" s="4" t="s">
        <v>3057</v>
      </c>
      <c r="S154" s="10">
        <f t="shared" si="47"/>
        <v>0</v>
      </c>
      <c r="T154" s="4">
        <v>100</v>
      </c>
      <c r="U154" s="10">
        <f t="shared" si="48"/>
        <v>0</v>
      </c>
      <c r="V154" s="4" t="s">
        <v>3057</v>
      </c>
      <c r="W154" s="10">
        <f t="shared" si="49"/>
        <v>30</v>
      </c>
      <c r="X154" s="4">
        <v>0</v>
      </c>
      <c r="Y154" s="10">
        <f t="shared" si="50"/>
        <v>21</v>
      </c>
      <c r="Z154" s="4" t="s">
        <v>3057</v>
      </c>
      <c r="AA154" s="10">
        <f t="shared" si="51"/>
        <v>14.7</v>
      </c>
      <c r="AB154" s="4" t="s">
        <v>3057</v>
      </c>
      <c r="AC154" s="10">
        <f t="shared" si="52"/>
        <v>10.29</v>
      </c>
      <c r="AD154" s="4" t="s">
        <v>3057</v>
      </c>
      <c r="AE154" s="10">
        <f t="shared" si="53"/>
        <v>7.2029999999999985</v>
      </c>
      <c r="AF154" s="4" t="s">
        <v>3057</v>
      </c>
      <c r="AG154" s="10">
        <f t="shared" si="54"/>
        <v>5.0420999999999987</v>
      </c>
      <c r="AH154" s="4" t="s">
        <v>3057</v>
      </c>
      <c r="AI154" s="10">
        <f t="shared" si="55"/>
        <v>3.529469999999999</v>
      </c>
      <c r="AJ154" s="4" t="s">
        <v>3057</v>
      </c>
      <c r="AK154" s="10">
        <f t="shared" si="56"/>
        <v>2.4706289999999993</v>
      </c>
      <c r="AL154" s="4" t="s">
        <v>3057</v>
      </c>
      <c r="AM154" s="10">
        <f t="shared" si="57"/>
        <v>1.7294402999999994</v>
      </c>
      <c r="AN154" s="5">
        <f t="shared" si="58"/>
        <v>1.7294402999999994</v>
      </c>
      <c r="AO154" s="6" t="str">
        <f t="shared" si="59"/>
        <v>0</v>
      </c>
    </row>
    <row r="155" spans="1:41" x14ac:dyDescent="0.25">
      <c r="A155" t="s">
        <v>1872</v>
      </c>
      <c r="B155" t="s">
        <v>2918</v>
      </c>
      <c r="C155" t="str">
        <f>_xlfn.XLOOKUP(A155,Fore!A:A,Fore!AC:AC)</f>
        <v>CY</v>
      </c>
      <c r="D155" s="4" t="s">
        <v>3057</v>
      </c>
      <c r="E155" s="10" t="str">
        <f t="shared" si="40"/>
        <v>0</v>
      </c>
      <c r="F155" s="4" t="s">
        <v>3057</v>
      </c>
      <c r="G155" s="10">
        <f t="shared" si="41"/>
        <v>0</v>
      </c>
      <c r="H155" s="4" t="s">
        <v>3057</v>
      </c>
      <c r="I155" s="10">
        <f t="shared" si="42"/>
        <v>0</v>
      </c>
      <c r="J155" s="4" t="s">
        <v>3057</v>
      </c>
      <c r="K155" s="10">
        <f t="shared" si="43"/>
        <v>0</v>
      </c>
      <c r="L155" s="4" t="s">
        <v>3057</v>
      </c>
      <c r="M155" s="10">
        <f t="shared" si="44"/>
        <v>0</v>
      </c>
      <c r="N155" s="4" t="s">
        <v>3057</v>
      </c>
      <c r="O155" s="10">
        <f t="shared" si="45"/>
        <v>0</v>
      </c>
      <c r="P155" s="4" t="s">
        <v>3057</v>
      </c>
      <c r="Q155" s="10">
        <f t="shared" si="46"/>
        <v>0</v>
      </c>
      <c r="R155" s="4" t="s">
        <v>3057</v>
      </c>
      <c r="S155" s="10">
        <f t="shared" si="47"/>
        <v>0</v>
      </c>
      <c r="T155" s="4" t="s">
        <v>3057</v>
      </c>
      <c r="U155" s="10">
        <f t="shared" si="48"/>
        <v>0</v>
      </c>
      <c r="V155" s="4">
        <v>100</v>
      </c>
      <c r="W155" s="10">
        <f t="shared" si="49"/>
        <v>0</v>
      </c>
      <c r="X155" s="4">
        <v>0</v>
      </c>
      <c r="Y155" s="10">
        <f t="shared" si="50"/>
        <v>30</v>
      </c>
      <c r="Z155" s="4" t="s">
        <v>3057</v>
      </c>
      <c r="AA155" s="10">
        <f t="shared" si="51"/>
        <v>21</v>
      </c>
      <c r="AB155" s="4" t="s">
        <v>3057</v>
      </c>
      <c r="AC155" s="10">
        <f t="shared" si="52"/>
        <v>14.7</v>
      </c>
      <c r="AD155" s="4" t="s">
        <v>3057</v>
      </c>
      <c r="AE155" s="10">
        <f t="shared" si="53"/>
        <v>10.29</v>
      </c>
      <c r="AF155" s="4" t="s">
        <v>3057</v>
      </c>
      <c r="AG155" s="10">
        <f t="shared" si="54"/>
        <v>7.2029999999999985</v>
      </c>
      <c r="AH155" s="4" t="s">
        <v>3057</v>
      </c>
      <c r="AI155" s="10">
        <f t="shared" si="55"/>
        <v>5.0420999999999987</v>
      </c>
      <c r="AJ155" s="4" t="s">
        <v>3057</v>
      </c>
      <c r="AK155" s="10">
        <f t="shared" si="56"/>
        <v>3.529469999999999</v>
      </c>
      <c r="AL155" s="4" t="s">
        <v>3057</v>
      </c>
      <c r="AM155" s="10">
        <f t="shared" si="57"/>
        <v>2.4706289999999993</v>
      </c>
      <c r="AN155" s="5">
        <f t="shared" si="58"/>
        <v>2.4706289999999993</v>
      </c>
      <c r="AO155" s="6" t="str">
        <f t="shared" si="59"/>
        <v>0</v>
      </c>
    </row>
    <row r="156" spans="1:41" x14ac:dyDescent="0.25">
      <c r="A156" t="s">
        <v>2136</v>
      </c>
      <c r="B156" t="s">
        <v>2956</v>
      </c>
      <c r="C156" t="str">
        <f>_xlfn.XLOOKUP(A156,Fore!A:A,Fore!AC:AC)</f>
        <v>CY</v>
      </c>
      <c r="D156" s="4" t="s">
        <v>3057</v>
      </c>
      <c r="E156" s="10" t="str">
        <f t="shared" si="40"/>
        <v>0</v>
      </c>
      <c r="F156" s="4" t="s">
        <v>3057</v>
      </c>
      <c r="G156" s="10">
        <f t="shared" si="41"/>
        <v>0</v>
      </c>
      <c r="H156" s="4" t="s">
        <v>3057</v>
      </c>
      <c r="I156" s="10">
        <f t="shared" si="42"/>
        <v>0</v>
      </c>
      <c r="J156" s="4" t="s">
        <v>3057</v>
      </c>
      <c r="K156" s="10">
        <f t="shared" si="43"/>
        <v>0</v>
      </c>
      <c r="L156" s="4" t="s">
        <v>3057</v>
      </c>
      <c r="M156" s="10">
        <f t="shared" si="44"/>
        <v>0</v>
      </c>
      <c r="N156" s="4" t="s">
        <v>3057</v>
      </c>
      <c r="O156" s="10">
        <f t="shared" si="45"/>
        <v>0</v>
      </c>
      <c r="P156" s="4" t="s">
        <v>3057</v>
      </c>
      <c r="Q156" s="10">
        <f t="shared" si="46"/>
        <v>0</v>
      </c>
      <c r="R156" s="4" t="s">
        <v>3057</v>
      </c>
      <c r="S156" s="10">
        <f t="shared" si="47"/>
        <v>0</v>
      </c>
      <c r="T156" s="4" t="s">
        <v>3057</v>
      </c>
      <c r="U156" s="10">
        <f t="shared" si="48"/>
        <v>0</v>
      </c>
      <c r="V156" s="4" t="s">
        <v>3057</v>
      </c>
      <c r="W156" s="10">
        <f t="shared" si="49"/>
        <v>0</v>
      </c>
      <c r="X156" s="4">
        <v>0</v>
      </c>
      <c r="Y156" s="10">
        <f t="shared" si="50"/>
        <v>0</v>
      </c>
      <c r="Z156" s="4" t="s">
        <v>3057</v>
      </c>
      <c r="AA156" s="10">
        <f t="shared" si="51"/>
        <v>0</v>
      </c>
      <c r="AB156" s="4" t="s">
        <v>3057</v>
      </c>
      <c r="AC156" s="10">
        <f t="shared" si="52"/>
        <v>0</v>
      </c>
      <c r="AD156" s="4">
        <v>100</v>
      </c>
      <c r="AE156" s="10">
        <f t="shared" si="53"/>
        <v>0</v>
      </c>
      <c r="AF156" s="4" t="s">
        <v>3057</v>
      </c>
      <c r="AG156" s="10">
        <f t="shared" si="54"/>
        <v>30</v>
      </c>
      <c r="AH156" s="4" t="s">
        <v>3057</v>
      </c>
      <c r="AI156" s="10">
        <f t="shared" si="55"/>
        <v>21</v>
      </c>
      <c r="AJ156" s="4" t="s">
        <v>3057</v>
      </c>
      <c r="AK156" s="10">
        <f t="shared" si="56"/>
        <v>14.7</v>
      </c>
      <c r="AL156" s="4" t="s">
        <v>3057</v>
      </c>
      <c r="AM156" s="10">
        <f t="shared" si="57"/>
        <v>10.29</v>
      </c>
      <c r="AN156" s="5">
        <f t="shared" si="58"/>
        <v>10.29</v>
      </c>
      <c r="AO156" s="6" t="str">
        <f t="shared" si="59"/>
        <v>0</v>
      </c>
    </row>
    <row r="157" spans="1:41" x14ac:dyDescent="0.25">
      <c r="A157" t="s">
        <v>102</v>
      </c>
      <c r="B157" t="s">
        <v>2711</v>
      </c>
      <c r="C157" t="str">
        <f>_xlfn.XLOOKUP(A157,Fore!A:A,Fore!AC:AC)</f>
        <v>CY</v>
      </c>
      <c r="D157" s="4" t="s">
        <v>3057</v>
      </c>
      <c r="E157" s="10" t="str">
        <f t="shared" si="40"/>
        <v>0</v>
      </c>
      <c r="F157" s="4" t="s">
        <v>3057</v>
      </c>
      <c r="G157" s="10">
        <f t="shared" si="41"/>
        <v>0</v>
      </c>
      <c r="H157" s="4" t="s">
        <v>3057</v>
      </c>
      <c r="I157" s="10">
        <f t="shared" si="42"/>
        <v>0</v>
      </c>
      <c r="J157" s="4">
        <v>15.000100000000002</v>
      </c>
      <c r="K157" s="10">
        <f t="shared" si="43"/>
        <v>0</v>
      </c>
      <c r="L157" s="4">
        <v>3.9999000000000002</v>
      </c>
      <c r="M157" s="10">
        <f t="shared" si="44"/>
        <v>4.5000300000000006</v>
      </c>
      <c r="N157" s="4">
        <v>15.100000000000001</v>
      </c>
      <c r="O157" s="10">
        <f t="shared" si="45"/>
        <v>4.1499389999999998</v>
      </c>
      <c r="P157" s="4">
        <v>13.899999999999997</v>
      </c>
      <c r="Q157" s="10">
        <f t="shared" si="46"/>
        <v>7.4349572999999998</v>
      </c>
      <c r="R157" s="4">
        <v>8</v>
      </c>
      <c r="S157" s="10">
        <f t="shared" si="47"/>
        <v>9.374470109999999</v>
      </c>
      <c r="T157" s="4">
        <v>9.0000000000000018</v>
      </c>
      <c r="U157" s="10">
        <f t="shared" si="48"/>
        <v>8.9621290769999984</v>
      </c>
      <c r="V157" s="4">
        <v>20</v>
      </c>
      <c r="W157" s="10">
        <f t="shared" si="49"/>
        <v>8.9734903538999991</v>
      </c>
      <c r="X157" s="4">
        <v>0</v>
      </c>
      <c r="Y157" s="10">
        <f t="shared" si="50"/>
        <v>12.28144324773</v>
      </c>
      <c r="Z157" s="4" t="s">
        <v>3057</v>
      </c>
      <c r="AA157" s="10">
        <f t="shared" si="51"/>
        <v>8.5970102734109997</v>
      </c>
      <c r="AB157" s="4">
        <v>3</v>
      </c>
      <c r="AC157" s="10">
        <f t="shared" si="52"/>
        <v>6.0179071913876996</v>
      </c>
      <c r="AD157" s="4">
        <v>6</v>
      </c>
      <c r="AE157" s="10">
        <f t="shared" si="53"/>
        <v>5.1125350339713886</v>
      </c>
      <c r="AF157" s="4">
        <v>5</v>
      </c>
      <c r="AG157" s="10">
        <f t="shared" si="54"/>
        <v>5.3787745237799722</v>
      </c>
      <c r="AH157" s="4" t="s">
        <v>3057</v>
      </c>
      <c r="AI157" s="10">
        <f t="shared" si="55"/>
        <v>5.2651421666459797</v>
      </c>
      <c r="AJ157" s="4" t="s">
        <v>3057</v>
      </c>
      <c r="AK157" s="10">
        <f t="shared" si="56"/>
        <v>3.6855995166521853</v>
      </c>
      <c r="AL157" s="4" t="s">
        <v>3057</v>
      </c>
      <c r="AM157" s="10">
        <f t="shared" si="57"/>
        <v>2.5799196616565294</v>
      </c>
      <c r="AN157" s="5">
        <f t="shared" si="58"/>
        <v>2.5799196616565294</v>
      </c>
      <c r="AO157" s="6" t="str">
        <f t="shared" si="59"/>
        <v>0</v>
      </c>
    </row>
    <row r="158" spans="1:41" x14ac:dyDescent="0.25">
      <c r="A158" t="s">
        <v>498</v>
      </c>
      <c r="B158" t="s">
        <v>2700</v>
      </c>
      <c r="C158" t="str">
        <f>_xlfn.XLOOKUP(A158,Fore!A:A,Fore!AC:AC)</f>
        <v>CY</v>
      </c>
      <c r="D158" s="4" t="s">
        <v>3057</v>
      </c>
      <c r="E158" s="10" t="str">
        <f t="shared" si="40"/>
        <v>0</v>
      </c>
      <c r="F158" s="4" t="s">
        <v>3057</v>
      </c>
      <c r="G158" s="10">
        <f t="shared" si="41"/>
        <v>0</v>
      </c>
      <c r="H158" s="4" t="s">
        <v>3057</v>
      </c>
      <c r="I158" s="10">
        <f t="shared" si="42"/>
        <v>0</v>
      </c>
      <c r="J158" s="4" t="s">
        <v>3057</v>
      </c>
      <c r="K158" s="10">
        <f t="shared" si="43"/>
        <v>0</v>
      </c>
      <c r="L158" s="4" t="s">
        <v>3057</v>
      </c>
      <c r="M158" s="10">
        <f t="shared" si="44"/>
        <v>0</v>
      </c>
      <c r="N158" s="4">
        <v>6</v>
      </c>
      <c r="O158" s="10">
        <f t="shared" si="45"/>
        <v>0</v>
      </c>
      <c r="P158" s="4">
        <v>12</v>
      </c>
      <c r="Q158" s="10">
        <f t="shared" si="46"/>
        <v>1.7999999999999998</v>
      </c>
      <c r="R158" s="4" t="s">
        <v>3057</v>
      </c>
      <c r="S158" s="10">
        <f t="shared" si="47"/>
        <v>4.8599999999999994</v>
      </c>
      <c r="T158" s="4">
        <v>42</v>
      </c>
      <c r="U158" s="10">
        <f t="shared" si="48"/>
        <v>3.4019999999999992</v>
      </c>
      <c r="V158" s="4" t="s">
        <v>3057</v>
      </c>
      <c r="W158" s="10">
        <f t="shared" si="49"/>
        <v>14.981399999999999</v>
      </c>
      <c r="X158" s="4">
        <v>16</v>
      </c>
      <c r="Y158" s="10">
        <f t="shared" si="50"/>
        <v>10.486979999999999</v>
      </c>
      <c r="Z158" s="4" t="s">
        <v>3057</v>
      </c>
      <c r="AA158" s="10">
        <f t="shared" si="51"/>
        <v>12.140885999999998</v>
      </c>
      <c r="AB158" s="4" t="s">
        <v>3057</v>
      </c>
      <c r="AC158" s="10">
        <f t="shared" si="52"/>
        <v>8.4986201999999977</v>
      </c>
      <c r="AD158" s="4" t="s">
        <v>3057</v>
      </c>
      <c r="AE158" s="10">
        <f t="shared" si="53"/>
        <v>5.9490341399999984</v>
      </c>
      <c r="AF158" s="4" t="s">
        <v>3057</v>
      </c>
      <c r="AG158" s="10">
        <f t="shared" si="54"/>
        <v>4.1643238979999984</v>
      </c>
      <c r="AH158" s="4" t="s">
        <v>3057</v>
      </c>
      <c r="AI158" s="10">
        <f t="shared" si="55"/>
        <v>2.9150267285999987</v>
      </c>
      <c r="AJ158" s="4">
        <v>21</v>
      </c>
      <c r="AK158" s="10">
        <f t="shared" si="56"/>
        <v>2.0405187100199988</v>
      </c>
      <c r="AL158" s="4" t="s">
        <v>3057</v>
      </c>
      <c r="AM158" s="10">
        <f t="shared" si="57"/>
        <v>7.7283630970139985</v>
      </c>
      <c r="AN158" s="5">
        <f t="shared" si="58"/>
        <v>7.7283630970139985</v>
      </c>
      <c r="AO158" s="6" t="str">
        <f t="shared" si="59"/>
        <v>0</v>
      </c>
    </row>
    <row r="159" spans="1:41" x14ac:dyDescent="0.25">
      <c r="A159" t="s">
        <v>89</v>
      </c>
      <c r="B159" t="s">
        <v>2713</v>
      </c>
      <c r="C159" t="str">
        <f>_xlfn.XLOOKUP(A159,Fore!A:A,Fore!AC:AC)</f>
        <v>CY</v>
      </c>
      <c r="D159" s="4" t="s">
        <v>3057</v>
      </c>
      <c r="E159" s="10" t="str">
        <f t="shared" si="40"/>
        <v>0</v>
      </c>
      <c r="F159" s="4" t="s">
        <v>3057</v>
      </c>
      <c r="G159" s="10">
        <f t="shared" si="41"/>
        <v>0</v>
      </c>
      <c r="H159" s="4" t="s">
        <v>3057</v>
      </c>
      <c r="I159" s="10">
        <f t="shared" si="42"/>
        <v>0</v>
      </c>
      <c r="J159" s="4">
        <v>1</v>
      </c>
      <c r="K159" s="10">
        <f t="shared" si="43"/>
        <v>0</v>
      </c>
      <c r="L159" s="4">
        <v>8</v>
      </c>
      <c r="M159" s="10">
        <f t="shared" si="44"/>
        <v>0.3</v>
      </c>
      <c r="N159" s="4">
        <v>9</v>
      </c>
      <c r="O159" s="10">
        <f t="shared" si="45"/>
        <v>5.6899999999999995</v>
      </c>
      <c r="P159" s="4">
        <v>4.9999999999999991</v>
      </c>
      <c r="Q159" s="10">
        <f t="shared" si="46"/>
        <v>6.6829999999999989</v>
      </c>
      <c r="R159" s="4" t="s">
        <v>3057</v>
      </c>
      <c r="S159" s="10">
        <f t="shared" si="47"/>
        <v>6.1780999999999988</v>
      </c>
      <c r="T159" s="4">
        <v>30</v>
      </c>
      <c r="U159" s="10">
        <f t="shared" si="48"/>
        <v>4.3246699999999985</v>
      </c>
      <c r="V159" s="4">
        <v>12.999999999999996</v>
      </c>
      <c r="W159" s="10">
        <f t="shared" si="49"/>
        <v>12.027268999999999</v>
      </c>
      <c r="X159" s="4">
        <v>4.0000000000000009</v>
      </c>
      <c r="Y159" s="10">
        <f t="shared" si="50"/>
        <v>12.319088299999997</v>
      </c>
      <c r="Z159" s="4" t="s">
        <v>3057</v>
      </c>
      <c r="AA159" s="10">
        <f t="shared" si="51"/>
        <v>9.823361809999998</v>
      </c>
      <c r="AB159" s="4">
        <v>9.0000000000000036</v>
      </c>
      <c r="AC159" s="10">
        <f t="shared" si="52"/>
        <v>6.876353266999998</v>
      </c>
      <c r="AD159" s="4">
        <v>2.0000000000000009</v>
      </c>
      <c r="AE159" s="10">
        <f t="shared" si="53"/>
        <v>7.5134472868999991</v>
      </c>
      <c r="AF159" s="4">
        <v>6.0000000000000009</v>
      </c>
      <c r="AG159" s="10">
        <f t="shared" si="54"/>
        <v>5.8594131008299994</v>
      </c>
      <c r="AH159" s="4">
        <v>10.000000000000002</v>
      </c>
      <c r="AI159" s="10">
        <f t="shared" si="55"/>
        <v>5.9015891705809995</v>
      </c>
      <c r="AJ159" s="4" t="s">
        <v>3057</v>
      </c>
      <c r="AK159" s="10">
        <f t="shared" si="56"/>
        <v>7.1311124194066995</v>
      </c>
      <c r="AL159" s="4" t="s">
        <v>3057</v>
      </c>
      <c r="AM159" s="10">
        <f t="shared" si="57"/>
        <v>4.9917786935846893</v>
      </c>
      <c r="AN159" s="5">
        <f t="shared" si="58"/>
        <v>4.9917786935846893</v>
      </c>
      <c r="AO159" s="6" t="str">
        <f t="shared" si="59"/>
        <v>0</v>
      </c>
    </row>
    <row r="160" spans="1:41" x14ac:dyDescent="0.25">
      <c r="A160" t="s">
        <v>161</v>
      </c>
      <c r="B160" t="s">
        <v>2684</v>
      </c>
      <c r="C160" t="str">
        <f>_xlfn.XLOOKUP(A160,Fore!A:A,Fore!AC:AC)</f>
        <v>CY</v>
      </c>
      <c r="D160" s="4" t="s">
        <v>3057</v>
      </c>
      <c r="E160" s="10" t="str">
        <f t="shared" si="40"/>
        <v>0</v>
      </c>
      <c r="F160" s="4" t="s">
        <v>3057</v>
      </c>
      <c r="G160" s="10">
        <f t="shared" si="41"/>
        <v>0</v>
      </c>
      <c r="H160" s="4" t="s">
        <v>3057</v>
      </c>
      <c r="I160" s="10">
        <f t="shared" si="42"/>
        <v>0</v>
      </c>
      <c r="J160" s="4">
        <v>20</v>
      </c>
      <c r="K160" s="10">
        <f t="shared" si="43"/>
        <v>0</v>
      </c>
      <c r="L160" s="4">
        <v>12.099000000000004</v>
      </c>
      <c r="M160" s="10">
        <f t="shared" si="44"/>
        <v>6</v>
      </c>
      <c r="N160" s="4">
        <v>13.901000000000002</v>
      </c>
      <c r="O160" s="10">
        <f t="shared" si="45"/>
        <v>10.269300000000001</v>
      </c>
      <c r="P160" s="4">
        <v>5.0000000000000018</v>
      </c>
      <c r="Q160" s="10">
        <f t="shared" si="46"/>
        <v>11.35881</v>
      </c>
      <c r="R160" s="4" t="s">
        <v>3057</v>
      </c>
      <c r="S160" s="10">
        <f t="shared" si="47"/>
        <v>9.4511669999999999</v>
      </c>
      <c r="T160" s="4">
        <v>14.111200000000007</v>
      </c>
      <c r="U160" s="10">
        <f t="shared" si="48"/>
        <v>6.6158168999999996</v>
      </c>
      <c r="V160" s="4">
        <v>4.9999999999999991</v>
      </c>
      <c r="W160" s="10">
        <f t="shared" si="49"/>
        <v>8.8644318300000009</v>
      </c>
      <c r="X160" s="4">
        <v>0</v>
      </c>
      <c r="Y160" s="10">
        <f t="shared" si="50"/>
        <v>7.7051022810000003</v>
      </c>
      <c r="Z160" s="4" t="s">
        <v>3057</v>
      </c>
      <c r="AA160" s="10">
        <f t="shared" si="51"/>
        <v>5.3935715967000002</v>
      </c>
      <c r="AB160" s="4" t="s">
        <v>3057</v>
      </c>
      <c r="AC160" s="10">
        <f t="shared" si="52"/>
        <v>3.77550011769</v>
      </c>
      <c r="AD160" s="4">
        <v>2.75</v>
      </c>
      <c r="AE160" s="10">
        <f t="shared" si="53"/>
        <v>2.6428500823829997</v>
      </c>
      <c r="AF160" s="4">
        <v>1.25</v>
      </c>
      <c r="AG160" s="10">
        <f t="shared" si="54"/>
        <v>2.6749950576680996</v>
      </c>
      <c r="AH160" s="4">
        <v>15.000000000000002</v>
      </c>
      <c r="AI160" s="10">
        <f t="shared" si="55"/>
        <v>2.2474965403676697</v>
      </c>
      <c r="AJ160" s="4">
        <v>1</v>
      </c>
      <c r="AK160" s="10">
        <f t="shared" si="56"/>
        <v>6.0732475782573685</v>
      </c>
      <c r="AL160" s="4">
        <v>3.9999999999999991</v>
      </c>
      <c r="AM160" s="10">
        <f t="shared" si="57"/>
        <v>4.5512733047801577</v>
      </c>
      <c r="AN160" s="5">
        <f t="shared" si="58"/>
        <v>0.55127330478015857</v>
      </c>
      <c r="AO160" s="6">
        <f t="shared" si="59"/>
        <v>0.13781832619503967</v>
      </c>
    </row>
    <row r="161" spans="1:41" x14ac:dyDescent="0.25">
      <c r="A161" t="s">
        <v>660</v>
      </c>
      <c r="B161" t="s">
        <v>2699</v>
      </c>
      <c r="C161" t="str">
        <f>_xlfn.XLOOKUP(A161,Fore!A:A,Fore!AC:AC)</f>
        <v>CY</v>
      </c>
      <c r="D161" s="4" t="s">
        <v>3057</v>
      </c>
      <c r="E161" s="10" t="str">
        <f t="shared" si="40"/>
        <v>0</v>
      </c>
      <c r="F161" s="4" t="s">
        <v>3057</v>
      </c>
      <c r="G161" s="10">
        <f t="shared" si="41"/>
        <v>0</v>
      </c>
      <c r="H161" s="4" t="s">
        <v>3057</v>
      </c>
      <c r="I161" s="10">
        <f t="shared" si="42"/>
        <v>0</v>
      </c>
      <c r="J161" s="4">
        <v>10</v>
      </c>
      <c r="K161" s="10">
        <f t="shared" si="43"/>
        <v>0</v>
      </c>
      <c r="L161" s="4">
        <v>8.9999999999999982</v>
      </c>
      <c r="M161" s="10">
        <f t="shared" si="44"/>
        <v>3</v>
      </c>
      <c r="N161" s="4">
        <v>9.9999999999999982</v>
      </c>
      <c r="O161" s="10">
        <f t="shared" si="45"/>
        <v>7.1999999999999975</v>
      </c>
      <c r="P161" s="4">
        <v>6</v>
      </c>
      <c r="Q161" s="10">
        <f t="shared" si="46"/>
        <v>8.0399999999999974</v>
      </c>
      <c r="R161" s="4" t="s">
        <v>3057</v>
      </c>
      <c r="S161" s="10">
        <f t="shared" si="47"/>
        <v>7.4279999999999973</v>
      </c>
      <c r="T161" s="4">
        <v>8.0000000000000018</v>
      </c>
      <c r="U161" s="10">
        <f t="shared" si="48"/>
        <v>5.1995999999999976</v>
      </c>
      <c r="V161" s="4">
        <v>10</v>
      </c>
      <c r="W161" s="10">
        <f t="shared" si="49"/>
        <v>6.0397199999999982</v>
      </c>
      <c r="X161" s="4">
        <v>0</v>
      </c>
      <c r="Y161" s="10">
        <f t="shared" si="50"/>
        <v>7.2278039999999981</v>
      </c>
      <c r="Z161" s="4" t="s">
        <v>3057</v>
      </c>
      <c r="AA161" s="10">
        <f t="shared" si="51"/>
        <v>5.0594627999999986</v>
      </c>
      <c r="AB161" s="4">
        <v>10</v>
      </c>
      <c r="AC161" s="10">
        <f t="shared" si="52"/>
        <v>3.5416239599999986</v>
      </c>
      <c r="AD161" s="4">
        <v>17.999999999999993</v>
      </c>
      <c r="AE161" s="10">
        <f t="shared" si="53"/>
        <v>5.4791367719999986</v>
      </c>
      <c r="AF161" s="4">
        <v>3</v>
      </c>
      <c r="AG161" s="10">
        <f t="shared" si="54"/>
        <v>9.235395740399996</v>
      </c>
      <c r="AH161" s="4">
        <v>9</v>
      </c>
      <c r="AI161" s="10">
        <f t="shared" si="55"/>
        <v>7.3647770182799963</v>
      </c>
      <c r="AJ161" s="4" t="s">
        <v>3057</v>
      </c>
      <c r="AK161" s="10">
        <f t="shared" si="56"/>
        <v>7.8553439127959965</v>
      </c>
      <c r="AL161" s="4" t="s">
        <v>3057</v>
      </c>
      <c r="AM161" s="10">
        <f t="shared" si="57"/>
        <v>5.4987407389571974</v>
      </c>
      <c r="AN161" s="5">
        <f t="shared" si="58"/>
        <v>5.4987407389571974</v>
      </c>
      <c r="AO161" s="6" t="str">
        <f t="shared" si="59"/>
        <v>0</v>
      </c>
    </row>
    <row r="162" spans="1:41" x14ac:dyDescent="0.25">
      <c r="A162" t="s">
        <v>1713</v>
      </c>
      <c r="B162" t="s">
        <v>2917</v>
      </c>
      <c r="C162" t="str">
        <f>_xlfn.XLOOKUP(A162,Fore!A:A,Fore!AC:AC)</f>
        <v>CY</v>
      </c>
      <c r="D162" s="4" t="s">
        <v>3057</v>
      </c>
      <c r="E162" s="10" t="str">
        <f t="shared" si="40"/>
        <v>0</v>
      </c>
      <c r="F162" s="4" t="s">
        <v>3057</v>
      </c>
      <c r="G162" s="10">
        <f t="shared" si="41"/>
        <v>0</v>
      </c>
      <c r="H162" s="4" t="s">
        <v>3057</v>
      </c>
      <c r="I162" s="10">
        <f t="shared" si="42"/>
        <v>0</v>
      </c>
      <c r="J162" s="4" t="s">
        <v>3057</v>
      </c>
      <c r="K162" s="10">
        <f t="shared" si="43"/>
        <v>0</v>
      </c>
      <c r="L162" s="4" t="s">
        <v>3057</v>
      </c>
      <c r="M162" s="10">
        <f t="shared" si="44"/>
        <v>0</v>
      </c>
      <c r="N162" s="4" t="s">
        <v>3057</v>
      </c>
      <c r="O162" s="10">
        <f t="shared" si="45"/>
        <v>0</v>
      </c>
      <c r="P162" s="4" t="s">
        <v>3057</v>
      </c>
      <c r="Q162" s="10">
        <f t="shared" si="46"/>
        <v>0</v>
      </c>
      <c r="R162" s="4">
        <v>90.000000000000014</v>
      </c>
      <c r="S162" s="10">
        <f t="shared" si="47"/>
        <v>0</v>
      </c>
      <c r="T162" s="4" t="s">
        <v>3057</v>
      </c>
      <c r="U162" s="10">
        <f t="shared" si="48"/>
        <v>27.000000000000004</v>
      </c>
      <c r="V162" s="4" t="s">
        <v>3057</v>
      </c>
      <c r="W162" s="10">
        <f t="shared" si="49"/>
        <v>18.900000000000002</v>
      </c>
      <c r="X162" s="4">
        <v>0</v>
      </c>
      <c r="Y162" s="10">
        <f t="shared" si="50"/>
        <v>13.23</v>
      </c>
      <c r="Z162" s="4" t="s">
        <v>3057</v>
      </c>
      <c r="AA162" s="10">
        <f t="shared" si="51"/>
        <v>9.2609999999999992</v>
      </c>
      <c r="AB162" s="4" t="s">
        <v>3057</v>
      </c>
      <c r="AC162" s="10">
        <f t="shared" si="52"/>
        <v>6.4826999999999995</v>
      </c>
      <c r="AD162" s="4" t="s">
        <v>3057</v>
      </c>
      <c r="AE162" s="10">
        <f t="shared" si="53"/>
        <v>4.5378899999999991</v>
      </c>
      <c r="AF162" s="4" t="s">
        <v>3057</v>
      </c>
      <c r="AG162" s="10">
        <f t="shared" si="54"/>
        <v>3.1765229999999991</v>
      </c>
      <c r="AH162" s="4" t="s">
        <v>3057</v>
      </c>
      <c r="AI162" s="10">
        <f t="shared" si="55"/>
        <v>2.2235660999999993</v>
      </c>
      <c r="AJ162" s="4" t="s">
        <v>3057</v>
      </c>
      <c r="AK162" s="10">
        <f t="shared" si="56"/>
        <v>1.5564962699999993</v>
      </c>
      <c r="AL162" s="4" t="s">
        <v>3057</v>
      </c>
      <c r="AM162" s="10">
        <f t="shared" si="57"/>
        <v>1.0895473889999994</v>
      </c>
      <c r="AN162" s="5">
        <f t="shared" si="58"/>
        <v>1.0895473889999994</v>
      </c>
      <c r="AO162" s="6" t="str">
        <f t="shared" si="59"/>
        <v>0</v>
      </c>
    </row>
    <row r="163" spans="1:41" x14ac:dyDescent="0.25">
      <c r="A163" t="s">
        <v>926</v>
      </c>
      <c r="B163" t="s">
        <v>2669</v>
      </c>
      <c r="C163" t="str">
        <f>_xlfn.XLOOKUP(A163,Fore!A:A,Fore!AC:AC)</f>
        <v>CY</v>
      </c>
      <c r="D163" s="4" t="s">
        <v>3057</v>
      </c>
      <c r="E163" s="10" t="str">
        <f t="shared" si="40"/>
        <v>0</v>
      </c>
      <c r="F163" s="4" t="s">
        <v>3057</v>
      </c>
      <c r="G163" s="10">
        <f t="shared" si="41"/>
        <v>0</v>
      </c>
      <c r="H163" s="4" t="s">
        <v>3057</v>
      </c>
      <c r="I163" s="10">
        <f t="shared" si="42"/>
        <v>0</v>
      </c>
      <c r="J163" s="4" t="s">
        <v>3057</v>
      </c>
      <c r="K163" s="10">
        <f t="shared" si="43"/>
        <v>0</v>
      </c>
      <c r="L163" s="4">
        <v>5.0000000000000009</v>
      </c>
      <c r="M163" s="10">
        <f t="shared" si="44"/>
        <v>0</v>
      </c>
      <c r="N163" s="4">
        <v>13.999999999999996</v>
      </c>
      <c r="O163" s="10">
        <f t="shared" si="45"/>
        <v>3.5000000000000004</v>
      </c>
      <c r="P163" s="4">
        <v>6.0000000000000018</v>
      </c>
      <c r="Q163" s="10">
        <f t="shared" si="46"/>
        <v>6.6499999999999986</v>
      </c>
      <c r="R163" s="4">
        <v>12.999999999999982</v>
      </c>
      <c r="S163" s="10">
        <f t="shared" si="47"/>
        <v>6.4549999999999992</v>
      </c>
      <c r="T163" s="4">
        <v>1</v>
      </c>
      <c r="U163" s="10">
        <f t="shared" si="48"/>
        <v>8.4184999999999945</v>
      </c>
      <c r="V163" s="4">
        <v>6.9999999999999973</v>
      </c>
      <c r="W163" s="10">
        <f t="shared" si="49"/>
        <v>6.1929499999999953</v>
      </c>
      <c r="X163" s="4">
        <v>2</v>
      </c>
      <c r="Y163" s="10">
        <f t="shared" si="50"/>
        <v>6.4350649999999963</v>
      </c>
      <c r="Z163" s="4" t="s">
        <v>3057</v>
      </c>
      <c r="AA163" s="10">
        <f t="shared" si="51"/>
        <v>5.1045454999999968</v>
      </c>
      <c r="AB163" s="4">
        <v>2</v>
      </c>
      <c r="AC163" s="10">
        <f t="shared" si="52"/>
        <v>3.5731818499999974</v>
      </c>
      <c r="AD163" s="4">
        <v>9</v>
      </c>
      <c r="AE163" s="10">
        <f t="shared" si="53"/>
        <v>3.1012272949999979</v>
      </c>
      <c r="AF163" s="4">
        <v>6</v>
      </c>
      <c r="AG163" s="10">
        <f t="shared" si="54"/>
        <v>4.8708591064999975</v>
      </c>
      <c r="AH163" s="4">
        <v>13.999999999999998</v>
      </c>
      <c r="AI163" s="10">
        <f t="shared" si="55"/>
        <v>5.2096013745499974</v>
      </c>
      <c r="AJ163" s="4">
        <v>4</v>
      </c>
      <c r="AK163" s="10">
        <f t="shared" si="56"/>
        <v>7.8467209621849978</v>
      </c>
      <c r="AL163" s="4">
        <v>3.9999999999999996</v>
      </c>
      <c r="AM163" s="10">
        <f t="shared" si="57"/>
        <v>6.6927046735294979</v>
      </c>
      <c r="AN163" s="5">
        <f t="shared" si="58"/>
        <v>2.6927046735294984</v>
      </c>
      <c r="AO163" s="6">
        <f t="shared" si="59"/>
        <v>0.67317616838237471</v>
      </c>
    </row>
    <row r="164" spans="1:41" x14ac:dyDescent="0.25">
      <c r="A164" t="s">
        <v>146</v>
      </c>
      <c r="B164" t="s">
        <v>2749</v>
      </c>
      <c r="C164" t="str">
        <f>_xlfn.XLOOKUP(A164,Fore!A:A,Fore!AC:AC)</f>
        <v>CX</v>
      </c>
      <c r="D164" s="4" t="s">
        <v>3057</v>
      </c>
      <c r="E164" s="10" t="str">
        <f t="shared" si="40"/>
        <v>0</v>
      </c>
      <c r="F164" s="4" t="s">
        <v>3057</v>
      </c>
      <c r="G164" s="10">
        <f t="shared" si="41"/>
        <v>0</v>
      </c>
      <c r="H164" s="4" t="s">
        <v>3057</v>
      </c>
      <c r="I164" s="10">
        <f t="shared" si="42"/>
        <v>0</v>
      </c>
      <c r="J164" s="4">
        <v>7.0000000000000018</v>
      </c>
      <c r="K164" s="10">
        <f t="shared" si="43"/>
        <v>0</v>
      </c>
      <c r="L164" s="4">
        <v>8.0000000000000018</v>
      </c>
      <c r="M164" s="10">
        <f t="shared" si="44"/>
        <v>2.1000000000000005</v>
      </c>
      <c r="N164" s="4">
        <v>7</v>
      </c>
      <c r="O164" s="10">
        <f t="shared" si="45"/>
        <v>6.23</v>
      </c>
      <c r="P164" s="4">
        <v>9.7568000000000001</v>
      </c>
      <c r="Q164" s="10">
        <f t="shared" si="46"/>
        <v>6.4610000000000003</v>
      </c>
      <c r="R164" s="4">
        <v>5.0000000000000009</v>
      </c>
      <c r="S164" s="10">
        <f t="shared" si="47"/>
        <v>7.4497399999999994</v>
      </c>
      <c r="T164" s="4">
        <v>8</v>
      </c>
      <c r="U164" s="10">
        <f t="shared" si="48"/>
        <v>6.7148179999999993</v>
      </c>
      <c r="V164" s="4">
        <v>5.9999999999999964</v>
      </c>
      <c r="W164" s="10">
        <f t="shared" si="49"/>
        <v>7.1003725999999983</v>
      </c>
      <c r="X164" s="4">
        <v>1</v>
      </c>
      <c r="Y164" s="10">
        <f t="shared" si="50"/>
        <v>6.7702608199999972</v>
      </c>
      <c r="Z164" s="4" t="s">
        <v>3057</v>
      </c>
      <c r="AA164" s="10">
        <f t="shared" si="51"/>
        <v>5.0391825739999971</v>
      </c>
      <c r="AB164" s="4">
        <v>9</v>
      </c>
      <c r="AC164" s="10">
        <f t="shared" si="52"/>
        <v>3.5274278017999978</v>
      </c>
      <c r="AD164" s="4">
        <v>9.0000000000000036</v>
      </c>
      <c r="AE164" s="10">
        <f t="shared" si="53"/>
        <v>5.1691994612599981</v>
      </c>
      <c r="AF164" s="4">
        <v>9</v>
      </c>
      <c r="AG164" s="10">
        <f t="shared" si="54"/>
        <v>6.3184396228819999</v>
      </c>
      <c r="AH164" s="4">
        <v>5</v>
      </c>
      <c r="AI164" s="10">
        <f t="shared" si="55"/>
        <v>7.1229077360173996</v>
      </c>
      <c r="AJ164" s="4" t="s">
        <v>3057</v>
      </c>
      <c r="AK164" s="10">
        <f t="shared" si="56"/>
        <v>6.4860354152121795</v>
      </c>
      <c r="AL164" s="4" t="s">
        <v>3057</v>
      </c>
      <c r="AM164" s="10">
        <f t="shared" si="57"/>
        <v>4.5402247906485256</v>
      </c>
      <c r="AN164" s="5">
        <f t="shared" si="58"/>
        <v>4.5402247906485256</v>
      </c>
      <c r="AO164" s="6" t="str">
        <f t="shared" si="59"/>
        <v>0</v>
      </c>
    </row>
    <row r="165" spans="1:41" x14ac:dyDescent="0.25">
      <c r="A165" t="s">
        <v>164</v>
      </c>
      <c r="B165" t="s">
        <v>2773</v>
      </c>
      <c r="C165" t="str">
        <f>_xlfn.XLOOKUP(A165,Fore!A:A,Fore!AC:AC)</f>
        <v>CY</v>
      </c>
      <c r="D165" s="4" t="s">
        <v>3057</v>
      </c>
      <c r="E165" s="10" t="str">
        <f t="shared" si="40"/>
        <v>0</v>
      </c>
      <c r="F165" s="4" t="s">
        <v>3057</v>
      </c>
      <c r="G165" s="10">
        <f t="shared" si="41"/>
        <v>0</v>
      </c>
      <c r="H165" s="4" t="s">
        <v>3057</v>
      </c>
      <c r="I165" s="10">
        <f t="shared" si="42"/>
        <v>0</v>
      </c>
      <c r="J165" s="4">
        <v>7</v>
      </c>
      <c r="K165" s="10">
        <f t="shared" si="43"/>
        <v>0</v>
      </c>
      <c r="L165" s="4">
        <v>1</v>
      </c>
      <c r="M165" s="10">
        <f t="shared" si="44"/>
        <v>2.1</v>
      </c>
      <c r="N165" s="4">
        <v>18.5</v>
      </c>
      <c r="O165" s="10">
        <f t="shared" si="45"/>
        <v>1.33</v>
      </c>
      <c r="P165" s="4">
        <v>7.5</v>
      </c>
      <c r="Q165" s="10">
        <f t="shared" si="46"/>
        <v>6.4809999999999999</v>
      </c>
      <c r="R165" s="4">
        <v>19.738000000000003</v>
      </c>
      <c r="S165" s="10">
        <f t="shared" si="47"/>
        <v>6.7866999999999997</v>
      </c>
      <c r="T165" s="4">
        <v>1</v>
      </c>
      <c r="U165" s="10">
        <f t="shared" si="48"/>
        <v>10.672090000000001</v>
      </c>
      <c r="V165" s="4">
        <v>7</v>
      </c>
      <c r="W165" s="10">
        <f t="shared" si="49"/>
        <v>7.7704629999999995</v>
      </c>
      <c r="X165" s="4">
        <v>2</v>
      </c>
      <c r="Y165" s="10">
        <f t="shared" si="50"/>
        <v>7.5393241</v>
      </c>
      <c r="Z165" s="4">
        <v>1</v>
      </c>
      <c r="AA165" s="10">
        <f t="shared" si="51"/>
        <v>5.8775268699999996</v>
      </c>
      <c r="AB165" s="4" t="s">
        <v>3057</v>
      </c>
      <c r="AC165" s="10">
        <f t="shared" si="52"/>
        <v>4.4142688089999993</v>
      </c>
      <c r="AD165" s="4">
        <v>7.0000000000000009</v>
      </c>
      <c r="AE165" s="10">
        <f t="shared" si="53"/>
        <v>3.0899881662999995</v>
      </c>
      <c r="AF165" s="4">
        <v>7.0000000000000009</v>
      </c>
      <c r="AG165" s="10">
        <f t="shared" si="54"/>
        <v>4.2629917164099993</v>
      </c>
      <c r="AH165" s="4" t="s">
        <v>3057</v>
      </c>
      <c r="AI165" s="10">
        <f t="shared" si="55"/>
        <v>5.0840942014869999</v>
      </c>
      <c r="AJ165" s="4">
        <v>2.9999999999999996</v>
      </c>
      <c r="AK165" s="10">
        <f t="shared" si="56"/>
        <v>3.5588659410408998</v>
      </c>
      <c r="AL165" s="4" t="s">
        <v>3057</v>
      </c>
      <c r="AM165" s="10">
        <f t="shared" si="57"/>
        <v>3.3912061587286297</v>
      </c>
      <c r="AN165" s="5">
        <f t="shared" si="58"/>
        <v>3.3912061587286297</v>
      </c>
      <c r="AO165" s="6" t="str">
        <f t="shared" si="59"/>
        <v>0</v>
      </c>
    </row>
    <row r="166" spans="1:41" x14ac:dyDescent="0.25">
      <c r="A166" t="s">
        <v>930</v>
      </c>
      <c r="B166" t="s">
        <v>2654</v>
      </c>
      <c r="C166" t="str">
        <f>_xlfn.XLOOKUP(A166,Fore!A:A,Fore!AC:AC)</f>
        <v>CY</v>
      </c>
      <c r="D166" s="4" t="s">
        <v>3057</v>
      </c>
      <c r="E166" s="10" t="str">
        <f t="shared" si="40"/>
        <v>0</v>
      </c>
      <c r="F166" s="4" t="s">
        <v>3057</v>
      </c>
      <c r="G166" s="10">
        <f t="shared" si="41"/>
        <v>0</v>
      </c>
      <c r="H166" s="4" t="s">
        <v>3057</v>
      </c>
      <c r="I166" s="10">
        <f t="shared" si="42"/>
        <v>0</v>
      </c>
      <c r="J166" s="4">
        <v>13.999999999999998</v>
      </c>
      <c r="K166" s="10">
        <f t="shared" si="43"/>
        <v>0</v>
      </c>
      <c r="L166" s="4">
        <v>21</v>
      </c>
      <c r="M166" s="10">
        <f t="shared" si="44"/>
        <v>4.1999999999999993</v>
      </c>
      <c r="N166" s="4">
        <v>7.5</v>
      </c>
      <c r="O166" s="10">
        <f t="shared" si="45"/>
        <v>15.959999999999999</v>
      </c>
      <c r="P166" s="4">
        <v>8</v>
      </c>
      <c r="Q166" s="10">
        <f t="shared" si="46"/>
        <v>13.421999999999999</v>
      </c>
      <c r="R166" s="4">
        <v>8</v>
      </c>
      <c r="S166" s="10">
        <f t="shared" si="47"/>
        <v>11.795399999999999</v>
      </c>
      <c r="T166" s="4">
        <v>1</v>
      </c>
      <c r="U166" s="10">
        <f t="shared" si="48"/>
        <v>10.656779999999999</v>
      </c>
      <c r="V166" s="4">
        <v>4</v>
      </c>
      <c r="W166" s="10">
        <f t="shared" si="49"/>
        <v>7.7597459999999989</v>
      </c>
      <c r="X166" s="4">
        <v>0</v>
      </c>
      <c r="Y166" s="10">
        <f t="shared" si="50"/>
        <v>6.6318221999999993</v>
      </c>
      <c r="Z166" s="4" t="s">
        <v>3057</v>
      </c>
      <c r="AA166" s="10">
        <f t="shared" si="51"/>
        <v>4.6422755399999991</v>
      </c>
      <c r="AB166" s="4">
        <v>2</v>
      </c>
      <c r="AC166" s="10">
        <f t="shared" si="52"/>
        <v>3.2495928779999992</v>
      </c>
      <c r="AD166" s="4">
        <v>5</v>
      </c>
      <c r="AE166" s="10">
        <f t="shared" si="53"/>
        <v>2.8747150145999996</v>
      </c>
      <c r="AF166" s="4">
        <v>4</v>
      </c>
      <c r="AG166" s="10">
        <f t="shared" si="54"/>
        <v>3.5123005102199998</v>
      </c>
      <c r="AH166" s="4">
        <v>4</v>
      </c>
      <c r="AI166" s="10">
        <f t="shared" si="55"/>
        <v>3.6586103571540001</v>
      </c>
      <c r="AJ166" s="4">
        <v>3.0000000000000004</v>
      </c>
      <c r="AK166" s="10">
        <f t="shared" si="56"/>
        <v>3.7610272500077997</v>
      </c>
      <c r="AL166" s="4" t="s">
        <v>3057</v>
      </c>
      <c r="AM166" s="10">
        <f t="shared" si="57"/>
        <v>3.5327190750054598</v>
      </c>
      <c r="AN166" s="5">
        <f t="shared" si="58"/>
        <v>3.5327190750054598</v>
      </c>
      <c r="AO166" s="6" t="str">
        <f t="shared" si="59"/>
        <v>0</v>
      </c>
    </row>
    <row r="167" spans="1:41" x14ac:dyDescent="0.25">
      <c r="A167" t="s">
        <v>467</v>
      </c>
      <c r="B167" t="s">
        <v>2853</v>
      </c>
      <c r="C167" t="str">
        <f>_xlfn.XLOOKUP(A167,Fore!A:A,Fore!AC:AC)</f>
        <v>CZ</v>
      </c>
      <c r="D167" s="4" t="s">
        <v>3057</v>
      </c>
      <c r="E167" s="10" t="str">
        <f t="shared" si="40"/>
        <v>0</v>
      </c>
      <c r="F167" s="4" t="s">
        <v>3057</v>
      </c>
      <c r="G167" s="10">
        <f t="shared" si="41"/>
        <v>0</v>
      </c>
      <c r="H167" s="4" t="s">
        <v>3057</v>
      </c>
      <c r="I167" s="10">
        <f t="shared" si="42"/>
        <v>0</v>
      </c>
      <c r="J167" s="4" t="s">
        <v>3057</v>
      </c>
      <c r="K167" s="10">
        <f t="shared" si="43"/>
        <v>0</v>
      </c>
      <c r="L167" s="4" t="s">
        <v>3057</v>
      </c>
      <c r="M167" s="10">
        <f t="shared" si="44"/>
        <v>0</v>
      </c>
      <c r="N167" s="4" t="s">
        <v>3057</v>
      </c>
      <c r="O167" s="10">
        <f t="shared" si="45"/>
        <v>0</v>
      </c>
      <c r="P167" s="4" t="s">
        <v>3057</v>
      </c>
      <c r="Q167" s="10">
        <f t="shared" si="46"/>
        <v>0</v>
      </c>
      <c r="R167" s="4">
        <v>8</v>
      </c>
      <c r="S167" s="10">
        <f t="shared" si="47"/>
        <v>0</v>
      </c>
      <c r="T167" s="4">
        <v>60.000000000000028</v>
      </c>
      <c r="U167" s="10">
        <f t="shared" si="48"/>
        <v>2.4</v>
      </c>
      <c r="V167" s="4" t="s">
        <v>3057</v>
      </c>
      <c r="W167" s="10">
        <f t="shared" si="49"/>
        <v>19.680000000000007</v>
      </c>
      <c r="X167" s="4">
        <v>0</v>
      </c>
      <c r="Y167" s="10">
        <f t="shared" si="50"/>
        <v>13.776000000000003</v>
      </c>
      <c r="Z167" s="4" t="s">
        <v>3057</v>
      </c>
      <c r="AA167" s="10">
        <f t="shared" si="51"/>
        <v>9.643200000000002</v>
      </c>
      <c r="AB167" s="4" t="s">
        <v>3057</v>
      </c>
      <c r="AC167" s="10">
        <f t="shared" si="52"/>
        <v>6.7502400000000007</v>
      </c>
      <c r="AD167" s="4" t="s">
        <v>3057</v>
      </c>
      <c r="AE167" s="10">
        <f t="shared" si="53"/>
        <v>4.725168</v>
      </c>
      <c r="AF167" s="4">
        <v>8</v>
      </c>
      <c r="AG167" s="10">
        <f t="shared" si="54"/>
        <v>3.3076175999999999</v>
      </c>
      <c r="AH167" s="4" t="s">
        <v>3057</v>
      </c>
      <c r="AI167" s="10">
        <f t="shared" si="55"/>
        <v>4.7153323199999999</v>
      </c>
      <c r="AJ167" s="4" t="s">
        <v>3057</v>
      </c>
      <c r="AK167" s="10">
        <f t="shared" si="56"/>
        <v>3.3007326239999997</v>
      </c>
      <c r="AL167" s="4" t="s">
        <v>3057</v>
      </c>
      <c r="AM167" s="10">
        <f t="shared" si="57"/>
        <v>2.3105128367999996</v>
      </c>
      <c r="AN167" s="5">
        <f t="shared" si="58"/>
        <v>2.3105128367999996</v>
      </c>
      <c r="AO167" s="6" t="str">
        <f t="shared" si="59"/>
        <v>0</v>
      </c>
    </row>
    <row r="168" spans="1:41" x14ac:dyDescent="0.25">
      <c r="A168" t="s">
        <v>1363</v>
      </c>
      <c r="B168" t="s">
        <v>2885</v>
      </c>
      <c r="C168" t="str">
        <f>_xlfn.XLOOKUP(A168,Fore!A:A,Fore!AC:AC)</f>
        <v>CY</v>
      </c>
      <c r="D168" s="4" t="s">
        <v>3057</v>
      </c>
      <c r="E168" s="10" t="str">
        <f t="shared" si="40"/>
        <v>0</v>
      </c>
      <c r="F168" s="4" t="s">
        <v>3057</v>
      </c>
      <c r="G168" s="10">
        <f t="shared" si="41"/>
        <v>0</v>
      </c>
      <c r="H168" s="4" t="s">
        <v>3057</v>
      </c>
      <c r="I168" s="10">
        <f t="shared" si="42"/>
        <v>0</v>
      </c>
      <c r="J168" s="4" t="s">
        <v>3057</v>
      </c>
      <c r="K168" s="10">
        <f t="shared" si="43"/>
        <v>0</v>
      </c>
      <c r="L168" s="4">
        <v>75</v>
      </c>
      <c r="M168" s="10">
        <f t="shared" si="44"/>
        <v>0</v>
      </c>
      <c r="N168" s="4" t="s">
        <v>3057</v>
      </c>
      <c r="O168" s="10">
        <f t="shared" si="45"/>
        <v>52.5</v>
      </c>
      <c r="P168" s="4" t="s">
        <v>3057</v>
      </c>
      <c r="Q168" s="10">
        <f t="shared" si="46"/>
        <v>36.75</v>
      </c>
      <c r="R168" s="4" t="s">
        <v>3057</v>
      </c>
      <c r="S168" s="10">
        <f t="shared" si="47"/>
        <v>25.724999999999998</v>
      </c>
      <c r="T168" s="4" t="s">
        <v>3057</v>
      </c>
      <c r="U168" s="10">
        <f t="shared" si="48"/>
        <v>18.007499999999997</v>
      </c>
      <c r="V168" s="4" t="s">
        <v>3057</v>
      </c>
      <c r="W168" s="10">
        <f t="shared" si="49"/>
        <v>12.605249999999996</v>
      </c>
      <c r="X168" s="4">
        <v>0</v>
      </c>
      <c r="Y168" s="10">
        <f t="shared" si="50"/>
        <v>8.8236749999999962</v>
      </c>
      <c r="Z168" s="4" t="s">
        <v>3057</v>
      </c>
      <c r="AA168" s="10">
        <f t="shared" si="51"/>
        <v>6.1765724999999971</v>
      </c>
      <c r="AB168" s="4" t="s">
        <v>3057</v>
      </c>
      <c r="AC168" s="10">
        <f t="shared" si="52"/>
        <v>4.323600749999998</v>
      </c>
      <c r="AD168" s="4" t="s">
        <v>3057</v>
      </c>
      <c r="AE168" s="10">
        <f t="shared" si="53"/>
        <v>3.0265205249999982</v>
      </c>
      <c r="AF168" s="4" t="s">
        <v>3057</v>
      </c>
      <c r="AG168" s="10">
        <f t="shared" si="54"/>
        <v>2.1185643674999985</v>
      </c>
      <c r="AH168" s="4" t="s">
        <v>3057</v>
      </c>
      <c r="AI168" s="10">
        <f t="shared" si="55"/>
        <v>1.4829950572499988</v>
      </c>
      <c r="AJ168" s="4" t="s">
        <v>3057</v>
      </c>
      <c r="AK168" s="10">
        <f t="shared" si="56"/>
        <v>1.0380965400749991</v>
      </c>
      <c r="AL168" s="4" t="s">
        <v>3057</v>
      </c>
      <c r="AM168" s="10">
        <f t="shared" si="57"/>
        <v>0.72666757805249926</v>
      </c>
      <c r="AN168" s="5">
        <f t="shared" si="58"/>
        <v>0.72666757805249926</v>
      </c>
      <c r="AO168" s="6" t="str">
        <f t="shared" si="59"/>
        <v>0</v>
      </c>
    </row>
    <row r="169" spans="1:41" x14ac:dyDescent="0.25">
      <c r="A169" t="s">
        <v>1091</v>
      </c>
      <c r="B169" t="s">
        <v>2686</v>
      </c>
      <c r="C169" t="str">
        <f>_xlfn.XLOOKUP(A169,Fore!A:A,Fore!AC:AC)</f>
        <v>CY</v>
      </c>
      <c r="D169" s="4" t="s">
        <v>3057</v>
      </c>
      <c r="E169" s="10" t="str">
        <f t="shared" si="40"/>
        <v>0</v>
      </c>
      <c r="F169" s="4" t="s">
        <v>3057</v>
      </c>
      <c r="G169" s="10">
        <f t="shared" si="41"/>
        <v>0</v>
      </c>
      <c r="H169" s="4" t="s">
        <v>3057</v>
      </c>
      <c r="I169" s="10">
        <f t="shared" si="42"/>
        <v>0</v>
      </c>
      <c r="J169" s="4">
        <v>8</v>
      </c>
      <c r="K169" s="10">
        <f t="shared" si="43"/>
        <v>0</v>
      </c>
      <c r="L169" s="4">
        <v>1</v>
      </c>
      <c r="M169" s="10">
        <f t="shared" si="44"/>
        <v>2.4</v>
      </c>
      <c r="N169" s="4">
        <v>7.0000000000000009</v>
      </c>
      <c r="O169" s="10">
        <f t="shared" si="45"/>
        <v>1.42</v>
      </c>
      <c r="P169" s="4">
        <v>5</v>
      </c>
      <c r="Q169" s="10">
        <f t="shared" si="46"/>
        <v>3.0939999999999999</v>
      </c>
      <c r="R169" s="4">
        <v>5.0000000000000009</v>
      </c>
      <c r="S169" s="10">
        <f t="shared" si="47"/>
        <v>3.6657999999999999</v>
      </c>
      <c r="T169" s="4">
        <v>8</v>
      </c>
      <c r="U169" s="10">
        <f t="shared" si="48"/>
        <v>4.0660600000000002</v>
      </c>
      <c r="V169" s="4">
        <v>4.0000000000000009</v>
      </c>
      <c r="W169" s="10">
        <f t="shared" si="49"/>
        <v>5.2462420000000005</v>
      </c>
      <c r="X169" s="4">
        <v>4.0000000000000009</v>
      </c>
      <c r="Y169" s="10">
        <f t="shared" si="50"/>
        <v>4.8723694000000002</v>
      </c>
      <c r="Z169" s="4">
        <v>1</v>
      </c>
      <c r="AA169" s="10">
        <f t="shared" si="51"/>
        <v>4.61065858</v>
      </c>
      <c r="AB169" s="4">
        <v>3</v>
      </c>
      <c r="AC169" s="10">
        <f t="shared" si="52"/>
        <v>3.5274610059999998</v>
      </c>
      <c r="AD169" s="4">
        <v>9</v>
      </c>
      <c r="AE169" s="10">
        <f t="shared" si="53"/>
        <v>3.3692227041999998</v>
      </c>
      <c r="AF169" s="4">
        <v>2</v>
      </c>
      <c r="AG169" s="10">
        <f t="shared" si="54"/>
        <v>5.0584558929399996</v>
      </c>
      <c r="AH169" s="4">
        <v>1.9999999999999998</v>
      </c>
      <c r="AI169" s="10">
        <f t="shared" si="55"/>
        <v>4.1409191250579998</v>
      </c>
      <c r="AJ169" s="4" t="s">
        <v>3057</v>
      </c>
      <c r="AK169" s="10">
        <f t="shared" si="56"/>
        <v>3.4986433875405991</v>
      </c>
      <c r="AL169" s="4">
        <v>14</v>
      </c>
      <c r="AM169" s="10">
        <f t="shared" si="57"/>
        <v>2.4490503712784193</v>
      </c>
      <c r="AN169" s="5">
        <f t="shared" si="58"/>
        <v>11.550949628721581</v>
      </c>
      <c r="AO169" s="6">
        <f t="shared" si="59"/>
        <v>0.82506783062297007</v>
      </c>
    </row>
    <row r="170" spans="1:41" x14ac:dyDescent="0.25">
      <c r="A170" t="s">
        <v>742</v>
      </c>
      <c r="B170" t="s">
        <v>2710</v>
      </c>
      <c r="C170" t="str">
        <f>_xlfn.XLOOKUP(A170,Fore!A:A,Fore!AC:AC)</f>
        <v>CY</v>
      </c>
      <c r="D170" s="4" t="s">
        <v>3057</v>
      </c>
      <c r="E170" s="10" t="str">
        <f t="shared" si="40"/>
        <v>0</v>
      </c>
      <c r="F170" s="4" t="s">
        <v>3057</v>
      </c>
      <c r="G170" s="10">
        <f t="shared" si="41"/>
        <v>0</v>
      </c>
      <c r="H170" s="4" t="s">
        <v>3057</v>
      </c>
      <c r="I170" s="10">
        <f t="shared" si="42"/>
        <v>0</v>
      </c>
      <c r="J170" s="4" t="s">
        <v>3057</v>
      </c>
      <c r="K170" s="10">
        <f t="shared" si="43"/>
        <v>0</v>
      </c>
      <c r="L170" s="4">
        <v>12</v>
      </c>
      <c r="M170" s="10">
        <f t="shared" si="44"/>
        <v>0</v>
      </c>
      <c r="N170" s="4">
        <v>1</v>
      </c>
      <c r="O170" s="10">
        <f t="shared" si="45"/>
        <v>8.3999999999999986</v>
      </c>
      <c r="P170" s="4">
        <v>8</v>
      </c>
      <c r="Q170" s="10">
        <f t="shared" si="46"/>
        <v>6.1799999999999988</v>
      </c>
      <c r="R170" s="4" t="s">
        <v>3057</v>
      </c>
      <c r="S170" s="10">
        <f t="shared" si="47"/>
        <v>6.7259999999999991</v>
      </c>
      <c r="T170" s="4">
        <v>7</v>
      </c>
      <c r="U170" s="10">
        <f t="shared" si="48"/>
        <v>4.7081999999999988</v>
      </c>
      <c r="V170" s="4">
        <v>4</v>
      </c>
      <c r="W170" s="10">
        <f t="shared" si="49"/>
        <v>5.3957399999999991</v>
      </c>
      <c r="X170" s="4">
        <v>5</v>
      </c>
      <c r="Y170" s="10">
        <f t="shared" si="50"/>
        <v>4.9770179999999993</v>
      </c>
      <c r="Z170" s="4">
        <v>5</v>
      </c>
      <c r="AA170" s="10">
        <f t="shared" si="51"/>
        <v>4.9839125999999991</v>
      </c>
      <c r="AB170" s="4">
        <v>7</v>
      </c>
      <c r="AC170" s="10">
        <f t="shared" si="52"/>
        <v>4.9887388199999991</v>
      </c>
      <c r="AD170" s="4">
        <v>5</v>
      </c>
      <c r="AE170" s="10">
        <f t="shared" si="53"/>
        <v>5.5921171739999993</v>
      </c>
      <c r="AF170" s="4">
        <v>4</v>
      </c>
      <c r="AG170" s="10">
        <f t="shared" si="54"/>
        <v>5.4144820217999996</v>
      </c>
      <c r="AH170" s="4">
        <v>3</v>
      </c>
      <c r="AI170" s="10">
        <f t="shared" si="55"/>
        <v>4.9901374152599995</v>
      </c>
      <c r="AJ170" s="4">
        <v>3</v>
      </c>
      <c r="AK170" s="10">
        <f t="shared" si="56"/>
        <v>4.3930961906819999</v>
      </c>
      <c r="AL170" s="4">
        <v>9</v>
      </c>
      <c r="AM170" s="10">
        <f t="shared" si="57"/>
        <v>3.9751673334773998</v>
      </c>
      <c r="AN170" s="5">
        <f t="shared" si="58"/>
        <v>5.0248326665226006</v>
      </c>
      <c r="AO170" s="6">
        <f t="shared" si="59"/>
        <v>0.55831474072473342</v>
      </c>
    </row>
    <row r="171" spans="1:41" x14ac:dyDescent="0.25">
      <c r="A171" t="s">
        <v>1356</v>
      </c>
      <c r="B171" t="s">
        <v>2670</v>
      </c>
      <c r="C171" t="str">
        <f>_xlfn.XLOOKUP(A171,Fore!A:A,Fore!AC:AC)</f>
        <v>CY</v>
      </c>
      <c r="D171" s="4" t="s">
        <v>3057</v>
      </c>
      <c r="E171" s="10" t="str">
        <f t="shared" si="40"/>
        <v>0</v>
      </c>
      <c r="F171" s="4" t="s">
        <v>3057</v>
      </c>
      <c r="G171" s="10">
        <f t="shared" si="41"/>
        <v>0</v>
      </c>
      <c r="H171" s="4" t="s">
        <v>3057</v>
      </c>
      <c r="I171" s="10">
        <f t="shared" si="42"/>
        <v>0</v>
      </c>
      <c r="J171" s="4" t="s">
        <v>3057</v>
      </c>
      <c r="K171" s="10">
        <f t="shared" si="43"/>
        <v>0</v>
      </c>
      <c r="L171" s="4">
        <v>1</v>
      </c>
      <c r="M171" s="10">
        <f t="shared" si="44"/>
        <v>0</v>
      </c>
      <c r="N171" s="4">
        <v>12.5</v>
      </c>
      <c r="O171" s="10">
        <f t="shared" si="45"/>
        <v>0.7</v>
      </c>
      <c r="P171" s="4">
        <v>1.5000000000000002</v>
      </c>
      <c r="Q171" s="10">
        <f t="shared" si="46"/>
        <v>4.24</v>
      </c>
      <c r="R171" s="4">
        <v>10</v>
      </c>
      <c r="S171" s="10">
        <f t="shared" si="47"/>
        <v>3.4180000000000001</v>
      </c>
      <c r="T171" s="4">
        <v>2</v>
      </c>
      <c r="U171" s="10">
        <f t="shared" si="48"/>
        <v>5.3925999999999998</v>
      </c>
      <c r="V171" s="4">
        <v>5</v>
      </c>
      <c r="W171" s="10">
        <f t="shared" si="49"/>
        <v>4.3748199999999997</v>
      </c>
      <c r="X171" s="4">
        <v>10.999999999999996</v>
      </c>
      <c r="Y171" s="10">
        <f t="shared" si="50"/>
        <v>4.5623740000000002</v>
      </c>
      <c r="Z171" s="4" t="s">
        <v>3057</v>
      </c>
      <c r="AA171" s="10">
        <f t="shared" si="51"/>
        <v>6.493661799999999</v>
      </c>
      <c r="AB171" s="4" t="s">
        <v>3057</v>
      </c>
      <c r="AC171" s="10">
        <f t="shared" si="52"/>
        <v>4.5455632599999989</v>
      </c>
      <c r="AD171" s="4">
        <v>3.9999999999999996</v>
      </c>
      <c r="AE171" s="10">
        <f t="shared" si="53"/>
        <v>3.1818942819999991</v>
      </c>
      <c r="AF171" s="4">
        <v>2</v>
      </c>
      <c r="AG171" s="10">
        <f t="shared" si="54"/>
        <v>3.4273259973999988</v>
      </c>
      <c r="AH171" s="4">
        <v>6</v>
      </c>
      <c r="AI171" s="10">
        <f t="shared" si="55"/>
        <v>2.9991281981799989</v>
      </c>
      <c r="AJ171" s="4">
        <v>12</v>
      </c>
      <c r="AK171" s="10">
        <f t="shared" si="56"/>
        <v>3.8993897387259988</v>
      </c>
      <c r="AL171" s="4">
        <v>4</v>
      </c>
      <c r="AM171" s="10">
        <f t="shared" si="57"/>
        <v>6.3295728171081986</v>
      </c>
      <c r="AN171" s="5">
        <f t="shared" si="58"/>
        <v>2.3295728171081986</v>
      </c>
      <c r="AO171" s="6">
        <f t="shared" si="59"/>
        <v>0.58239320427704966</v>
      </c>
    </row>
    <row r="172" spans="1:41" x14ac:dyDescent="0.25">
      <c r="A172" t="s">
        <v>740</v>
      </c>
      <c r="B172" t="s">
        <v>2708</v>
      </c>
      <c r="C172" t="str">
        <f>_xlfn.XLOOKUP(A172,Fore!A:A,Fore!AC:AC)</f>
        <v>CX</v>
      </c>
      <c r="D172" s="4" t="s">
        <v>3057</v>
      </c>
      <c r="E172" s="10" t="str">
        <f t="shared" si="40"/>
        <v>0</v>
      </c>
      <c r="F172" s="4" t="s">
        <v>3057</v>
      </c>
      <c r="G172" s="10">
        <f t="shared" si="41"/>
        <v>0</v>
      </c>
      <c r="H172" s="4" t="s">
        <v>3057</v>
      </c>
      <c r="I172" s="10">
        <f t="shared" si="42"/>
        <v>0</v>
      </c>
      <c r="J172" s="4" t="s">
        <v>3057</v>
      </c>
      <c r="K172" s="10">
        <f t="shared" si="43"/>
        <v>0</v>
      </c>
      <c r="L172" s="4">
        <v>6</v>
      </c>
      <c r="M172" s="10">
        <f t="shared" si="44"/>
        <v>0</v>
      </c>
      <c r="N172" s="4">
        <v>3</v>
      </c>
      <c r="O172" s="10">
        <f t="shared" si="45"/>
        <v>4.1999999999999993</v>
      </c>
      <c r="P172" s="4">
        <v>8</v>
      </c>
      <c r="Q172" s="10">
        <f t="shared" si="46"/>
        <v>3.8399999999999994</v>
      </c>
      <c r="R172" s="4">
        <v>1</v>
      </c>
      <c r="S172" s="10">
        <f t="shared" si="47"/>
        <v>5.0879999999999992</v>
      </c>
      <c r="T172" s="4">
        <v>7</v>
      </c>
      <c r="U172" s="10">
        <f t="shared" si="48"/>
        <v>3.8615999999999988</v>
      </c>
      <c r="V172" s="4">
        <v>4</v>
      </c>
      <c r="W172" s="10">
        <f t="shared" si="49"/>
        <v>4.8031199999999989</v>
      </c>
      <c r="X172" s="4">
        <v>5</v>
      </c>
      <c r="Y172" s="10">
        <f t="shared" si="50"/>
        <v>4.5621839999999994</v>
      </c>
      <c r="Z172" s="4">
        <v>5</v>
      </c>
      <c r="AA172" s="10">
        <f t="shared" si="51"/>
        <v>4.6935287999999993</v>
      </c>
      <c r="AB172" s="4">
        <v>7</v>
      </c>
      <c r="AC172" s="10">
        <f t="shared" si="52"/>
        <v>4.7854701599999991</v>
      </c>
      <c r="AD172" s="4">
        <v>5</v>
      </c>
      <c r="AE172" s="10">
        <f t="shared" si="53"/>
        <v>5.4498291119999998</v>
      </c>
      <c r="AF172" s="4">
        <v>4</v>
      </c>
      <c r="AG172" s="10">
        <f t="shared" si="54"/>
        <v>5.3148803783999998</v>
      </c>
      <c r="AH172" s="4">
        <v>3</v>
      </c>
      <c r="AI172" s="10">
        <f t="shared" si="55"/>
        <v>4.9204162648799992</v>
      </c>
      <c r="AJ172" s="4">
        <v>3</v>
      </c>
      <c r="AK172" s="10">
        <f t="shared" si="56"/>
        <v>4.3442913854159997</v>
      </c>
      <c r="AL172" s="4">
        <v>9</v>
      </c>
      <c r="AM172" s="10">
        <f t="shared" si="57"/>
        <v>3.9410039697911996</v>
      </c>
      <c r="AN172" s="5">
        <f t="shared" si="58"/>
        <v>5.0589960302088004</v>
      </c>
      <c r="AO172" s="6">
        <f t="shared" si="59"/>
        <v>0.56211067002320003</v>
      </c>
    </row>
    <row r="173" spans="1:41" x14ac:dyDescent="0.25">
      <c r="A173" t="s">
        <v>741</v>
      </c>
      <c r="B173" t="s">
        <v>2709</v>
      </c>
      <c r="C173" t="str">
        <f>_xlfn.XLOOKUP(A173,Fore!A:A,Fore!AC:AC)</f>
        <v>CX</v>
      </c>
      <c r="D173" s="4" t="s">
        <v>3057</v>
      </c>
      <c r="E173" s="10" t="str">
        <f t="shared" si="40"/>
        <v>0</v>
      </c>
      <c r="F173" s="4" t="s">
        <v>3057</v>
      </c>
      <c r="G173" s="10">
        <f t="shared" si="41"/>
        <v>0</v>
      </c>
      <c r="H173" s="4" t="s">
        <v>3057</v>
      </c>
      <c r="I173" s="10">
        <f t="shared" si="42"/>
        <v>0</v>
      </c>
      <c r="J173" s="4" t="s">
        <v>3057</v>
      </c>
      <c r="K173" s="10">
        <f t="shared" si="43"/>
        <v>0</v>
      </c>
      <c r="L173" s="4">
        <v>4</v>
      </c>
      <c r="M173" s="10">
        <f t="shared" si="44"/>
        <v>0</v>
      </c>
      <c r="N173" s="4">
        <v>4</v>
      </c>
      <c r="O173" s="10">
        <f t="shared" si="45"/>
        <v>2.8</v>
      </c>
      <c r="P173" s="4">
        <v>8</v>
      </c>
      <c r="Q173" s="10">
        <f t="shared" si="46"/>
        <v>3.1599999999999997</v>
      </c>
      <c r="R173" s="4" t="s">
        <v>3057</v>
      </c>
      <c r="S173" s="10">
        <f t="shared" si="47"/>
        <v>4.6120000000000001</v>
      </c>
      <c r="T173" s="4">
        <v>7</v>
      </c>
      <c r="U173" s="10">
        <f t="shared" si="48"/>
        <v>3.2283999999999997</v>
      </c>
      <c r="V173" s="4">
        <v>4</v>
      </c>
      <c r="W173" s="10">
        <f t="shared" si="49"/>
        <v>4.3598799999999995</v>
      </c>
      <c r="X173" s="4">
        <v>5</v>
      </c>
      <c r="Y173" s="10">
        <f t="shared" si="50"/>
        <v>4.2519159999999996</v>
      </c>
      <c r="Z173" s="4">
        <v>5</v>
      </c>
      <c r="AA173" s="10">
        <f t="shared" si="51"/>
        <v>4.4763411999999994</v>
      </c>
      <c r="AB173" s="4">
        <v>7</v>
      </c>
      <c r="AC173" s="10">
        <f t="shared" si="52"/>
        <v>4.6334388399999993</v>
      </c>
      <c r="AD173" s="4">
        <v>5</v>
      </c>
      <c r="AE173" s="10">
        <f t="shared" si="53"/>
        <v>5.3434071879999996</v>
      </c>
      <c r="AF173" s="4">
        <v>4</v>
      </c>
      <c r="AG173" s="10">
        <f t="shared" si="54"/>
        <v>5.2403850315999989</v>
      </c>
      <c r="AH173" s="4">
        <v>3</v>
      </c>
      <c r="AI173" s="10">
        <f t="shared" si="55"/>
        <v>4.8682695221199985</v>
      </c>
      <c r="AJ173" s="4">
        <v>3</v>
      </c>
      <c r="AK173" s="10">
        <f t="shared" si="56"/>
        <v>4.307788665483999</v>
      </c>
      <c r="AL173" s="4">
        <v>9</v>
      </c>
      <c r="AM173" s="10">
        <f t="shared" si="57"/>
        <v>3.915452065838799</v>
      </c>
      <c r="AN173" s="5">
        <f t="shared" si="58"/>
        <v>5.0845479341612005</v>
      </c>
      <c r="AO173" s="6">
        <f t="shared" si="59"/>
        <v>0.56494977046235562</v>
      </c>
    </row>
    <row r="174" spans="1:41" x14ac:dyDescent="0.25">
      <c r="A174" t="s">
        <v>644</v>
      </c>
      <c r="B174" t="s">
        <v>2714</v>
      </c>
      <c r="C174" t="str">
        <f>_xlfn.XLOOKUP(A174,Fore!A:A,Fore!AC:AC)</f>
        <v>CY</v>
      </c>
      <c r="D174" s="4" t="s">
        <v>3057</v>
      </c>
      <c r="E174" s="10" t="str">
        <f t="shared" si="40"/>
        <v>0</v>
      </c>
      <c r="F174" s="4" t="s">
        <v>3057</v>
      </c>
      <c r="G174" s="10">
        <f t="shared" si="41"/>
        <v>0</v>
      </c>
      <c r="H174" s="4" t="s">
        <v>3057</v>
      </c>
      <c r="I174" s="10">
        <f t="shared" si="42"/>
        <v>0</v>
      </c>
      <c r="J174" s="4">
        <v>5</v>
      </c>
      <c r="K174" s="10">
        <f t="shared" si="43"/>
        <v>0</v>
      </c>
      <c r="L174" s="4">
        <v>5</v>
      </c>
      <c r="M174" s="10">
        <f t="shared" si="44"/>
        <v>1.5</v>
      </c>
      <c r="N174" s="4">
        <v>12</v>
      </c>
      <c r="O174" s="10">
        <f t="shared" si="45"/>
        <v>3.95</v>
      </c>
      <c r="P174" s="4">
        <v>3</v>
      </c>
      <c r="Q174" s="10">
        <f t="shared" si="46"/>
        <v>6.3650000000000002</v>
      </c>
      <c r="R174" s="4">
        <v>4</v>
      </c>
      <c r="S174" s="10">
        <f t="shared" si="47"/>
        <v>5.3554999999999993</v>
      </c>
      <c r="T174" s="4">
        <v>4</v>
      </c>
      <c r="U174" s="10">
        <f t="shared" si="48"/>
        <v>4.9488499999999993</v>
      </c>
      <c r="V174" s="4">
        <v>4.0000000000000009</v>
      </c>
      <c r="W174" s="10">
        <f t="shared" si="49"/>
        <v>4.6641949999999994</v>
      </c>
      <c r="X174" s="4">
        <v>0</v>
      </c>
      <c r="Y174" s="10">
        <f t="shared" si="50"/>
        <v>4.4649364999999994</v>
      </c>
      <c r="Z174" s="4" t="s">
        <v>3057</v>
      </c>
      <c r="AA174" s="10">
        <f t="shared" si="51"/>
        <v>3.1254555499999994</v>
      </c>
      <c r="AB174" s="4">
        <v>3</v>
      </c>
      <c r="AC174" s="10">
        <f t="shared" si="52"/>
        <v>2.1878188849999995</v>
      </c>
      <c r="AD174" s="4">
        <v>3</v>
      </c>
      <c r="AE174" s="10">
        <f t="shared" si="53"/>
        <v>2.4314732194999995</v>
      </c>
      <c r="AF174" s="4">
        <v>7.0000000000000018</v>
      </c>
      <c r="AG174" s="10">
        <f t="shared" si="54"/>
        <v>2.6020312536499994</v>
      </c>
      <c r="AH174" s="4">
        <v>3</v>
      </c>
      <c r="AI174" s="10">
        <f t="shared" si="55"/>
        <v>3.9214218775549998</v>
      </c>
      <c r="AJ174" s="4" t="s">
        <v>3057</v>
      </c>
      <c r="AK174" s="10">
        <f t="shared" si="56"/>
        <v>3.6449953142884994</v>
      </c>
      <c r="AL174" s="4">
        <v>12</v>
      </c>
      <c r="AM174" s="10">
        <f t="shared" si="57"/>
        <v>2.5514967200019494</v>
      </c>
      <c r="AN174" s="5">
        <f t="shared" si="58"/>
        <v>9.4485032799980502</v>
      </c>
      <c r="AO174" s="6">
        <f t="shared" si="59"/>
        <v>0.78737527333317081</v>
      </c>
    </row>
    <row r="175" spans="1:41" x14ac:dyDescent="0.25">
      <c r="A175" t="s">
        <v>1875</v>
      </c>
      <c r="B175" t="s">
        <v>2914</v>
      </c>
      <c r="C175" t="str">
        <f>_xlfn.XLOOKUP(A175,Fore!A:A,Fore!AC:AC)</f>
        <v>CY</v>
      </c>
      <c r="D175" s="4" t="s">
        <v>3057</v>
      </c>
      <c r="E175" s="10" t="str">
        <f t="shared" si="40"/>
        <v>0</v>
      </c>
      <c r="F175" s="4" t="s">
        <v>3057</v>
      </c>
      <c r="G175" s="10">
        <f t="shared" si="41"/>
        <v>0</v>
      </c>
      <c r="H175" s="4" t="s">
        <v>3057</v>
      </c>
      <c r="I175" s="10">
        <f t="shared" si="42"/>
        <v>0</v>
      </c>
      <c r="J175" s="4" t="s">
        <v>3057</v>
      </c>
      <c r="K175" s="10">
        <f t="shared" si="43"/>
        <v>0</v>
      </c>
      <c r="L175" s="4" t="s">
        <v>3057</v>
      </c>
      <c r="M175" s="10">
        <f t="shared" si="44"/>
        <v>0</v>
      </c>
      <c r="N175" s="4" t="s">
        <v>3057</v>
      </c>
      <c r="O175" s="10">
        <f t="shared" si="45"/>
        <v>0</v>
      </c>
      <c r="P175" s="4" t="s">
        <v>3057</v>
      </c>
      <c r="Q175" s="10">
        <f t="shared" si="46"/>
        <v>0</v>
      </c>
      <c r="R175" s="4" t="s">
        <v>3057</v>
      </c>
      <c r="S175" s="10">
        <f t="shared" si="47"/>
        <v>0</v>
      </c>
      <c r="T175" s="4" t="s">
        <v>3057</v>
      </c>
      <c r="U175" s="10">
        <f t="shared" si="48"/>
        <v>0</v>
      </c>
      <c r="V175" s="4">
        <v>60</v>
      </c>
      <c r="W175" s="10">
        <f t="shared" si="49"/>
        <v>0</v>
      </c>
      <c r="X175" s="4">
        <v>0</v>
      </c>
      <c r="Y175" s="10">
        <f t="shared" si="50"/>
        <v>18</v>
      </c>
      <c r="Z175" s="4" t="s">
        <v>3057</v>
      </c>
      <c r="AA175" s="10">
        <f t="shared" si="51"/>
        <v>12.6</v>
      </c>
      <c r="AB175" s="4" t="s">
        <v>3057</v>
      </c>
      <c r="AC175" s="10">
        <f t="shared" si="52"/>
        <v>8.8199999999999985</v>
      </c>
      <c r="AD175" s="4" t="s">
        <v>3057</v>
      </c>
      <c r="AE175" s="10">
        <f t="shared" si="53"/>
        <v>6.1739999999999986</v>
      </c>
      <c r="AF175" s="4" t="s">
        <v>3057</v>
      </c>
      <c r="AG175" s="10">
        <f t="shared" si="54"/>
        <v>4.3217999999999988</v>
      </c>
      <c r="AH175" s="4" t="s">
        <v>3057</v>
      </c>
      <c r="AI175" s="10">
        <f t="shared" si="55"/>
        <v>3.0252599999999989</v>
      </c>
      <c r="AJ175" s="4" t="s">
        <v>3057</v>
      </c>
      <c r="AK175" s="10">
        <f t="shared" si="56"/>
        <v>2.117681999999999</v>
      </c>
      <c r="AL175" s="4" t="s">
        <v>3057</v>
      </c>
      <c r="AM175" s="10">
        <f t="shared" si="57"/>
        <v>1.4823773999999992</v>
      </c>
      <c r="AN175" s="5">
        <f t="shared" si="58"/>
        <v>1.4823773999999992</v>
      </c>
      <c r="AO175" s="6" t="str">
        <f t="shared" si="59"/>
        <v>0</v>
      </c>
    </row>
    <row r="176" spans="1:41" x14ac:dyDescent="0.25">
      <c r="A176" t="s">
        <v>921</v>
      </c>
      <c r="B176" t="s">
        <v>2755</v>
      </c>
      <c r="C176" t="str">
        <f>_xlfn.XLOOKUP(A176,Fore!A:A,Fore!AC:AC)</f>
        <v>CY</v>
      </c>
      <c r="D176" s="4" t="s">
        <v>3057</v>
      </c>
      <c r="E176" s="10" t="str">
        <f t="shared" si="40"/>
        <v>0</v>
      </c>
      <c r="F176" s="4" t="s">
        <v>3057</v>
      </c>
      <c r="G176" s="10">
        <f t="shared" si="41"/>
        <v>0</v>
      </c>
      <c r="H176" s="4" t="s">
        <v>3057</v>
      </c>
      <c r="I176" s="10">
        <f t="shared" si="42"/>
        <v>0</v>
      </c>
      <c r="J176" s="4" t="s">
        <v>3057</v>
      </c>
      <c r="K176" s="10">
        <f t="shared" si="43"/>
        <v>0</v>
      </c>
      <c r="L176" s="4" t="s">
        <v>3057</v>
      </c>
      <c r="M176" s="10">
        <f t="shared" si="44"/>
        <v>0</v>
      </c>
      <c r="N176" s="4">
        <v>1.9999999999999998</v>
      </c>
      <c r="O176" s="10">
        <f t="shared" si="45"/>
        <v>0</v>
      </c>
      <c r="P176" s="4">
        <v>4.0000000000000018</v>
      </c>
      <c r="Q176" s="10">
        <f t="shared" si="46"/>
        <v>0.59999999999999987</v>
      </c>
      <c r="R176" s="4">
        <v>12.000000000000002</v>
      </c>
      <c r="S176" s="10">
        <f t="shared" si="47"/>
        <v>1.6200000000000003</v>
      </c>
      <c r="T176" s="4">
        <v>10</v>
      </c>
      <c r="U176" s="10">
        <f t="shared" si="48"/>
        <v>4.7340000000000009</v>
      </c>
      <c r="V176" s="4">
        <v>2</v>
      </c>
      <c r="W176" s="10">
        <f t="shared" si="49"/>
        <v>6.3138000000000005</v>
      </c>
      <c r="X176" s="4">
        <v>0</v>
      </c>
      <c r="Y176" s="10">
        <f t="shared" si="50"/>
        <v>5.01966</v>
      </c>
      <c r="Z176" s="4" t="s">
        <v>3057</v>
      </c>
      <c r="AA176" s="10">
        <f t="shared" si="51"/>
        <v>3.5137619999999998</v>
      </c>
      <c r="AB176" s="4" t="s">
        <v>3057</v>
      </c>
      <c r="AC176" s="10">
        <f t="shared" si="52"/>
        <v>2.4596333999999995</v>
      </c>
      <c r="AD176" s="4">
        <v>4</v>
      </c>
      <c r="AE176" s="10">
        <f t="shared" si="53"/>
        <v>1.7217433799999995</v>
      </c>
      <c r="AF176" s="4">
        <v>13.999999999999996</v>
      </c>
      <c r="AG176" s="10">
        <f t="shared" si="54"/>
        <v>2.4052203659999996</v>
      </c>
      <c r="AH176" s="4">
        <v>7.9999999999999991</v>
      </c>
      <c r="AI176" s="10">
        <f t="shared" si="55"/>
        <v>5.883654256199998</v>
      </c>
      <c r="AJ176" s="4">
        <v>3</v>
      </c>
      <c r="AK176" s="10">
        <f t="shared" si="56"/>
        <v>6.5185579793399979</v>
      </c>
      <c r="AL176" s="4" t="s">
        <v>3057</v>
      </c>
      <c r="AM176" s="10">
        <f t="shared" si="57"/>
        <v>5.4629905855379981</v>
      </c>
      <c r="AN176" s="5">
        <f t="shared" si="58"/>
        <v>5.4629905855379981</v>
      </c>
      <c r="AO176" s="6" t="str">
        <f t="shared" si="59"/>
        <v>0</v>
      </c>
    </row>
    <row r="177" spans="1:41" x14ac:dyDescent="0.25">
      <c r="A177" t="s">
        <v>646</v>
      </c>
      <c r="B177" t="s">
        <v>2718</v>
      </c>
      <c r="C177" t="str">
        <f>_xlfn.XLOOKUP(A177,Fore!A:A,Fore!AC:AC)</f>
        <v>CY</v>
      </c>
      <c r="D177" s="4" t="s">
        <v>3057</v>
      </c>
      <c r="E177" s="10" t="str">
        <f t="shared" si="40"/>
        <v>0</v>
      </c>
      <c r="F177" s="4" t="s">
        <v>3057</v>
      </c>
      <c r="G177" s="10">
        <f t="shared" si="41"/>
        <v>0</v>
      </c>
      <c r="H177" s="4" t="s">
        <v>3057</v>
      </c>
      <c r="I177" s="10">
        <f t="shared" si="42"/>
        <v>0</v>
      </c>
      <c r="J177" s="4">
        <v>2</v>
      </c>
      <c r="K177" s="10">
        <f t="shared" si="43"/>
        <v>0</v>
      </c>
      <c r="L177" s="4">
        <v>10</v>
      </c>
      <c r="M177" s="10">
        <f t="shared" si="44"/>
        <v>0.6</v>
      </c>
      <c r="N177" s="4" t="s">
        <v>3057</v>
      </c>
      <c r="O177" s="10">
        <f t="shared" si="45"/>
        <v>7.18</v>
      </c>
      <c r="P177" s="4">
        <v>6</v>
      </c>
      <c r="Q177" s="10">
        <f t="shared" si="46"/>
        <v>5.0259999999999998</v>
      </c>
      <c r="R177" s="4">
        <v>17</v>
      </c>
      <c r="S177" s="10">
        <f t="shared" si="47"/>
        <v>5.3181999999999992</v>
      </c>
      <c r="T177" s="4">
        <v>4</v>
      </c>
      <c r="U177" s="10">
        <f t="shared" si="48"/>
        <v>8.8227399999999996</v>
      </c>
      <c r="V177" s="4" t="s">
        <v>3057</v>
      </c>
      <c r="W177" s="10">
        <f t="shared" si="49"/>
        <v>7.3759179999999995</v>
      </c>
      <c r="X177" s="4">
        <v>0</v>
      </c>
      <c r="Y177" s="10">
        <f t="shared" si="50"/>
        <v>5.1631425999999996</v>
      </c>
      <c r="Z177" s="4" t="s">
        <v>3057</v>
      </c>
      <c r="AA177" s="10">
        <f t="shared" si="51"/>
        <v>3.6141998199999996</v>
      </c>
      <c r="AB177" s="4" t="s">
        <v>3057</v>
      </c>
      <c r="AC177" s="10">
        <f t="shared" si="52"/>
        <v>2.5299398739999996</v>
      </c>
      <c r="AD177" s="4" t="s">
        <v>3057</v>
      </c>
      <c r="AE177" s="10">
        <f t="shared" si="53"/>
        <v>1.7709579117999996</v>
      </c>
      <c r="AF177" s="4">
        <v>9</v>
      </c>
      <c r="AG177" s="10">
        <f t="shared" si="54"/>
        <v>1.2396705382599997</v>
      </c>
      <c r="AH177" s="4" t="s">
        <v>3057</v>
      </c>
      <c r="AI177" s="10">
        <f t="shared" si="55"/>
        <v>3.5677693767819996</v>
      </c>
      <c r="AJ177" s="4">
        <v>10</v>
      </c>
      <c r="AK177" s="10">
        <f t="shared" si="56"/>
        <v>2.4974385637473997</v>
      </c>
      <c r="AL177" s="4" t="s">
        <v>3057</v>
      </c>
      <c r="AM177" s="10">
        <f t="shared" si="57"/>
        <v>4.74820699462318</v>
      </c>
      <c r="AN177" s="5">
        <f t="shared" si="58"/>
        <v>4.74820699462318</v>
      </c>
      <c r="AO177" s="6" t="str">
        <f t="shared" si="59"/>
        <v>0</v>
      </c>
    </row>
    <row r="178" spans="1:41" x14ac:dyDescent="0.25">
      <c r="A178" t="s">
        <v>920</v>
      </c>
      <c r="B178" t="s">
        <v>2717</v>
      </c>
      <c r="C178" t="str">
        <f>_xlfn.XLOOKUP(A178,Fore!A:A,Fore!AC:AC)</f>
        <v>CY</v>
      </c>
      <c r="D178" s="4" t="s">
        <v>3057</v>
      </c>
      <c r="E178" s="10" t="str">
        <f t="shared" si="40"/>
        <v>0</v>
      </c>
      <c r="F178" s="4" t="s">
        <v>3057</v>
      </c>
      <c r="G178" s="10">
        <f t="shared" si="41"/>
        <v>0</v>
      </c>
      <c r="H178" s="4" t="s">
        <v>3057</v>
      </c>
      <c r="I178" s="10">
        <f t="shared" si="42"/>
        <v>0</v>
      </c>
      <c r="J178" s="4">
        <v>1.9999999999999998</v>
      </c>
      <c r="K178" s="10">
        <f t="shared" si="43"/>
        <v>0</v>
      </c>
      <c r="L178" s="4">
        <v>5</v>
      </c>
      <c r="M178" s="10">
        <f t="shared" si="44"/>
        <v>0.59999999999999987</v>
      </c>
      <c r="N178" s="4" t="s">
        <v>3057</v>
      </c>
      <c r="O178" s="10">
        <f t="shared" si="45"/>
        <v>3.68</v>
      </c>
      <c r="P178" s="4">
        <v>5</v>
      </c>
      <c r="Q178" s="10">
        <f t="shared" si="46"/>
        <v>2.5760000000000001</v>
      </c>
      <c r="R178" s="4">
        <v>11</v>
      </c>
      <c r="S178" s="10">
        <f t="shared" si="47"/>
        <v>3.3031999999999999</v>
      </c>
      <c r="T178" s="4" t="s">
        <v>3057</v>
      </c>
      <c r="U178" s="10">
        <f t="shared" si="48"/>
        <v>5.6122399999999999</v>
      </c>
      <c r="V178" s="4" t="s">
        <v>3057</v>
      </c>
      <c r="W178" s="10">
        <f t="shared" si="49"/>
        <v>3.9285679999999998</v>
      </c>
      <c r="X178" s="4">
        <v>0</v>
      </c>
      <c r="Y178" s="10">
        <f t="shared" si="50"/>
        <v>2.7499975999999999</v>
      </c>
      <c r="Z178" s="4" t="s">
        <v>3057</v>
      </c>
      <c r="AA178" s="10">
        <f t="shared" si="51"/>
        <v>1.9249983199999998</v>
      </c>
      <c r="AB178" s="4" t="s">
        <v>3057</v>
      </c>
      <c r="AC178" s="10">
        <f t="shared" si="52"/>
        <v>1.3474988239999999</v>
      </c>
      <c r="AD178" s="4">
        <v>5</v>
      </c>
      <c r="AE178" s="10">
        <f t="shared" si="53"/>
        <v>0.94324917679999987</v>
      </c>
      <c r="AF178" s="4">
        <v>4</v>
      </c>
      <c r="AG178" s="10">
        <f t="shared" si="54"/>
        <v>2.1602744237599998</v>
      </c>
      <c r="AH178" s="4">
        <v>10</v>
      </c>
      <c r="AI178" s="10">
        <f t="shared" si="55"/>
        <v>2.7121920966319997</v>
      </c>
      <c r="AJ178" s="4" t="s">
        <v>3057</v>
      </c>
      <c r="AK178" s="10">
        <f t="shared" si="56"/>
        <v>4.8985344676423992</v>
      </c>
      <c r="AL178" s="4">
        <v>12</v>
      </c>
      <c r="AM178" s="10">
        <f t="shared" si="57"/>
        <v>3.4289741273496794</v>
      </c>
      <c r="AN178" s="5">
        <f t="shared" si="58"/>
        <v>8.5710258726503206</v>
      </c>
      <c r="AO178" s="6">
        <f t="shared" si="59"/>
        <v>0.71425215605419334</v>
      </c>
    </row>
    <row r="179" spans="1:41" x14ac:dyDescent="0.25">
      <c r="A179" t="s">
        <v>1708</v>
      </c>
      <c r="B179" t="s">
        <v>2685</v>
      </c>
      <c r="C179" t="str">
        <f>_xlfn.XLOOKUP(A179,Fore!A:A,Fore!AC:AC)</f>
        <v>CY</v>
      </c>
      <c r="D179" s="4" t="s">
        <v>3057</v>
      </c>
      <c r="E179" s="10" t="str">
        <f t="shared" si="40"/>
        <v>0</v>
      </c>
      <c r="F179" s="4" t="s">
        <v>3057</v>
      </c>
      <c r="G179" s="10">
        <f t="shared" si="41"/>
        <v>0</v>
      </c>
      <c r="H179" s="4" t="s">
        <v>3057</v>
      </c>
      <c r="I179" s="10">
        <f t="shared" si="42"/>
        <v>0</v>
      </c>
      <c r="J179" s="4" t="s">
        <v>3057</v>
      </c>
      <c r="K179" s="10">
        <f t="shared" si="43"/>
        <v>0</v>
      </c>
      <c r="L179" s="4" t="s">
        <v>3057</v>
      </c>
      <c r="M179" s="10">
        <f t="shared" si="44"/>
        <v>0</v>
      </c>
      <c r="N179" s="4" t="s">
        <v>3057</v>
      </c>
      <c r="O179" s="10">
        <f t="shared" si="45"/>
        <v>0</v>
      </c>
      <c r="P179" s="4" t="s">
        <v>3057</v>
      </c>
      <c r="Q179" s="10">
        <f t="shared" si="46"/>
        <v>0</v>
      </c>
      <c r="R179" s="4">
        <v>17</v>
      </c>
      <c r="S179" s="10">
        <f t="shared" si="47"/>
        <v>0</v>
      </c>
      <c r="T179" s="4">
        <v>5</v>
      </c>
      <c r="U179" s="10">
        <f t="shared" si="48"/>
        <v>5.0999999999999996</v>
      </c>
      <c r="V179" s="4">
        <v>4.9999999999999991</v>
      </c>
      <c r="W179" s="10">
        <f t="shared" si="49"/>
        <v>5.0699999999999994</v>
      </c>
      <c r="X179" s="4">
        <v>1</v>
      </c>
      <c r="Y179" s="10">
        <f t="shared" si="50"/>
        <v>5.0489999999999995</v>
      </c>
      <c r="Z179" s="4" t="s">
        <v>3057</v>
      </c>
      <c r="AA179" s="10">
        <f t="shared" si="51"/>
        <v>3.8342999999999994</v>
      </c>
      <c r="AB179" s="4">
        <v>2</v>
      </c>
      <c r="AC179" s="10">
        <f t="shared" si="52"/>
        <v>2.6840099999999993</v>
      </c>
      <c r="AD179" s="4" t="s">
        <v>3057</v>
      </c>
      <c r="AE179" s="10">
        <f t="shared" si="53"/>
        <v>2.4788069999999993</v>
      </c>
      <c r="AF179" s="4">
        <v>5</v>
      </c>
      <c r="AG179" s="10">
        <f t="shared" si="54"/>
        <v>1.7351648999999993</v>
      </c>
      <c r="AH179" s="4">
        <v>5</v>
      </c>
      <c r="AI179" s="10">
        <f t="shared" si="55"/>
        <v>2.7146154299999994</v>
      </c>
      <c r="AJ179" s="4" t="s">
        <v>3057</v>
      </c>
      <c r="AK179" s="10">
        <f t="shared" si="56"/>
        <v>3.4002308009999993</v>
      </c>
      <c r="AL179" s="4">
        <v>12</v>
      </c>
      <c r="AM179" s="10">
        <f t="shared" si="57"/>
        <v>2.3801615606999995</v>
      </c>
      <c r="AN179" s="5">
        <f t="shared" si="58"/>
        <v>9.6198384393000005</v>
      </c>
      <c r="AO179" s="6">
        <f t="shared" si="59"/>
        <v>0.801653203275</v>
      </c>
    </row>
    <row r="180" spans="1:41" x14ac:dyDescent="0.25">
      <c r="A180" t="s">
        <v>2258</v>
      </c>
      <c r="B180" t="s">
        <v>2622</v>
      </c>
      <c r="C180" t="str">
        <f>_xlfn.XLOOKUP(A180,Fore!A:A,Fore!AC:AC)</f>
        <v>CY</v>
      </c>
      <c r="D180" s="4" t="s">
        <v>3057</v>
      </c>
      <c r="E180" s="10" t="str">
        <f t="shared" si="40"/>
        <v>0</v>
      </c>
      <c r="F180" s="4" t="s">
        <v>3057</v>
      </c>
      <c r="G180" s="10">
        <f t="shared" si="41"/>
        <v>0</v>
      </c>
      <c r="H180" s="4" t="s">
        <v>3057</v>
      </c>
      <c r="I180" s="10">
        <f t="shared" si="42"/>
        <v>0</v>
      </c>
      <c r="J180" s="4" t="s">
        <v>3057</v>
      </c>
      <c r="K180" s="10">
        <f t="shared" si="43"/>
        <v>0</v>
      </c>
      <c r="L180" s="4" t="s">
        <v>3057</v>
      </c>
      <c r="M180" s="10">
        <f t="shared" si="44"/>
        <v>0</v>
      </c>
      <c r="N180" s="4" t="s">
        <v>3057</v>
      </c>
      <c r="O180" s="10">
        <f t="shared" si="45"/>
        <v>0</v>
      </c>
      <c r="P180" s="4" t="s">
        <v>3057</v>
      </c>
      <c r="Q180" s="10">
        <f t="shared" si="46"/>
        <v>0</v>
      </c>
      <c r="R180" s="4" t="s">
        <v>3057</v>
      </c>
      <c r="S180" s="10">
        <f t="shared" si="47"/>
        <v>0</v>
      </c>
      <c r="T180" s="4" t="s">
        <v>3057</v>
      </c>
      <c r="U180" s="10">
        <f t="shared" si="48"/>
        <v>0</v>
      </c>
      <c r="V180" s="4" t="s">
        <v>3057</v>
      </c>
      <c r="W180" s="10">
        <f t="shared" si="49"/>
        <v>0</v>
      </c>
      <c r="X180" s="4">
        <v>0</v>
      </c>
      <c r="Y180" s="10">
        <f t="shared" si="50"/>
        <v>0</v>
      </c>
      <c r="Z180" s="4" t="s">
        <v>3057</v>
      </c>
      <c r="AA180" s="10">
        <f t="shared" si="51"/>
        <v>0</v>
      </c>
      <c r="AB180" s="4" t="s">
        <v>3057</v>
      </c>
      <c r="AC180" s="10">
        <f t="shared" si="52"/>
        <v>0</v>
      </c>
      <c r="AD180" s="4" t="s">
        <v>3057</v>
      </c>
      <c r="AE180" s="10">
        <f t="shared" si="53"/>
        <v>0</v>
      </c>
      <c r="AF180" s="4" t="s">
        <v>3057</v>
      </c>
      <c r="AG180" s="10">
        <f t="shared" si="54"/>
        <v>0</v>
      </c>
      <c r="AH180" s="4">
        <v>50</v>
      </c>
      <c r="AI180" s="10">
        <f t="shared" si="55"/>
        <v>0</v>
      </c>
      <c r="AJ180" s="4" t="s">
        <v>3057</v>
      </c>
      <c r="AK180" s="10">
        <f t="shared" si="56"/>
        <v>15</v>
      </c>
      <c r="AL180" s="4" t="s">
        <v>3057</v>
      </c>
      <c r="AM180" s="10">
        <f t="shared" si="57"/>
        <v>10.5</v>
      </c>
      <c r="AN180" s="5">
        <f t="shared" si="58"/>
        <v>10.5</v>
      </c>
      <c r="AO180" s="6" t="str">
        <f t="shared" si="59"/>
        <v>0</v>
      </c>
    </row>
    <row r="181" spans="1:41" x14ac:dyDescent="0.25">
      <c r="A181" t="s">
        <v>1523</v>
      </c>
      <c r="B181" t="s">
        <v>2896</v>
      </c>
      <c r="C181" t="str">
        <f>_xlfn.XLOOKUP(A181,Fore!A:A,Fore!AC:AC)</f>
        <v>CZ</v>
      </c>
      <c r="D181" s="4" t="s">
        <v>3057</v>
      </c>
      <c r="E181" s="10" t="str">
        <f t="shared" si="40"/>
        <v>0</v>
      </c>
      <c r="F181" s="4" t="s">
        <v>3057</v>
      </c>
      <c r="G181" s="10">
        <f t="shared" si="41"/>
        <v>0</v>
      </c>
      <c r="H181" s="4" t="s">
        <v>3057</v>
      </c>
      <c r="I181" s="10">
        <f t="shared" si="42"/>
        <v>0</v>
      </c>
      <c r="J181" s="4" t="s">
        <v>3057</v>
      </c>
      <c r="K181" s="10">
        <f t="shared" si="43"/>
        <v>0</v>
      </c>
      <c r="L181" s="4" t="s">
        <v>3057</v>
      </c>
      <c r="M181" s="10">
        <f t="shared" si="44"/>
        <v>0</v>
      </c>
      <c r="N181" s="4">
        <v>6</v>
      </c>
      <c r="O181" s="10">
        <f t="shared" si="45"/>
        <v>0</v>
      </c>
      <c r="P181" s="4" t="s">
        <v>3057</v>
      </c>
      <c r="Q181" s="10">
        <f t="shared" si="46"/>
        <v>1.7999999999999998</v>
      </c>
      <c r="R181" s="4" t="s">
        <v>3057</v>
      </c>
      <c r="S181" s="10">
        <f t="shared" si="47"/>
        <v>1.2599999999999998</v>
      </c>
      <c r="T181" s="4" t="s">
        <v>3057</v>
      </c>
      <c r="U181" s="10">
        <f t="shared" si="48"/>
        <v>0.88199999999999978</v>
      </c>
      <c r="V181" s="4">
        <v>44</v>
      </c>
      <c r="W181" s="10">
        <f t="shared" si="49"/>
        <v>0.61739999999999984</v>
      </c>
      <c r="X181" s="4">
        <v>0</v>
      </c>
      <c r="Y181" s="10">
        <f t="shared" si="50"/>
        <v>13.63218</v>
      </c>
      <c r="Z181" s="4" t="s">
        <v>3057</v>
      </c>
      <c r="AA181" s="10">
        <f t="shared" si="51"/>
        <v>9.5425259999999987</v>
      </c>
      <c r="AB181" s="4" t="s">
        <v>3057</v>
      </c>
      <c r="AC181" s="10">
        <f t="shared" si="52"/>
        <v>6.6797681999999989</v>
      </c>
      <c r="AD181" s="4" t="s">
        <v>3057</v>
      </c>
      <c r="AE181" s="10">
        <f t="shared" si="53"/>
        <v>4.6758377399999986</v>
      </c>
      <c r="AF181" s="4" t="s">
        <v>3057</v>
      </c>
      <c r="AG181" s="10">
        <f t="shared" si="54"/>
        <v>3.2730864179999988</v>
      </c>
      <c r="AH181" s="4" t="s">
        <v>3057</v>
      </c>
      <c r="AI181" s="10">
        <f t="shared" si="55"/>
        <v>2.2911604925999991</v>
      </c>
      <c r="AJ181" s="4" t="s">
        <v>3057</v>
      </c>
      <c r="AK181" s="10">
        <f t="shared" si="56"/>
        <v>1.6038123448199992</v>
      </c>
      <c r="AL181" s="4" t="s">
        <v>3057</v>
      </c>
      <c r="AM181" s="10">
        <f t="shared" si="57"/>
        <v>1.1226686413739995</v>
      </c>
      <c r="AN181" s="5">
        <f t="shared" si="58"/>
        <v>1.1226686413739995</v>
      </c>
      <c r="AO181" s="6" t="str">
        <f t="shared" si="59"/>
        <v>0</v>
      </c>
    </row>
    <row r="182" spans="1:41" x14ac:dyDescent="0.25">
      <c r="A182" t="s">
        <v>2022</v>
      </c>
      <c r="B182" t="s">
        <v>2929</v>
      </c>
      <c r="C182" t="str">
        <f>_xlfn.XLOOKUP(A182,Fore!A:A,Fore!AC:AC)</f>
        <v>CY</v>
      </c>
      <c r="D182" s="4" t="s">
        <v>3057</v>
      </c>
      <c r="E182" s="10" t="str">
        <f t="shared" si="40"/>
        <v>0</v>
      </c>
      <c r="F182" s="4" t="s">
        <v>3057</v>
      </c>
      <c r="G182" s="10">
        <f t="shared" si="41"/>
        <v>0</v>
      </c>
      <c r="H182" s="4" t="s">
        <v>3057</v>
      </c>
      <c r="I182" s="10">
        <f t="shared" si="42"/>
        <v>0</v>
      </c>
      <c r="J182" s="4" t="s">
        <v>3057</v>
      </c>
      <c r="K182" s="10">
        <f t="shared" si="43"/>
        <v>0</v>
      </c>
      <c r="L182" s="4" t="s">
        <v>3057</v>
      </c>
      <c r="M182" s="10">
        <f t="shared" si="44"/>
        <v>0</v>
      </c>
      <c r="N182" s="4" t="s">
        <v>3057</v>
      </c>
      <c r="O182" s="10">
        <f t="shared" si="45"/>
        <v>0</v>
      </c>
      <c r="P182" s="4" t="s">
        <v>3057</v>
      </c>
      <c r="Q182" s="10">
        <f t="shared" si="46"/>
        <v>0</v>
      </c>
      <c r="R182" s="4" t="s">
        <v>3057</v>
      </c>
      <c r="S182" s="10">
        <f t="shared" si="47"/>
        <v>0</v>
      </c>
      <c r="T182" s="4" t="s">
        <v>3057</v>
      </c>
      <c r="U182" s="10">
        <f t="shared" si="48"/>
        <v>0</v>
      </c>
      <c r="V182" s="4" t="s">
        <v>3057</v>
      </c>
      <c r="W182" s="10">
        <f t="shared" si="49"/>
        <v>0</v>
      </c>
      <c r="X182" s="4">
        <v>0</v>
      </c>
      <c r="Y182" s="10">
        <f t="shared" si="50"/>
        <v>0</v>
      </c>
      <c r="Z182" s="4" t="s">
        <v>3057</v>
      </c>
      <c r="AA182" s="10">
        <f t="shared" si="51"/>
        <v>0</v>
      </c>
      <c r="AB182" s="4">
        <v>50</v>
      </c>
      <c r="AC182" s="10">
        <f t="shared" si="52"/>
        <v>0</v>
      </c>
      <c r="AD182" s="4" t="s">
        <v>3057</v>
      </c>
      <c r="AE182" s="10">
        <f t="shared" si="53"/>
        <v>15</v>
      </c>
      <c r="AF182" s="4" t="s">
        <v>3057</v>
      </c>
      <c r="AG182" s="10">
        <f t="shared" si="54"/>
        <v>10.5</v>
      </c>
      <c r="AH182" s="4" t="s">
        <v>3057</v>
      </c>
      <c r="AI182" s="10">
        <f t="shared" si="55"/>
        <v>7.35</v>
      </c>
      <c r="AJ182" s="4" t="s">
        <v>3057</v>
      </c>
      <c r="AK182" s="10">
        <f t="shared" si="56"/>
        <v>5.1449999999999996</v>
      </c>
      <c r="AL182" s="4" t="s">
        <v>3057</v>
      </c>
      <c r="AM182" s="10">
        <f t="shared" si="57"/>
        <v>3.6014999999999993</v>
      </c>
      <c r="AN182" s="5">
        <f t="shared" si="58"/>
        <v>3.6014999999999993</v>
      </c>
      <c r="AO182" s="6" t="str">
        <f t="shared" si="59"/>
        <v>0</v>
      </c>
    </row>
    <row r="183" spans="1:41" x14ac:dyDescent="0.25">
      <c r="A183" t="s">
        <v>2133</v>
      </c>
      <c r="B183" t="s">
        <v>2949</v>
      </c>
      <c r="C183" t="str">
        <f>_xlfn.XLOOKUP(A183,Fore!A:A,Fore!AC:AC)</f>
        <v>CY</v>
      </c>
      <c r="D183" s="4" t="s">
        <v>3057</v>
      </c>
      <c r="E183" s="10" t="str">
        <f t="shared" si="40"/>
        <v>0</v>
      </c>
      <c r="F183" s="4" t="s">
        <v>3057</v>
      </c>
      <c r="G183" s="10">
        <f t="shared" si="41"/>
        <v>0</v>
      </c>
      <c r="H183" s="4" t="s">
        <v>3057</v>
      </c>
      <c r="I183" s="10">
        <f t="shared" si="42"/>
        <v>0</v>
      </c>
      <c r="J183" s="4" t="s">
        <v>3057</v>
      </c>
      <c r="K183" s="10">
        <f t="shared" si="43"/>
        <v>0</v>
      </c>
      <c r="L183" s="4" t="s">
        <v>3057</v>
      </c>
      <c r="M183" s="10">
        <f t="shared" si="44"/>
        <v>0</v>
      </c>
      <c r="N183" s="4" t="s">
        <v>3057</v>
      </c>
      <c r="O183" s="10">
        <f t="shared" si="45"/>
        <v>0</v>
      </c>
      <c r="P183" s="4" t="s">
        <v>3057</v>
      </c>
      <c r="Q183" s="10">
        <f t="shared" si="46"/>
        <v>0</v>
      </c>
      <c r="R183" s="4" t="s">
        <v>3057</v>
      </c>
      <c r="S183" s="10">
        <f t="shared" si="47"/>
        <v>0</v>
      </c>
      <c r="T183" s="4" t="s">
        <v>3057</v>
      </c>
      <c r="U183" s="10">
        <f t="shared" si="48"/>
        <v>0</v>
      </c>
      <c r="V183" s="4" t="s">
        <v>3057</v>
      </c>
      <c r="W183" s="10">
        <f t="shared" si="49"/>
        <v>0</v>
      </c>
      <c r="X183" s="4">
        <v>0</v>
      </c>
      <c r="Y183" s="10">
        <f t="shared" si="50"/>
        <v>0</v>
      </c>
      <c r="Z183" s="4" t="s">
        <v>3057</v>
      </c>
      <c r="AA183" s="10">
        <f t="shared" si="51"/>
        <v>0</v>
      </c>
      <c r="AB183" s="4" t="s">
        <v>3057</v>
      </c>
      <c r="AC183" s="10">
        <f t="shared" si="52"/>
        <v>0</v>
      </c>
      <c r="AD183" s="4">
        <v>30</v>
      </c>
      <c r="AE183" s="10">
        <f t="shared" si="53"/>
        <v>0</v>
      </c>
      <c r="AF183" s="4">
        <v>20</v>
      </c>
      <c r="AG183" s="10">
        <f t="shared" si="54"/>
        <v>9</v>
      </c>
      <c r="AH183" s="4" t="s">
        <v>3057</v>
      </c>
      <c r="AI183" s="10">
        <f t="shared" si="55"/>
        <v>12.3</v>
      </c>
      <c r="AJ183" s="4" t="s">
        <v>3057</v>
      </c>
      <c r="AK183" s="10">
        <f t="shared" si="56"/>
        <v>8.61</v>
      </c>
      <c r="AL183" s="4" t="s">
        <v>3057</v>
      </c>
      <c r="AM183" s="10">
        <f t="shared" si="57"/>
        <v>6.0269999999999992</v>
      </c>
      <c r="AN183" s="5">
        <f t="shared" si="58"/>
        <v>6.0269999999999992</v>
      </c>
      <c r="AO183" s="6" t="str">
        <f t="shared" si="59"/>
        <v>0</v>
      </c>
    </row>
    <row r="184" spans="1:41" x14ac:dyDescent="0.25">
      <c r="A184" t="s">
        <v>2134</v>
      </c>
      <c r="B184" t="s">
        <v>2950</v>
      </c>
      <c r="C184" t="str">
        <f>_xlfn.XLOOKUP(A184,Fore!A:A,Fore!AC:AC)</f>
        <v>CY</v>
      </c>
      <c r="D184" s="4" t="s">
        <v>3057</v>
      </c>
      <c r="E184" s="10" t="str">
        <f t="shared" si="40"/>
        <v>0</v>
      </c>
      <c r="F184" s="4" t="s">
        <v>3057</v>
      </c>
      <c r="G184" s="10">
        <f t="shared" si="41"/>
        <v>0</v>
      </c>
      <c r="H184" s="4" t="s">
        <v>3057</v>
      </c>
      <c r="I184" s="10">
        <f t="shared" si="42"/>
        <v>0</v>
      </c>
      <c r="J184" s="4" t="s">
        <v>3057</v>
      </c>
      <c r="K184" s="10">
        <f t="shared" si="43"/>
        <v>0</v>
      </c>
      <c r="L184" s="4" t="s">
        <v>3057</v>
      </c>
      <c r="M184" s="10">
        <f t="shared" si="44"/>
        <v>0</v>
      </c>
      <c r="N184" s="4" t="s">
        <v>3057</v>
      </c>
      <c r="O184" s="10">
        <f t="shared" si="45"/>
        <v>0</v>
      </c>
      <c r="P184" s="4" t="s">
        <v>3057</v>
      </c>
      <c r="Q184" s="10">
        <f t="shared" si="46"/>
        <v>0</v>
      </c>
      <c r="R184" s="4" t="s">
        <v>3057</v>
      </c>
      <c r="S184" s="10">
        <f t="shared" si="47"/>
        <v>0</v>
      </c>
      <c r="T184" s="4" t="s">
        <v>3057</v>
      </c>
      <c r="U184" s="10">
        <f t="shared" si="48"/>
        <v>0</v>
      </c>
      <c r="V184" s="4" t="s">
        <v>3057</v>
      </c>
      <c r="W184" s="10">
        <f t="shared" si="49"/>
        <v>0</v>
      </c>
      <c r="X184" s="4">
        <v>0</v>
      </c>
      <c r="Y184" s="10">
        <f t="shared" si="50"/>
        <v>0</v>
      </c>
      <c r="Z184" s="4" t="s">
        <v>3057</v>
      </c>
      <c r="AA184" s="10">
        <f t="shared" si="51"/>
        <v>0</v>
      </c>
      <c r="AB184" s="4" t="s">
        <v>3057</v>
      </c>
      <c r="AC184" s="10">
        <f t="shared" si="52"/>
        <v>0</v>
      </c>
      <c r="AD184" s="4">
        <v>50</v>
      </c>
      <c r="AE184" s="10">
        <f t="shared" si="53"/>
        <v>0</v>
      </c>
      <c r="AF184" s="4" t="s">
        <v>3057</v>
      </c>
      <c r="AG184" s="10">
        <f t="shared" si="54"/>
        <v>15</v>
      </c>
      <c r="AH184" s="4" t="s">
        <v>3057</v>
      </c>
      <c r="AI184" s="10">
        <f t="shared" si="55"/>
        <v>10.5</v>
      </c>
      <c r="AJ184" s="4" t="s">
        <v>3057</v>
      </c>
      <c r="AK184" s="10">
        <f t="shared" si="56"/>
        <v>7.35</v>
      </c>
      <c r="AL184" s="4" t="s">
        <v>3057</v>
      </c>
      <c r="AM184" s="10">
        <f t="shared" si="57"/>
        <v>5.1449999999999996</v>
      </c>
      <c r="AN184" s="5">
        <f t="shared" si="58"/>
        <v>5.1449999999999996</v>
      </c>
      <c r="AO184" s="6" t="str">
        <f t="shared" si="59"/>
        <v>0</v>
      </c>
    </row>
    <row r="185" spans="1:41" x14ac:dyDescent="0.25">
      <c r="A185" t="s">
        <v>2135</v>
      </c>
      <c r="B185" t="s">
        <v>2951</v>
      </c>
      <c r="C185" t="str">
        <f>_xlfn.XLOOKUP(A185,Fore!A:A,Fore!AC:AC)</f>
        <v>CY</v>
      </c>
      <c r="D185" s="4" t="s">
        <v>3057</v>
      </c>
      <c r="E185" s="10" t="str">
        <f t="shared" si="40"/>
        <v>0</v>
      </c>
      <c r="F185" s="4" t="s">
        <v>3057</v>
      </c>
      <c r="G185" s="10">
        <f t="shared" si="41"/>
        <v>0</v>
      </c>
      <c r="H185" s="4" t="s">
        <v>3057</v>
      </c>
      <c r="I185" s="10">
        <f t="shared" si="42"/>
        <v>0</v>
      </c>
      <c r="J185" s="4" t="s">
        <v>3057</v>
      </c>
      <c r="K185" s="10">
        <f t="shared" si="43"/>
        <v>0</v>
      </c>
      <c r="L185" s="4" t="s">
        <v>3057</v>
      </c>
      <c r="M185" s="10">
        <f t="shared" si="44"/>
        <v>0</v>
      </c>
      <c r="N185" s="4" t="s">
        <v>3057</v>
      </c>
      <c r="O185" s="10">
        <f t="shared" si="45"/>
        <v>0</v>
      </c>
      <c r="P185" s="4" t="s">
        <v>3057</v>
      </c>
      <c r="Q185" s="10">
        <f t="shared" si="46"/>
        <v>0</v>
      </c>
      <c r="R185" s="4" t="s">
        <v>3057</v>
      </c>
      <c r="S185" s="10">
        <f t="shared" si="47"/>
        <v>0</v>
      </c>
      <c r="T185" s="4" t="s">
        <v>3057</v>
      </c>
      <c r="U185" s="10">
        <f t="shared" si="48"/>
        <v>0</v>
      </c>
      <c r="V185" s="4" t="s">
        <v>3057</v>
      </c>
      <c r="W185" s="10">
        <f t="shared" si="49"/>
        <v>0</v>
      </c>
      <c r="X185" s="4">
        <v>0</v>
      </c>
      <c r="Y185" s="10">
        <f t="shared" si="50"/>
        <v>0</v>
      </c>
      <c r="Z185" s="4" t="s">
        <v>3057</v>
      </c>
      <c r="AA185" s="10">
        <f t="shared" si="51"/>
        <v>0</v>
      </c>
      <c r="AB185" s="4" t="s">
        <v>3057</v>
      </c>
      <c r="AC185" s="10">
        <f t="shared" si="52"/>
        <v>0</v>
      </c>
      <c r="AD185" s="4">
        <v>50</v>
      </c>
      <c r="AE185" s="10">
        <f t="shared" si="53"/>
        <v>0</v>
      </c>
      <c r="AF185" s="4" t="s">
        <v>3057</v>
      </c>
      <c r="AG185" s="10">
        <f t="shared" si="54"/>
        <v>15</v>
      </c>
      <c r="AH185" s="4" t="s">
        <v>3057</v>
      </c>
      <c r="AI185" s="10">
        <f t="shared" si="55"/>
        <v>10.5</v>
      </c>
      <c r="AJ185" s="4" t="s">
        <v>3057</v>
      </c>
      <c r="AK185" s="10">
        <f t="shared" si="56"/>
        <v>7.35</v>
      </c>
      <c r="AL185" s="4" t="s">
        <v>3057</v>
      </c>
      <c r="AM185" s="10">
        <f t="shared" si="57"/>
        <v>5.1449999999999996</v>
      </c>
      <c r="AN185" s="5">
        <f t="shared" si="58"/>
        <v>5.1449999999999996</v>
      </c>
      <c r="AO185" s="6" t="str">
        <f t="shared" si="59"/>
        <v>0</v>
      </c>
    </row>
    <row r="186" spans="1:41" x14ac:dyDescent="0.25">
      <c r="A186" t="s">
        <v>1783</v>
      </c>
      <c r="B186" t="s">
        <v>2928</v>
      </c>
      <c r="C186" t="str">
        <f>_xlfn.XLOOKUP(A186,Fore!A:A,Fore!AC:AC)</f>
        <v>CY</v>
      </c>
      <c r="D186" s="4" t="s">
        <v>3057</v>
      </c>
      <c r="E186" s="10" t="str">
        <f t="shared" si="40"/>
        <v>0</v>
      </c>
      <c r="F186" s="4" t="s">
        <v>3057</v>
      </c>
      <c r="G186" s="10">
        <f t="shared" si="41"/>
        <v>0</v>
      </c>
      <c r="H186" s="4" t="s">
        <v>3057</v>
      </c>
      <c r="I186" s="10">
        <f t="shared" si="42"/>
        <v>0</v>
      </c>
      <c r="J186" s="4" t="s">
        <v>3057</v>
      </c>
      <c r="K186" s="10">
        <f t="shared" si="43"/>
        <v>0</v>
      </c>
      <c r="L186" s="4" t="s">
        <v>3057</v>
      </c>
      <c r="M186" s="10">
        <f t="shared" si="44"/>
        <v>0</v>
      </c>
      <c r="N186" s="4" t="s">
        <v>3057</v>
      </c>
      <c r="O186" s="10">
        <f t="shared" si="45"/>
        <v>0</v>
      </c>
      <c r="P186" s="4" t="s">
        <v>3057</v>
      </c>
      <c r="Q186" s="10">
        <f t="shared" si="46"/>
        <v>0</v>
      </c>
      <c r="R186" s="4" t="s">
        <v>3057</v>
      </c>
      <c r="S186" s="10">
        <f t="shared" si="47"/>
        <v>0</v>
      </c>
      <c r="T186" s="4">
        <v>49.999999999999993</v>
      </c>
      <c r="U186" s="10">
        <f t="shared" si="48"/>
        <v>0</v>
      </c>
      <c r="V186" s="4" t="s">
        <v>3057</v>
      </c>
      <c r="W186" s="10">
        <f t="shared" si="49"/>
        <v>14.999999999999996</v>
      </c>
      <c r="X186" s="4">
        <v>0</v>
      </c>
      <c r="Y186" s="10">
        <f t="shared" si="50"/>
        <v>10.499999999999996</v>
      </c>
      <c r="Z186" s="4" t="s">
        <v>3057</v>
      </c>
      <c r="AA186" s="10">
        <f t="shared" si="51"/>
        <v>7.349999999999997</v>
      </c>
      <c r="AB186" s="4" t="s">
        <v>3057</v>
      </c>
      <c r="AC186" s="10">
        <f t="shared" si="52"/>
        <v>5.1449999999999978</v>
      </c>
      <c r="AD186" s="4" t="s">
        <v>3057</v>
      </c>
      <c r="AE186" s="10">
        <f t="shared" si="53"/>
        <v>3.6014999999999984</v>
      </c>
      <c r="AF186" s="4" t="s">
        <v>3057</v>
      </c>
      <c r="AG186" s="10">
        <f t="shared" si="54"/>
        <v>2.5210499999999989</v>
      </c>
      <c r="AH186" s="4" t="s">
        <v>3057</v>
      </c>
      <c r="AI186" s="10">
        <f t="shared" si="55"/>
        <v>1.7647349999999991</v>
      </c>
      <c r="AJ186" s="4" t="s">
        <v>3057</v>
      </c>
      <c r="AK186" s="10">
        <f t="shared" si="56"/>
        <v>1.2353144999999992</v>
      </c>
      <c r="AL186" s="4" t="s">
        <v>3057</v>
      </c>
      <c r="AM186" s="10">
        <f t="shared" si="57"/>
        <v>0.86472014999999935</v>
      </c>
      <c r="AN186" s="5">
        <f t="shared" si="58"/>
        <v>0.86472014999999935</v>
      </c>
      <c r="AO186" s="6" t="str">
        <f t="shared" si="59"/>
        <v>0</v>
      </c>
    </row>
    <row r="187" spans="1:41" x14ac:dyDescent="0.25">
      <c r="A187" t="s">
        <v>2126</v>
      </c>
      <c r="B187" t="s">
        <v>2976</v>
      </c>
      <c r="C187" t="str">
        <f>_xlfn.XLOOKUP(A187,Fore!A:A,Fore!AC:AC)</f>
        <v>CY</v>
      </c>
      <c r="D187" s="4" t="s">
        <v>3057</v>
      </c>
      <c r="E187" s="10" t="str">
        <f t="shared" si="40"/>
        <v>0</v>
      </c>
      <c r="F187" s="4" t="s">
        <v>3057</v>
      </c>
      <c r="G187" s="10">
        <f t="shared" si="41"/>
        <v>0</v>
      </c>
      <c r="H187" s="4" t="s">
        <v>3057</v>
      </c>
      <c r="I187" s="10">
        <f t="shared" si="42"/>
        <v>0</v>
      </c>
      <c r="J187" s="4" t="s">
        <v>3057</v>
      </c>
      <c r="K187" s="10">
        <f t="shared" si="43"/>
        <v>0</v>
      </c>
      <c r="L187" s="4" t="s">
        <v>3057</v>
      </c>
      <c r="M187" s="10">
        <f t="shared" si="44"/>
        <v>0</v>
      </c>
      <c r="N187" s="4" t="s">
        <v>3057</v>
      </c>
      <c r="O187" s="10">
        <f t="shared" si="45"/>
        <v>0</v>
      </c>
      <c r="P187" s="4" t="s">
        <v>3057</v>
      </c>
      <c r="Q187" s="10">
        <f t="shared" si="46"/>
        <v>0</v>
      </c>
      <c r="R187" s="4" t="s">
        <v>3057</v>
      </c>
      <c r="S187" s="10">
        <f t="shared" si="47"/>
        <v>0</v>
      </c>
      <c r="T187" s="4" t="s">
        <v>3057</v>
      </c>
      <c r="U187" s="10">
        <f t="shared" si="48"/>
        <v>0</v>
      </c>
      <c r="V187" s="4" t="s">
        <v>3057</v>
      </c>
      <c r="W187" s="10">
        <f t="shared" si="49"/>
        <v>0</v>
      </c>
      <c r="X187" s="4">
        <v>0</v>
      </c>
      <c r="Y187" s="10">
        <f t="shared" si="50"/>
        <v>0</v>
      </c>
      <c r="Z187" s="4" t="s">
        <v>3057</v>
      </c>
      <c r="AA187" s="10">
        <f t="shared" si="51"/>
        <v>0</v>
      </c>
      <c r="AB187" s="4" t="s">
        <v>3057</v>
      </c>
      <c r="AC187" s="10">
        <f t="shared" si="52"/>
        <v>0</v>
      </c>
      <c r="AD187" s="4">
        <v>49.999999999999993</v>
      </c>
      <c r="AE187" s="10">
        <f t="shared" si="53"/>
        <v>0</v>
      </c>
      <c r="AF187" s="4" t="s">
        <v>3057</v>
      </c>
      <c r="AG187" s="10">
        <f t="shared" si="54"/>
        <v>14.999999999999996</v>
      </c>
      <c r="AH187" s="4" t="s">
        <v>3057</v>
      </c>
      <c r="AI187" s="10">
        <f t="shared" si="55"/>
        <v>10.499999999999996</v>
      </c>
      <c r="AJ187" s="4" t="s">
        <v>3057</v>
      </c>
      <c r="AK187" s="10">
        <f t="shared" si="56"/>
        <v>7.349999999999997</v>
      </c>
      <c r="AL187" s="4" t="s">
        <v>3057</v>
      </c>
      <c r="AM187" s="10">
        <f t="shared" si="57"/>
        <v>5.1449999999999978</v>
      </c>
      <c r="AN187" s="5">
        <f t="shared" si="58"/>
        <v>5.1449999999999978</v>
      </c>
      <c r="AO187" s="6" t="str">
        <f t="shared" si="59"/>
        <v>0</v>
      </c>
    </row>
    <row r="188" spans="1:41" x14ac:dyDescent="0.25">
      <c r="A188" t="s">
        <v>553</v>
      </c>
      <c r="B188" t="s">
        <v>2691</v>
      </c>
      <c r="C188" t="str">
        <f>_xlfn.XLOOKUP(A188,Fore!A:A,Fore!AC:AC)</f>
        <v>CY</v>
      </c>
      <c r="D188" s="4" t="s">
        <v>3057</v>
      </c>
      <c r="E188" s="10" t="str">
        <f t="shared" si="40"/>
        <v>0</v>
      </c>
      <c r="F188" s="4" t="s">
        <v>3057</v>
      </c>
      <c r="G188" s="10">
        <f t="shared" si="41"/>
        <v>0</v>
      </c>
      <c r="H188" s="4" t="s">
        <v>3057</v>
      </c>
      <c r="I188" s="10">
        <f t="shared" si="42"/>
        <v>0</v>
      </c>
      <c r="J188" s="4">
        <v>45</v>
      </c>
      <c r="K188" s="10">
        <f t="shared" si="43"/>
        <v>0</v>
      </c>
      <c r="L188" s="4" t="s">
        <v>3057</v>
      </c>
      <c r="M188" s="10">
        <f t="shared" si="44"/>
        <v>13.5</v>
      </c>
      <c r="N188" s="4" t="s">
        <v>3057</v>
      </c>
      <c r="O188" s="10">
        <f t="shared" si="45"/>
        <v>4.05</v>
      </c>
      <c r="P188" s="4" t="s">
        <v>3057</v>
      </c>
      <c r="Q188" s="10">
        <f t="shared" si="46"/>
        <v>2.8349999999999995</v>
      </c>
      <c r="R188" s="4" t="s">
        <v>3057</v>
      </c>
      <c r="S188" s="10">
        <f t="shared" si="47"/>
        <v>1.9844999999999995</v>
      </c>
      <c r="T188" s="4" t="s">
        <v>3057</v>
      </c>
      <c r="U188" s="10">
        <f t="shared" si="48"/>
        <v>1.3891499999999997</v>
      </c>
      <c r="V188" s="4" t="s">
        <v>3057</v>
      </c>
      <c r="W188" s="10">
        <f t="shared" si="49"/>
        <v>0.97240499999999974</v>
      </c>
      <c r="X188" s="4">
        <v>0</v>
      </c>
      <c r="Y188" s="10">
        <f t="shared" si="50"/>
        <v>0.68068349999999977</v>
      </c>
      <c r="Z188" s="4" t="s">
        <v>3057</v>
      </c>
      <c r="AA188" s="10">
        <f t="shared" si="51"/>
        <v>0.47647844999999983</v>
      </c>
      <c r="AB188" s="4" t="s">
        <v>3057</v>
      </c>
      <c r="AC188" s="10">
        <f t="shared" si="52"/>
        <v>0.33353491499999988</v>
      </c>
      <c r="AD188" s="4" t="s">
        <v>3057</v>
      </c>
      <c r="AE188" s="10">
        <f t="shared" si="53"/>
        <v>0.23347444049999991</v>
      </c>
      <c r="AF188" s="4" t="s">
        <v>3057</v>
      </c>
      <c r="AG188" s="10">
        <f t="shared" si="54"/>
        <v>0.16343210834999994</v>
      </c>
      <c r="AH188" s="4" t="s">
        <v>3057</v>
      </c>
      <c r="AI188" s="10">
        <f t="shared" si="55"/>
        <v>0.11440247584499995</v>
      </c>
      <c r="AJ188" s="4" t="s">
        <v>3057</v>
      </c>
      <c r="AK188" s="10">
        <f t="shared" si="56"/>
        <v>8.0081733091499963E-2</v>
      </c>
      <c r="AL188" s="4" t="s">
        <v>3057</v>
      </c>
      <c r="AM188" s="10">
        <f t="shared" si="57"/>
        <v>5.605721316404997E-2</v>
      </c>
      <c r="AN188" s="5">
        <f t="shared" si="58"/>
        <v>5.605721316404997E-2</v>
      </c>
      <c r="AO188" s="6" t="str">
        <f t="shared" si="59"/>
        <v>0</v>
      </c>
    </row>
    <row r="189" spans="1:41" x14ac:dyDescent="0.25">
      <c r="A189" t="s">
        <v>1087</v>
      </c>
      <c r="B189" t="s">
        <v>2672</v>
      </c>
      <c r="C189" t="str">
        <f>_xlfn.XLOOKUP(A189,Fore!A:A,Fore!AC:AC)</f>
        <v>CY</v>
      </c>
      <c r="D189" s="4" t="s">
        <v>3057</v>
      </c>
      <c r="E189" s="10" t="str">
        <f t="shared" si="40"/>
        <v>0</v>
      </c>
      <c r="F189" s="4" t="s">
        <v>3057</v>
      </c>
      <c r="G189" s="10">
        <f t="shared" si="41"/>
        <v>0</v>
      </c>
      <c r="H189" s="4" t="s">
        <v>3057</v>
      </c>
      <c r="I189" s="10">
        <f t="shared" si="42"/>
        <v>0</v>
      </c>
      <c r="J189" s="4">
        <v>6</v>
      </c>
      <c r="K189" s="10">
        <f t="shared" si="43"/>
        <v>0</v>
      </c>
      <c r="L189" s="4" t="s">
        <v>3057</v>
      </c>
      <c r="M189" s="10">
        <f t="shared" si="44"/>
        <v>1.7999999999999998</v>
      </c>
      <c r="N189" s="4">
        <v>8</v>
      </c>
      <c r="O189" s="10">
        <f t="shared" si="45"/>
        <v>0.53999999999999992</v>
      </c>
      <c r="P189" s="4" t="s">
        <v>3057</v>
      </c>
      <c r="Q189" s="10">
        <f t="shared" si="46"/>
        <v>2.778</v>
      </c>
      <c r="R189" s="4" t="s">
        <v>3057</v>
      </c>
      <c r="S189" s="10">
        <f t="shared" si="47"/>
        <v>1.9445999999999999</v>
      </c>
      <c r="T189" s="4" t="s">
        <v>3057</v>
      </c>
      <c r="U189" s="10">
        <f t="shared" si="48"/>
        <v>1.3612199999999999</v>
      </c>
      <c r="V189" s="4" t="s">
        <v>3057</v>
      </c>
      <c r="W189" s="10">
        <f t="shared" si="49"/>
        <v>0.95285399999999987</v>
      </c>
      <c r="X189" s="4">
        <v>0</v>
      </c>
      <c r="Y189" s="10">
        <f t="shared" si="50"/>
        <v>0.66699779999999986</v>
      </c>
      <c r="Z189" s="4" t="s">
        <v>3057</v>
      </c>
      <c r="AA189" s="10">
        <f t="shared" si="51"/>
        <v>0.46689845999999985</v>
      </c>
      <c r="AB189" s="4" t="s">
        <v>3057</v>
      </c>
      <c r="AC189" s="10">
        <f t="shared" si="52"/>
        <v>0.32682892199999986</v>
      </c>
      <c r="AD189" s="4">
        <v>10</v>
      </c>
      <c r="AE189" s="10">
        <f t="shared" si="53"/>
        <v>0.22878024539999989</v>
      </c>
      <c r="AF189" s="4" t="s">
        <v>3057</v>
      </c>
      <c r="AG189" s="10">
        <f t="shared" si="54"/>
        <v>3.1601461717800001</v>
      </c>
      <c r="AH189" s="4">
        <v>20</v>
      </c>
      <c r="AI189" s="10">
        <f t="shared" si="55"/>
        <v>2.2121023202459997</v>
      </c>
      <c r="AJ189" s="4" t="s">
        <v>3057</v>
      </c>
      <c r="AK189" s="10">
        <f t="shared" si="56"/>
        <v>7.5484716241721994</v>
      </c>
      <c r="AL189" s="4" t="s">
        <v>3057</v>
      </c>
      <c r="AM189" s="10">
        <f t="shared" si="57"/>
        <v>5.2839301369205396</v>
      </c>
      <c r="AN189" s="5">
        <f t="shared" si="58"/>
        <v>5.2839301369205396</v>
      </c>
      <c r="AO189" s="6" t="str">
        <f t="shared" si="59"/>
        <v>0</v>
      </c>
    </row>
    <row r="190" spans="1:41" x14ac:dyDescent="0.25">
      <c r="A190" t="s">
        <v>469</v>
      </c>
      <c r="B190" t="s">
        <v>2694</v>
      </c>
      <c r="C190" t="str">
        <f>_xlfn.XLOOKUP(A190,Fore!A:A,Fore!AC:AC)</f>
        <v>CY</v>
      </c>
      <c r="D190" s="4" t="s">
        <v>3057</v>
      </c>
      <c r="E190" s="10" t="str">
        <f t="shared" si="40"/>
        <v>0</v>
      </c>
      <c r="F190" s="4" t="s">
        <v>3057</v>
      </c>
      <c r="G190" s="10">
        <f t="shared" si="41"/>
        <v>0</v>
      </c>
      <c r="H190" s="4" t="s">
        <v>3057</v>
      </c>
      <c r="I190" s="10">
        <f t="shared" si="42"/>
        <v>0</v>
      </c>
      <c r="J190" s="4" t="s">
        <v>3057</v>
      </c>
      <c r="K190" s="10">
        <f t="shared" si="43"/>
        <v>0</v>
      </c>
      <c r="L190" s="4">
        <v>6</v>
      </c>
      <c r="M190" s="10">
        <f t="shared" si="44"/>
        <v>0</v>
      </c>
      <c r="N190" s="4">
        <v>4</v>
      </c>
      <c r="O190" s="10">
        <f t="shared" si="45"/>
        <v>4.1999999999999993</v>
      </c>
      <c r="P190" s="4" t="s">
        <v>3057</v>
      </c>
      <c r="Q190" s="10">
        <f t="shared" si="46"/>
        <v>4.1399999999999997</v>
      </c>
      <c r="R190" s="4">
        <v>0.33339999999999997</v>
      </c>
      <c r="S190" s="10">
        <f t="shared" si="47"/>
        <v>2.8979999999999997</v>
      </c>
      <c r="T190" s="4">
        <v>14.555400000000001</v>
      </c>
      <c r="U190" s="10">
        <f t="shared" si="48"/>
        <v>2.1286199999999993</v>
      </c>
      <c r="V190" s="4" t="s">
        <v>3057</v>
      </c>
      <c r="W190" s="10">
        <f t="shared" si="49"/>
        <v>5.8566539999999998</v>
      </c>
      <c r="X190" s="4">
        <v>0</v>
      </c>
      <c r="Y190" s="10">
        <f t="shared" si="50"/>
        <v>4.0996577999999992</v>
      </c>
      <c r="Z190" s="4" t="s">
        <v>3057</v>
      </c>
      <c r="AA190" s="10">
        <f t="shared" si="51"/>
        <v>2.8697604599999993</v>
      </c>
      <c r="AB190" s="4" t="s">
        <v>3057</v>
      </c>
      <c r="AC190" s="10">
        <f t="shared" si="52"/>
        <v>2.0088323219999995</v>
      </c>
      <c r="AD190" s="4" t="s">
        <v>3057</v>
      </c>
      <c r="AE190" s="10">
        <f t="shared" si="53"/>
        <v>1.4061826253999996</v>
      </c>
      <c r="AF190" s="4" t="s">
        <v>3057</v>
      </c>
      <c r="AG190" s="10">
        <f t="shared" si="54"/>
        <v>0.98432783777999966</v>
      </c>
      <c r="AH190" s="4">
        <v>9</v>
      </c>
      <c r="AI190" s="10">
        <f t="shared" si="55"/>
        <v>0.68902948644599971</v>
      </c>
      <c r="AJ190" s="4" t="s">
        <v>3057</v>
      </c>
      <c r="AK190" s="10">
        <f t="shared" si="56"/>
        <v>3.1823206405121995</v>
      </c>
      <c r="AL190" s="4">
        <v>7</v>
      </c>
      <c r="AM190" s="10">
        <f t="shared" si="57"/>
        <v>2.2276244483585397</v>
      </c>
      <c r="AN190" s="5">
        <f t="shared" si="58"/>
        <v>4.7723755516414599</v>
      </c>
      <c r="AO190" s="6">
        <f t="shared" si="59"/>
        <v>0.68176793594877994</v>
      </c>
    </row>
    <row r="191" spans="1:41" x14ac:dyDescent="0.25">
      <c r="A191" t="s">
        <v>1624</v>
      </c>
      <c r="B191" t="s">
        <v>2991</v>
      </c>
      <c r="C191" t="str">
        <f>_xlfn.XLOOKUP(A191,Fore!A:A,Fore!AC:AC)</f>
        <v>CY</v>
      </c>
      <c r="D191" s="4" t="s">
        <v>3057</v>
      </c>
      <c r="E191" s="10" t="str">
        <f t="shared" si="40"/>
        <v>0</v>
      </c>
      <c r="F191" s="4" t="s">
        <v>3057</v>
      </c>
      <c r="G191" s="10">
        <f t="shared" si="41"/>
        <v>0</v>
      </c>
      <c r="H191" s="4" t="s">
        <v>3057</v>
      </c>
      <c r="I191" s="10">
        <f t="shared" si="42"/>
        <v>0</v>
      </c>
      <c r="J191" s="4" t="s">
        <v>3057</v>
      </c>
      <c r="K191" s="10">
        <f t="shared" si="43"/>
        <v>0</v>
      </c>
      <c r="L191" s="4" t="s">
        <v>3057</v>
      </c>
      <c r="M191" s="10">
        <f t="shared" si="44"/>
        <v>0</v>
      </c>
      <c r="N191" s="4" t="s">
        <v>3057</v>
      </c>
      <c r="O191" s="10">
        <f t="shared" si="45"/>
        <v>0</v>
      </c>
      <c r="P191" s="4">
        <v>10</v>
      </c>
      <c r="Q191" s="10">
        <f t="shared" si="46"/>
        <v>0</v>
      </c>
      <c r="R191" s="4">
        <v>3</v>
      </c>
      <c r="S191" s="10">
        <f t="shared" si="47"/>
        <v>3</v>
      </c>
      <c r="T191" s="4">
        <v>2</v>
      </c>
      <c r="U191" s="10">
        <f t="shared" si="48"/>
        <v>2.9999999999999996</v>
      </c>
      <c r="V191" s="4">
        <v>15</v>
      </c>
      <c r="W191" s="10">
        <f t="shared" si="49"/>
        <v>2.6999999999999997</v>
      </c>
      <c r="X191" s="4">
        <v>0</v>
      </c>
      <c r="Y191" s="10">
        <f t="shared" si="50"/>
        <v>6.39</v>
      </c>
      <c r="Z191" s="4" t="s">
        <v>3057</v>
      </c>
      <c r="AA191" s="10">
        <f t="shared" si="51"/>
        <v>4.4729999999999999</v>
      </c>
      <c r="AB191" s="4" t="s">
        <v>3057</v>
      </c>
      <c r="AC191" s="10">
        <f t="shared" si="52"/>
        <v>3.1310999999999996</v>
      </c>
      <c r="AD191" s="4">
        <v>10</v>
      </c>
      <c r="AE191" s="10">
        <f t="shared" si="53"/>
        <v>2.1917699999999996</v>
      </c>
      <c r="AF191" s="4" t="s">
        <v>3057</v>
      </c>
      <c r="AG191" s="10">
        <f t="shared" si="54"/>
        <v>4.5342389999999995</v>
      </c>
      <c r="AH191" s="4" t="s">
        <v>3057</v>
      </c>
      <c r="AI191" s="10">
        <f t="shared" si="55"/>
        <v>3.1739672999999993</v>
      </c>
      <c r="AJ191" s="4" t="s">
        <v>3057</v>
      </c>
      <c r="AK191" s="10">
        <f t="shared" si="56"/>
        <v>2.2217771099999992</v>
      </c>
      <c r="AL191" s="4" t="s">
        <v>3057</v>
      </c>
      <c r="AM191" s="10">
        <f t="shared" si="57"/>
        <v>1.5552439769999993</v>
      </c>
      <c r="AN191" s="5">
        <f t="shared" si="58"/>
        <v>1.5552439769999993</v>
      </c>
      <c r="AO191" s="6" t="str">
        <f t="shared" si="59"/>
        <v>0</v>
      </c>
    </row>
    <row r="192" spans="1:41" x14ac:dyDescent="0.25">
      <c r="A192" t="s">
        <v>680</v>
      </c>
      <c r="B192" t="s">
        <v>2735</v>
      </c>
      <c r="C192" t="str">
        <f>_xlfn.XLOOKUP(A192,Fore!A:A,Fore!AC:AC)</f>
        <v>CY</v>
      </c>
      <c r="D192" s="4" t="s">
        <v>3057</v>
      </c>
      <c r="E192" s="10" t="str">
        <f t="shared" si="40"/>
        <v>0</v>
      </c>
      <c r="F192" s="4" t="s">
        <v>3057</v>
      </c>
      <c r="G192" s="10">
        <f t="shared" si="41"/>
        <v>0</v>
      </c>
      <c r="H192" s="4" t="s">
        <v>3057</v>
      </c>
      <c r="I192" s="10">
        <f t="shared" si="42"/>
        <v>0</v>
      </c>
      <c r="J192" s="4" t="s">
        <v>3057</v>
      </c>
      <c r="K192" s="10">
        <f t="shared" si="43"/>
        <v>0</v>
      </c>
      <c r="L192" s="4" t="s">
        <v>3057</v>
      </c>
      <c r="M192" s="10">
        <f t="shared" si="44"/>
        <v>0</v>
      </c>
      <c r="N192" s="4" t="s">
        <v>3057</v>
      </c>
      <c r="O192" s="10">
        <f t="shared" si="45"/>
        <v>0</v>
      </c>
      <c r="P192" s="4" t="s">
        <v>3057</v>
      </c>
      <c r="Q192" s="10">
        <f t="shared" si="46"/>
        <v>0</v>
      </c>
      <c r="R192" s="4">
        <v>13</v>
      </c>
      <c r="S192" s="10">
        <f t="shared" si="47"/>
        <v>0</v>
      </c>
      <c r="T192" s="4">
        <v>6.9999999999999964</v>
      </c>
      <c r="U192" s="10">
        <f t="shared" si="48"/>
        <v>3.9</v>
      </c>
      <c r="V192" s="4" t="s">
        <v>3057</v>
      </c>
      <c r="W192" s="10">
        <f t="shared" si="49"/>
        <v>4.8299999999999983</v>
      </c>
      <c r="X192" s="4">
        <v>0</v>
      </c>
      <c r="Y192" s="10">
        <f t="shared" si="50"/>
        <v>3.3809999999999985</v>
      </c>
      <c r="Z192" s="4" t="s">
        <v>3057</v>
      </c>
      <c r="AA192" s="10">
        <f t="shared" si="51"/>
        <v>2.3666999999999989</v>
      </c>
      <c r="AB192" s="4" t="s">
        <v>3057</v>
      </c>
      <c r="AC192" s="10">
        <f t="shared" si="52"/>
        <v>1.6566899999999991</v>
      </c>
      <c r="AD192" s="4">
        <v>10</v>
      </c>
      <c r="AE192" s="10">
        <f t="shared" si="53"/>
        <v>1.1596829999999994</v>
      </c>
      <c r="AF192" s="4" t="s">
        <v>3057</v>
      </c>
      <c r="AG192" s="10">
        <f t="shared" si="54"/>
        <v>3.8117780999999997</v>
      </c>
      <c r="AH192" s="4" t="s">
        <v>3057</v>
      </c>
      <c r="AI192" s="10">
        <f t="shared" si="55"/>
        <v>2.6682446699999995</v>
      </c>
      <c r="AJ192" s="4">
        <v>9</v>
      </c>
      <c r="AK192" s="10">
        <f t="shared" si="56"/>
        <v>1.8677712689999995</v>
      </c>
      <c r="AL192" s="4" t="s">
        <v>3057</v>
      </c>
      <c r="AM192" s="10">
        <f t="shared" si="57"/>
        <v>4.0074398882999995</v>
      </c>
      <c r="AN192" s="5">
        <f t="shared" si="58"/>
        <v>4.0074398882999995</v>
      </c>
      <c r="AO192" s="6" t="str">
        <f t="shared" si="59"/>
        <v>0</v>
      </c>
    </row>
    <row r="193" spans="1:41" x14ac:dyDescent="0.25">
      <c r="A193" t="s">
        <v>1346</v>
      </c>
      <c r="B193" t="s">
        <v>2820</v>
      </c>
      <c r="C193" t="str">
        <f>_xlfn.XLOOKUP(A193,Fore!A:A,Fore!AC:AC)</f>
        <v>CX</v>
      </c>
      <c r="D193" s="4" t="s">
        <v>3057</v>
      </c>
      <c r="E193" s="10" t="str">
        <f t="shared" si="40"/>
        <v>0</v>
      </c>
      <c r="F193" s="4" t="s">
        <v>3057</v>
      </c>
      <c r="G193" s="10">
        <f t="shared" si="41"/>
        <v>0</v>
      </c>
      <c r="H193" s="4" t="s">
        <v>3057</v>
      </c>
      <c r="I193" s="10">
        <f t="shared" si="42"/>
        <v>0</v>
      </c>
      <c r="J193" s="4" t="s">
        <v>3057</v>
      </c>
      <c r="K193" s="10">
        <f t="shared" si="43"/>
        <v>0</v>
      </c>
      <c r="L193" s="4">
        <v>7</v>
      </c>
      <c r="M193" s="10">
        <f t="shared" si="44"/>
        <v>0</v>
      </c>
      <c r="N193" s="4">
        <v>2</v>
      </c>
      <c r="O193" s="10">
        <f t="shared" si="45"/>
        <v>4.8999999999999995</v>
      </c>
      <c r="P193" s="4" t="s">
        <v>3057</v>
      </c>
      <c r="Q193" s="10">
        <f t="shared" si="46"/>
        <v>4.0299999999999994</v>
      </c>
      <c r="R193" s="4">
        <v>6</v>
      </c>
      <c r="S193" s="10">
        <f t="shared" si="47"/>
        <v>2.8209999999999993</v>
      </c>
      <c r="T193" s="4">
        <v>4.0000000000000009</v>
      </c>
      <c r="U193" s="10">
        <f t="shared" si="48"/>
        <v>3.7746999999999993</v>
      </c>
      <c r="V193" s="4">
        <v>6</v>
      </c>
      <c r="W193" s="10">
        <f t="shared" si="49"/>
        <v>3.8422899999999993</v>
      </c>
      <c r="X193" s="4">
        <v>1</v>
      </c>
      <c r="Y193" s="10">
        <f t="shared" si="50"/>
        <v>4.4896029999999989</v>
      </c>
      <c r="Z193" s="4" t="s">
        <v>3057</v>
      </c>
      <c r="AA193" s="10">
        <f t="shared" si="51"/>
        <v>3.4427220999999988</v>
      </c>
      <c r="AB193" s="4" t="s">
        <v>3057</v>
      </c>
      <c r="AC193" s="10">
        <f t="shared" si="52"/>
        <v>2.4099054699999991</v>
      </c>
      <c r="AD193" s="4" t="s">
        <v>3057</v>
      </c>
      <c r="AE193" s="10">
        <f t="shared" si="53"/>
        <v>1.6869338289999993</v>
      </c>
      <c r="AF193" s="4">
        <v>7.9999999999999991</v>
      </c>
      <c r="AG193" s="10">
        <f t="shared" si="54"/>
        <v>1.1808536802999994</v>
      </c>
      <c r="AH193" s="4">
        <v>4</v>
      </c>
      <c r="AI193" s="10">
        <f t="shared" si="55"/>
        <v>3.2265975762099988</v>
      </c>
      <c r="AJ193" s="4" t="s">
        <v>3057</v>
      </c>
      <c r="AK193" s="10">
        <f t="shared" si="56"/>
        <v>3.4586183033469986</v>
      </c>
      <c r="AL193" s="4" t="s">
        <v>3057</v>
      </c>
      <c r="AM193" s="10">
        <f t="shared" si="57"/>
        <v>2.421032812342899</v>
      </c>
      <c r="AN193" s="5">
        <f t="shared" si="58"/>
        <v>2.421032812342899</v>
      </c>
      <c r="AO193" s="6" t="str">
        <f t="shared" si="59"/>
        <v>0</v>
      </c>
    </row>
    <row r="194" spans="1:41" x14ac:dyDescent="0.25">
      <c r="A194" t="s">
        <v>1350</v>
      </c>
      <c r="B194" t="s">
        <v>2880</v>
      </c>
      <c r="C194" t="str">
        <f>_xlfn.XLOOKUP(A194,Fore!A:A,Fore!AC:AC)</f>
        <v>CY</v>
      </c>
      <c r="D194" s="4" t="s">
        <v>3057</v>
      </c>
      <c r="E194" s="10" t="str">
        <f t="shared" si="40"/>
        <v>0</v>
      </c>
      <c r="F194" s="4" t="s">
        <v>3057</v>
      </c>
      <c r="G194" s="10">
        <f t="shared" si="41"/>
        <v>0</v>
      </c>
      <c r="H194" s="4" t="s">
        <v>3057</v>
      </c>
      <c r="I194" s="10">
        <f t="shared" si="42"/>
        <v>0</v>
      </c>
      <c r="J194" s="4" t="s">
        <v>3057</v>
      </c>
      <c r="K194" s="10">
        <f t="shared" si="43"/>
        <v>0</v>
      </c>
      <c r="L194" s="4">
        <v>10</v>
      </c>
      <c r="M194" s="10">
        <f t="shared" si="44"/>
        <v>0</v>
      </c>
      <c r="N194" s="4" t="s">
        <v>3057</v>
      </c>
      <c r="O194" s="10">
        <f t="shared" si="45"/>
        <v>7</v>
      </c>
      <c r="P194" s="4">
        <v>20.000000000000004</v>
      </c>
      <c r="Q194" s="10">
        <f t="shared" si="46"/>
        <v>4.8999999999999995</v>
      </c>
      <c r="R194" s="4">
        <v>7.2</v>
      </c>
      <c r="S194" s="10">
        <f t="shared" si="47"/>
        <v>9.43</v>
      </c>
      <c r="T194" s="4" t="s">
        <v>3057</v>
      </c>
      <c r="U194" s="10">
        <f t="shared" si="48"/>
        <v>8.7609999999999992</v>
      </c>
      <c r="V194" s="4" t="s">
        <v>3057</v>
      </c>
      <c r="W194" s="10">
        <f t="shared" si="49"/>
        <v>6.1326999999999989</v>
      </c>
      <c r="X194" s="4">
        <v>0</v>
      </c>
      <c r="Y194" s="10">
        <f t="shared" si="50"/>
        <v>4.292889999999999</v>
      </c>
      <c r="Z194" s="4" t="s">
        <v>3057</v>
      </c>
      <c r="AA194" s="10">
        <f t="shared" si="51"/>
        <v>3.0050229999999991</v>
      </c>
      <c r="AB194" s="4" t="s">
        <v>3057</v>
      </c>
      <c r="AC194" s="10">
        <f t="shared" si="52"/>
        <v>2.1035160999999993</v>
      </c>
      <c r="AD194" s="4" t="s">
        <v>3057</v>
      </c>
      <c r="AE194" s="10">
        <f t="shared" si="53"/>
        <v>1.4724612699999995</v>
      </c>
      <c r="AF194" s="4" t="s">
        <v>3057</v>
      </c>
      <c r="AG194" s="10">
        <f t="shared" si="54"/>
        <v>1.0307228889999995</v>
      </c>
      <c r="AH194" s="4" t="s">
        <v>3057</v>
      </c>
      <c r="AI194" s="10">
        <f t="shared" si="55"/>
        <v>0.72150602229999961</v>
      </c>
      <c r="AJ194" s="4" t="s">
        <v>3057</v>
      </c>
      <c r="AK194" s="10">
        <f t="shared" si="56"/>
        <v>0.50505421560999975</v>
      </c>
      <c r="AL194" s="4" t="s">
        <v>3057</v>
      </c>
      <c r="AM194" s="10">
        <f t="shared" si="57"/>
        <v>0.3535379509269998</v>
      </c>
      <c r="AN194" s="5">
        <f t="shared" si="58"/>
        <v>0.3535379509269998</v>
      </c>
      <c r="AO194" s="6" t="str">
        <f t="shared" si="59"/>
        <v>0</v>
      </c>
    </row>
    <row r="195" spans="1:41" x14ac:dyDescent="0.25">
      <c r="A195" t="s">
        <v>1628</v>
      </c>
      <c r="B195" t="s">
        <v>2765</v>
      </c>
      <c r="C195" t="str">
        <f>_xlfn.XLOOKUP(A195,Fore!A:A,Fore!AC:AC)</f>
        <v>CY</v>
      </c>
      <c r="D195" s="4" t="s">
        <v>3057</v>
      </c>
      <c r="E195" s="10" t="str">
        <f t="shared" si="40"/>
        <v>0</v>
      </c>
      <c r="F195" s="4" t="s">
        <v>3057</v>
      </c>
      <c r="G195" s="10">
        <f t="shared" si="41"/>
        <v>0</v>
      </c>
      <c r="H195" s="4" t="s">
        <v>3057</v>
      </c>
      <c r="I195" s="10">
        <f t="shared" si="42"/>
        <v>0</v>
      </c>
      <c r="J195" s="4" t="s">
        <v>3057</v>
      </c>
      <c r="K195" s="10">
        <f t="shared" si="43"/>
        <v>0</v>
      </c>
      <c r="L195" s="4" t="s">
        <v>3057</v>
      </c>
      <c r="M195" s="10">
        <f t="shared" si="44"/>
        <v>0</v>
      </c>
      <c r="N195" s="4" t="s">
        <v>3057</v>
      </c>
      <c r="O195" s="10">
        <f t="shared" si="45"/>
        <v>0</v>
      </c>
      <c r="P195" s="4">
        <v>5</v>
      </c>
      <c r="Q195" s="10">
        <f t="shared" si="46"/>
        <v>0</v>
      </c>
      <c r="R195" s="4" t="s">
        <v>3057</v>
      </c>
      <c r="S195" s="10">
        <f t="shared" si="47"/>
        <v>1.5</v>
      </c>
      <c r="T195" s="4" t="s">
        <v>3057</v>
      </c>
      <c r="U195" s="10">
        <f t="shared" si="48"/>
        <v>1.0499999999999998</v>
      </c>
      <c r="V195" s="4" t="s">
        <v>3057</v>
      </c>
      <c r="W195" s="10">
        <f t="shared" si="49"/>
        <v>0.73499999999999988</v>
      </c>
      <c r="X195" s="4">
        <v>10</v>
      </c>
      <c r="Y195" s="10">
        <f t="shared" si="50"/>
        <v>0.51449999999999985</v>
      </c>
      <c r="Z195" s="4" t="s">
        <v>3057</v>
      </c>
      <c r="AA195" s="10">
        <f t="shared" si="51"/>
        <v>3.36015</v>
      </c>
      <c r="AB195" s="4">
        <v>5</v>
      </c>
      <c r="AC195" s="10">
        <f t="shared" si="52"/>
        <v>2.3521049999999999</v>
      </c>
      <c r="AD195" s="4">
        <v>13.96</v>
      </c>
      <c r="AE195" s="10">
        <f t="shared" si="53"/>
        <v>3.1464734999999999</v>
      </c>
      <c r="AF195" s="4" t="s">
        <v>3057</v>
      </c>
      <c r="AG195" s="10">
        <f t="shared" si="54"/>
        <v>6.3905314499999992</v>
      </c>
      <c r="AH195" s="4" t="s">
        <v>3057</v>
      </c>
      <c r="AI195" s="10">
        <f t="shared" si="55"/>
        <v>4.4733720149999989</v>
      </c>
      <c r="AJ195" s="4" t="s">
        <v>3057</v>
      </c>
      <c r="AK195" s="10">
        <f t="shared" si="56"/>
        <v>3.1313604104999992</v>
      </c>
      <c r="AL195" s="4">
        <v>3</v>
      </c>
      <c r="AM195" s="10">
        <f t="shared" si="57"/>
        <v>2.1919522873499995</v>
      </c>
      <c r="AN195" s="5">
        <f t="shared" si="58"/>
        <v>0.80804771265000053</v>
      </c>
      <c r="AO195" s="6">
        <f t="shared" si="59"/>
        <v>0.26934923755000018</v>
      </c>
    </row>
    <row r="196" spans="1:41" x14ac:dyDescent="0.25">
      <c r="A196" t="s">
        <v>951</v>
      </c>
      <c r="B196" t="s">
        <v>2645</v>
      </c>
      <c r="C196" t="str">
        <f>_xlfn.XLOOKUP(A196,Fore!A:A,Fore!AC:AC)</f>
        <v>CY</v>
      </c>
      <c r="D196" s="4" t="s">
        <v>3057</v>
      </c>
      <c r="E196" s="10" t="str">
        <f t="shared" ref="E196:E259" si="60">D196</f>
        <v>0</v>
      </c>
      <c r="F196" s="4" t="s">
        <v>3057</v>
      </c>
      <c r="G196" s="10">
        <f t="shared" ref="G196:G259" si="61">$C$1*D196+(1-$C$1)*E196</f>
        <v>0</v>
      </c>
      <c r="H196" s="4" t="s">
        <v>3057</v>
      </c>
      <c r="I196" s="10">
        <f t="shared" ref="I196:I259" si="62">$C$1*F196+(1-$C$1)*G196</f>
        <v>0</v>
      </c>
      <c r="J196" s="4" t="s">
        <v>3057</v>
      </c>
      <c r="K196" s="10">
        <f t="shared" ref="K196:K259" si="63">$C$1*H196+(1-$C$1)*I196</f>
        <v>0</v>
      </c>
      <c r="L196" s="4" t="s">
        <v>3057</v>
      </c>
      <c r="M196" s="10">
        <f t="shared" ref="M196:M259" si="64">$C$1*J196+(1-$C$1)*K196</f>
        <v>0</v>
      </c>
      <c r="N196" s="4" t="s">
        <v>3057</v>
      </c>
      <c r="O196" s="10">
        <f t="shared" ref="O196:O259" si="65">$C$1*M196+(1-$C$1)*L196</f>
        <v>0</v>
      </c>
      <c r="P196" s="4" t="s">
        <v>3057</v>
      </c>
      <c r="Q196" s="10">
        <f t="shared" ref="Q196:Q259" si="66">$C$1*N196+(1-$C$1)*O196</f>
        <v>0</v>
      </c>
      <c r="R196" s="4">
        <v>10</v>
      </c>
      <c r="S196" s="10">
        <f t="shared" ref="S196:S259" si="67">$C$1*P196+(1-$C$1)*Q196</f>
        <v>0</v>
      </c>
      <c r="T196" s="4" t="s">
        <v>3057</v>
      </c>
      <c r="U196" s="10">
        <f t="shared" ref="U196:U259" si="68">$C$1*R196+(1-$C$1)*S196</f>
        <v>3</v>
      </c>
      <c r="V196" s="4" t="s">
        <v>3057</v>
      </c>
      <c r="W196" s="10">
        <f t="shared" ref="W196:W259" si="69">$C$1*T196+(1-$C$1)*U196</f>
        <v>2.0999999999999996</v>
      </c>
      <c r="X196" s="4">
        <v>0</v>
      </c>
      <c r="Y196" s="10">
        <f t="shared" ref="Y196:Y259" si="70">$C$1*V196+(1-$C$1)*W196</f>
        <v>1.4699999999999998</v>
      </c>
      <c r="Z196" s="4" t="s">
        <v>3057</v>
      </c>
      <c r="AA196" s="10">
        <f t="shared" ref="AA196:AA259" si="71">$C$1*X196+(1-$C$1)*Y196</f>
        <v>1.0289999999999997</v>
      </c>
      <c r="AB196" s="4" t="s">
        <v>3057</v>
      </c>
      <c r="AC196" s="10">
        <f t="shared" ref="AC196:AC259" si="72">$C$1*Z196+(1-$C$1)*AA196</f>
        <v>0.72029999999999972</v>
      </c>
      <c r="AD196" s="4" t="s">
        <v>3057</v>
      </c>
      <c r="AE196" s="10">
        <f t="shared" ref="AE196:AE259" si="73">$C$1*AB196+(1-$C$1)*AC196</f>
        <v>0.50420999999999982</v>
      </c>
      <c r="AF196" s="4" t="s">
        <v>3057</v>
      </c>
      <c r="AG196" s="10">
        <f t="shared" ref="AG196:AG259" si="74">$C$1*AD196+(1-$C$1)*AE196</f>
        <v>0.35294699999999984</v>
      </c>
      <c r="AH196" s="4" t="s">
        <v>3057</v>
      </c>
      <c r="AI196" s="10">
        <f t="shared" ref="AI196:AI259" si="75">$C$1*AF196+(1-$C$1)*AG196</f>
        <v>0.24706289999999986</v>
      </c>
      <c r="AJ196" s="4">
        <v>26</v>
      </c>
      <c r="AK196" s="10">
        <f t="shared" ref="AK196:AK259" si="76">$C$1*AH196+(1-$C$1)*AI196</f>
        <v>0.17294402999999989</v>
      </c>
      <c r="AL196" s="4" t="s">
        <v>3057</v>
      </c>
      <c r="AM196" s="10">
        <f t="shared" ref="AM196:AM259" si="77">$C$1*AJ196+(1-$C$1)*AK196</f>
        <v>7.9210608209999993</v>
      </c>
      <c r="AN196" s="5">
        <f t="shared" ref="AN196:AN259" si="78">ABS(AL196-AM196)</f>
        <v>7.9210608209999993</v>
      </c>
      <c r="AO196" s="6" t="str">
        <f t="shared" ref="AO196:AO259" si="79">IFERROR(ABS((AL196-AM196)/AL196),"0")</f>
        <v>0</v>
      </c>
    </row>
    <row r="197" spans="1:41" x14ac:dyDescent="0.25">
      <c r="A197" t="s">
        <v>1354</v>
      </c>
      <c r="B197" t="s">
        <v>2803</v>
      </c>
      <c r="C197" t="str">
        <f>_xlfn.XLOOKUP(A197,Fore!A:A,Fore!AC:AC)</f>
        <v>CZ</v>
      </c>
      <c r="D197" s="4" t="s">
        <v>3057</v>
      </c>
      <c r="E197" s="10" t="str">
        <f t="shared" si="60"/>
        <v>0</v>
      </c>
      <c r="F197" s="4" t="s">
        <v>3057</v>
      </c>
      <c r="G197" s="10">
        <f t="shared" si="61"/>
        <v>0</v>
      </c>
      <c r="H197" s="4" t="s">
        <v>3057</v>
      </c>
      <c r="I197" s="10">
        <f t="shared" si="62"/>
        <v>0</v>
      </c>
      <c r="J197" s="4" t="s">
        <v>3057</v>
      </c>
      <c r="K197" s="10">
        <f t="shared" si="63"/>
        <v>0</v>
      </c>
      <c r="L197" s="4">
        <v>1</v>
      </c>
      <c r="M197" s="10">
        <f t="shared" si="64"/>
        <v>0</v>
      </c>
      <c r="N197" s="4" t="s">
        <v>3057</v>
      </c>
      <c r="O197" s="10">
        <f t="shared" si="65"/>
        <v>0.7</v>
      </c>
      <c r="P197" s="4" t="s">
        <v>3057</v>
      </c>
      <c r="Q197" s="10">
        <f t="shared" si="66"/>
        <v>0.48999999999999994</v>
      </c>
      <c r="R197" s="4">
        <v>3.0024000000000006</v>
      </c>
      <c r="S197" s="10">
        <f t="shared" si="67"/>
        <v>0.34299999999999992</v>
      </c>
      <c r="T197" s="4" t="s">
        <v>3057</v>
      </c>
      <c r="U197" s="10">
        <f t="shared" si="68"/>
        <v>1.1408200000000002</v>
      </c>
      <c r="V197" s="4">
        <v>24.000000000000007</v>
      </c>
      <c r="W197" s="10">
        <f t="shared" si="69"/>
        <v>0.79857400000000012</v>
      </c>
      <c r="X197" s="4">
        <v>0</v>
      </c>
      <c r="Y197" s="10">
        <f t="shared" si="70"/>
        <v>7.7590018000000018</v>
      </c>
      <c r="Z197" s="4" t="s">
        <v>3057</v>
      </c>
      <c r="AA197" s="10">
        <f t="shared" si="71"/>
        <v>5.4313012600000006</v>
      </c>
      <c r="AB197" s="4">
        <v>1</v>
      </c>
      <c r="AC197" s="10">
        <f t="shared" si="72"/>
        <v>3.801910882</v>
      </c>
      <c r="AD197" s="4" t="s">
        <v>3057</v>
      </c>
      <c r="AE197" s="10">
        <f t="shared" si="73"/>
        <v>2.9613376173999999</v>
      </c>
      <c r="AF197" s="4" t="s">
        <v>3057</v>
      </c>
      <c r="AG197" s="10">
        <f t="shared" si="74"/>
        <v>2.0729363321799998</v>
      </c>
      <c r="AH197" s="4" t="s">
        <v>3057</v>
      </c>
      <c r="AI197" s="10">
        <f t="shared" si="75"/>
        <v>1.4510554325259999</v>
      </c>
      <c r="AJ197" s="4" t="s">
        <v>3057</v>
      </c>
      <c r="AK197" s="10">
        <f t="shared" si="76"/>
        <v>1.0157388027681999</v>
      </c>
      <c r="AL197" s="4">
        <v>6</v>
      </c>
      <c r="AM197" s="10">
        <f t="shared" si="77"/>
        <v>0.71101716193773989</v>
      </c>
      <c r="AN197" s="5">
        <f t="shared" si="78"/>
        <v>5.2889828380622603</v>
      </c>
      <c r="AO197" s="6">
        <f t="shared" si="79"/>
        <v>0.88149713967704335</v>
      </c>
    </row>
    <row r="198" spans="1:41" x14ac:dyDescent="0.25">
      <c r="A198" t="s">
        <v>931</v>
      </c>
      <c r="B198" t="s">
        <v>2986</v>
      </c>
      <c r="C198" t="str">
        <f>_xlfn.XLOOKUP(A198,Fore!A:A,Fore!AC:AC)</f>
        <v>CZ</v>
      </c>
      <c r="D198" s="4" t="s">
        <v>3057</v>
      </c>
      <c r="E198" s="10" t="str">
        <f t="shared" si="60"/>
        <v>0</v>
      </c>
      <c r="F198" s="4" t="s">
        <v>3057</v>
      </c>
      <c r="G198" s="10">
        <f t="shared" si="61"/>
        <v>0</v>
      </c>
      <c r="H198" s="4" t="s">
        <v>3057</v>
      </c>
      <c r="I198" s="10">
        <f t="shared" si="62"/>
        <v>0</v>
      </c>
      <c r="J198" s="4">
        <v>1.9999999999999996</v>
      </c>
      <c r="K198" s="10">
        <f t="shared" si="63"/>
        <v>0</v>
      </c>
      <c r="L198" s="4">
        <v>4.5</v>
      </c>
      <c r="M198" s="10">
        <f t="shared" si="64"/>
        <v>0.59999999999999987</v>
      </c>
      <c r="N198" s="4" t="s">
        <v>3057</v>
      </c>
      <c r="O198" s="10">
        <f t="shared" si="65"/>
        <v>3.33</v>
      </c>
      <c r="P198" s="4" t="s">
        <v>3057</v>
      </c>
      <c r="Q198" s="10">
        <f t="shared" si="66"/>
        <v>2.331</v>
      </c>
      <c r="R198" s="4" t="s">
        <v>3057</v>
      </c>
      <c r="S198" s="10">
        <f t="shared" si="67"/>
        <v>1.6316999999999999</v>
      </c>
      <c r="T198" s="4">
        <v>23.499999999999993</v>
      </c>
      <c r="U198" s="10">
        <f t="shared" si="68"/>
        <v>1.1421899999999998</v>
      </c>
      <c r="V198" s="4" t="s">
        <v>3057</v>
      </c>
      <c r="W198" s="10">
        <f t="shared" si="69"/>
        <v>7.8495329999999974</v>
      </c>
      <c r="X198" s="4">
        <v>0</v>
      </c>
      <c r="Y198" s="10">
        <f t="shared" si="70"/>
        <v>5.4946730999999982</v>
      </c>
      <c r="Z198" s="4" t="s">
        <v>3057</v>
      </c>
      <c r="AA198" s="10">
        <f t="shared" si="71"/>
        <v>3.8462711699999983</v>
      </c>
      <c r="AB198" s="4" t="s">
        <v>3057</v>
      </c>
      <c r="AC198" s="10">
        <f t="shared" si="72"/>
        <v>2.6923898189999989</v>
      </c>
      <c r="AD198" s="4" t="s">
        <v>3057</v>
      </c>
      <c r="AE198" s="10">
        <f t="shared" si="73"/>
        <v>1.8846728732999991</v>
      </c>
      <c r="AF198" s="4">
        <v>5</v>
      </c>
      <c r="AG198" s="10">
        <f t="shared" si="74"/>
        <v>1.3192710113099992</v>
      </c>
      <c r="AH198" s="4" t="s">
        <v>3057</v>
      </c>
      <c r="AI198" s="10">
        <f t="shared" si="75"/>
        <v>2.4234897079169992</v>
      </c>
      <c r="AJ198" s="4" t="s">
        <v>3057</v>
      </c>
      <c r="AK198" s="10">
        <f t="shared" si="76"/>
        <v>1.6964427955418995</v>
      </c>
      <c r="AL198" s="4" t="s">
        <v>3057</v>
      </c>
      <c r="AM198" s="10">
        <f t="shared" si="77"/>
        <v>1.1875099568793295</v>
      </c>
      <c r="AN198" s="5">
        <f t="shared" si="78"/>
        <v>1.1875099568793295</v>
      </c>
      <c r="AO198" s="6" t="str">
        <f t="shared" si="79"/>
        <v>0</v>
      </c>
    </row>
    <row r="199" spans="1:41" x14ac:dyDescent="0.25">
      <c r="A199" t="s">
        <v>1703</v>
      </c>
      <c r="B199" t="s">
        <v>2642</v>
      </c>
      <c r="C199" t="str">
        <f>_xlfn.XLOOKUP(A199,Fore!A:A,Fore!AC:AC)</f>
        <v>CY</v>
      </c>
      <c r="D199" s="4" t="s">
        <v>3057</v>
      </c>
      <c r="E199" s="10" t="str">
        <f t="shared" si="60"/>
        <v>0</v>
      </c>
      <c r="F199" s="4" t="s">
        <v>3057</v>
      </c>
      <c r="G199" s="10">
        <f t="shared" si="61"/>
        <v>0</v>
      </c>
      <c r="H199" s="4" t="s">
        <v>3057</v>
      </c>
      <c r="I199" s="10">
        <f t="shared" si="62"/>
        <v>0</v>
      </c>
      <c r="J199" s="4" t="s">
        <v>3057</v>
      </c>
      <c r="K199" s="10">
        <f t="shared" si="63"/>
        <v>0</v>
      </c>
      <c r="L199" s="4" t="s">
        <v>3057</v>
      </c>
      <c r="M199" s="10">
        <f t="shared" si="64"/>
        <v>0</v>
      </c>
      <c r="N199" s="4" t="s">
        <v>3057</v>
      </c>
      <c r="O199" s="10">
        <f t="shared" si="65"/>
        <v>0</v>
      </c>
      <c r="P199" s="4" t="s">
        <v>3057</v>
      </c>
      <c r="Q199" s="10">
        <f t="shared" si="66"/>
        <v>0</v>
      </c>
      <c r="R199" s="4">
        <v>8</v>
      </c>
      <c r="S199" s="10">
        <f t="shared" si="67"/>
        <v>0</v>
      </c>
      <c r="T199" s="4">
        <v>21.999999999999996</v>
      </c>
      <c r="U199" s="10">
        <f t="shared" si="68"/>
        <v>2.4</v>
      </c>
      <c r="V199" s="4" t="s">
        <v>3057</v>
      </c>
      <c r="W199" s="10">
        <f t="shared" si="69"/>
        <v>8.2799999999999994</v>
      </c>
      <c r="X199" s="4">
        <v>0</v>
      </c>
      <c r="Y199" s="10">
        <f t="shared" si="70"/>
        <v>5.7959999999999994</v>
      </c>
      <c r="Z199" s="4" t="s">
        <v>3057</v>
      </c>
      <c r="AA199" s="10">
        <f t="shared" si="71"/>
        <v>4.057199999999999</v>
      </c>
      <c r="AB199" s="4" t="s">
        <v>3057</v>
      </c>
      <c r="AC199" s="10">
        <f t="shared" si="72"/>
        <v>2.8400399999999992</v>
      </c>
      <c r="AD199" s="4" t="s">
        <v>3057</v>
      </c>
      <c r="AE199" s="10">
        <f t="shared" si="73"/>
        <v>1.9880279999999992</v>
      </c>
      <c r="AF199" s="4" t="s">
        <v>3057</v>
      </c>
      <c r="AG199" s="10">
        <f t="shared" si="74"/>
        <v>1.3916195999999994</v>
      </c>
      <c r="AH199" s="4">
        <v>4</v>
      </c>
      <c r="AI199" s="10">
        <f t="shared" si="75"/>
        <v>0.97413371999999954</v>
      </c>
      <c r="AJ199" s="4" t="s">
        <v>3057</v>
      </c>
      <c r="AK199" s="10">
        <f t="shared" si="76"/>
        <v>1.8818936039999996</v>
      </c>
      <c r="AL199" s="4" t="s">
        <v>3057</v>
      </c>
      <c r="AM199" s="10">
        <f t="shared" si="77"/>
        <v>1.3173255227999996</v>
      </c>
      <c r="AN199" s="5">
        <f t="shared" si="78"/>
        <v>1.3173255227999996</v>
      </c>
      <c r="AO199" s="6" t="str">
        <f t="shared" si="79"/>
        <v>0</v>
      </c>
    </row>
    <row r="200" spans="1:41" x14ac:dyDescent="0.25">
      <c r="A200" t="s">
        <v>1347</v>
      </c>
      <c r="B200" t="s">
        <v>2690</v>
      </c>
      <c r="C200" t="str">
        <f>_xlfn.XLOOKUP(A200,Fore!A:A,Fore!AC:AC)</f>
        <v>CY</v>
      </c>
      <c r="D200" s="4" t="s">
        <v>3057</v>
      </c>
      <c r="E200" s="10" t="str">
        <f t="shared" si="60"/>
        <v>0</v>
      </c>
      <c r="F200" s="4" t="s">
        <v>3057</v>
      </c>
      <c r="G200" s="10">
        <f t="shared" si="61"/>
        <v>0</v>
      </c>
      <c r="H200" s="4" t="s">
        <v>3057</v>
      </c>
      <c r="I200" s="10">
        <f t="shared" si="62"/>
        <v>0</v>
      </c>
      <c r="J200" s="4" t="s">
        <v>3057</v>
      </c>
      <c r="K200" s="10">
        <f t="shared" si="63"/>
        <v>0</v>
      </c>
      <c r="L200" s="4">
        <v>3.0000000000000009</v>
      </c>
      <c r="M200" s="10">
        <f t="shared" si="64"/>
        <v>0</v>
      </c>
      <c r="N200" s="4">
        <v>5</v>
      </c>
      <c r="O200" s="10">
        <f t="shared" si="65"/>
        <v>2.1000000000000005</v>
      </c>
      <c r="P200" s="4">
        <v>3.0000000000000004</v>
      </c>
      <c r="Q200" s="10">
        <f t="shared" si="66"/>
        <v>2.97</v>
      </c>
      <c r="R200" s="4">
        <v>2</v>
      </c>
      <c r="S200" s="10">
        <f t="shared" si="67"/>
        <v>2.9790000000000001</v>
      </c>
      <c r="T200" s="4">
        <v>0.82279999999999998</v>
      </c>
      <c r="U200" s="10">
        <f t="shared" si="68"/>
        <v>2.6853000000000002</v>
      </c>
      <c r="V200" s="4" t="s">
        <v>3057</v>
      </c>
      <c r="W200" s="10">
        <f t="shared" si="69"/>
        <v>2.1265499999999999</v>
      </c>
      <c r="X200" s="4">
        <v>1.0000000000000002</v>
      </c>
      <c r="Y200" s="10">
        <f t="shared" si="70"/>
        <v>1.4885849999999998</v>
      </c>
      <c r="Z200" s="4" t="s">
        <v>3057</v>
      </c>
      <c r="AA200" s="10">
        <f t="shared" si="71"/>
        <v>1.3420094999999999</v>
      </c>
      <c r="AB200" s="4">
        <v>1.9999999999999998</v>
      </c>
      <c r="AC200" s="10">
        <f t="shared" si="72"/>
        <v>0.93940664999999979</v>
      </c>
      <c r="AD200" s="4">
        <v>1</v>
      </c>
      <c r="AE200" s="10">
        <f t="shared" si="73"/>
        <v>1.2575846549999996</v>
      </c>
      <c r="AF200" s="4" t="s">
        <v>3057</v>
      </c>
      <c r="AG200" s="10">
        <f t="shared" si="74"/>
        <v>1.1803092584999997</v>
      </c>
      <c r="AH200" s="4">
        <v>2.9999999999999996</v>
      </c>
      <c r="AI200" s="10">
        <f t="shared" si="75"/>
        <v>0.82621648094999978</v>
      </c>
      <c r="AJ200" s="4">
        <v>12</v>
      </c>
      <c r="AK200" s="10">
        <f t="shared" si="76"/>
        <v>1.4783515366649995</v>
      </c>
      <c r="AL200" s="4" t="s">
        <v>3057</v>
      </c>
      <c r="AM200" s="10">
        <f t="shared" si="77"/>
        <v>4.6348460756654992</v>
      </c>
      <c r="AN200" s="5">
        <f t="shared" si="78"/>
        <v>4.6348460756654992</v>
      </c>
      <c r="AO200" s="6" t="str">
        <f t="shared" si="79"/>
        <v>0</v>
      </c>
    </row>
    <row r="201" spans="1:41" x14ac:dyDescent="0.25">
      <c r="A201" t="s">
        <v>1772</v>
      </c>
      <c r="B201" t="s">
        <v>2785</v>
      </c>
      <c r="C201" t="str">
        <f>_xlfn.XLOOKUP(A201,Fore!A:A,Fore!AC:AC)</f>
        <v>CZ</v>
      </c>
      <c r="D201" s="4" t="s">
        <v>3057</v>
      </c>
      <c r="E201" s="10" t="str">
        <f t="shared" si="60"/>
        <v>0</v>
      </c>
      <c r="F201" s="4" t="s">
        <v>3057</v>
      </c>
      <c r="G201" s="10">
        <f t="shared" si="61"/>
        <v>0</v>
      </c>
      <c r="H201" s="4" t="s">
        <v>3057</v>
      </c>
      <c r="I201" s="10">
        <f t="shared" si="62"/>
        <v>0</v>
      </c>
      <c r="J201" s="4" t="s">
        <v>3057</v>
      </c>
      <c r="K201" s="10">
        <f t="shared" si="63"/>
        <v>0</v>
      </c>
      <c r="L201" s="4" t="s">
        <v>3057</v>
      </c>
      <c r="M201" s="10">
        <f t="shared" si="64"/>
        <v>0</v>
      </c>
      <c r="N201" s="4" t="s">
        <v>3057</v>
      </c>
      <c r="O201" s="10">
        <f t="shared" si="65"/>
        <v>0</v>
      </c>
      <c r="P201" s="4" t="s">
        <v>3057</v>
      </c>
      <c r="Q201" s="10">
        <f t="shared" si="66"/>
        <v>0</v>
      </c>
      <c r="R201" s="4" t="s">
        <v>3057</v>
      </c>
      <c r="S201" s="10">
        <f t="shared" si="67"/>
        <v>0</v>
      </c>
      <c r="T201" s="4">
        <v>30.000000000000011</v>
      </c>
      <c r="U201" s="10">
        <f t="shared" si="68"/>
        <v>0</v>
      </c>
      <c r="V201" s="4" t="s">
        <v>3057</v>
      </c>
      <c r="W201" s="10">
        <f t="shared" si="69"/>
        <v>9.0000000000000036</v>
      </c>
      <c r="X201" s="4">
        <v>0</v>
      </c>
      <c r="Y201" s="10">
        <f t="shared" si="70"/>
        <v>6.3000000000000025</v>
      </c>
      <c r="Z201" s="4" t="s">
        <v>3057</v>
      </c>
      <c r="AA201" s="10">
        <f t="shared" si="71"/>
        <v>4.410000000000001</v>
      </c>
      <c r="AB201" s="4" t="s">
        <v>3057</v>
      </c>
      <c r="AC201" s="10">
        <f t="shared" si="72"/>
        <v>3.0870000000000006</v>
      </c>
      <c r="AD201" s="4" t="s">
        <v>3057</v>
      </c>
      <c r="AE201" s="10">
        <f t="shared" si="73"/>
        <v>2.1609000000000003</v>
      </c>
      <c r="AF201" s="4" t="s">
        <v>3057</v>
      </c>
      <c r="AG201" s="10">
        <f t="shared" si="74"/>
        <v>1.5126300000000001</v>
      </c>
      <c r="AH201" s="4" t="s">
        <v>3057</v>
      </c>
      <c r="AI201" s="10">
        <f t="shared" si="75"/>
        <v>1.0588409999999999</v>
      </c>
      <c r="AJ201" s="4">
        <v>2</v>
      </c>
      <c r="AK201" s="10">
        <f t="shared" si="76"/>
        <v>0.74118869999999992</v>
      </c>
      <c r="AL201" s="4" t="s">
        <v>3057</v>
      </c>
      <c r="AM201" s="10">
        <f t="shared" si="77"/>
        <v>1.1188320899999999</v>
      </c>
      <c r="AN201" s="5">
        <f t="shared" si="78"/>
        <v>1.1188320899999999</v>
      </c>
      <c r="AO201" s="6" t="str">
        <f t="shared" si="79"/>
        <v>0</v>
      </c>
    </row>
    <row r="202" spans="1:41" x14ac:dyDescent="0.25">
      <c r="A202" t="s">
        <v>1780</v>
      </c>
      <c r="B202" t="s">
        <v>2712</v>
      </c>
      <c r="C202" t="str">
        <f>_xlfn.XLOOKUP(A202,Fore!A:A,Fore!AC:AC)</f>
        <v>CY</v>
      </c>
      <c r="D202" s="4" t="s">
        <v>3057</v>
      </c>
      <c r="E202" s="10" t="str">
        <f t="shared" si="60"/>
        <v>0</v>
      </c>
      <c r="F202" s="4" t="s">
        <v>3057</v>
      </c>
      <c r="G202" s="10">
        <f t="shared" si="61"/>
        <v>0</v>
      </c>
      <c r="H202" s="4" t="s">
        <v>3057</v>
      </c>
      <c r="I202" s="10">
        <f t="shared" si="62"/>
        <v>0</v>
      </c>
      <c r="J202" s="4" t="s">
        <v>3057</v>
      </c>
      <c r="K202" s="10">
        <f t="shared" si="63"/>
        <v>0</v>
      </c>
      <c r="L202" s="4" t="s">
        <v>3057</v>
      </c>
      <c r="M202" s="10">
        <f t="shared" si="64"/>
        <v>0</v>
      </c>
      <c r="N202" s="4" t="s">
        <v>3057</v>
      </c>
      <c r="O202" s="10">
        <f t="shared" si="65"/>
        <v>0</v>
      </c>
      <c r="P202" s="4" t="s">
        <v>3057</v>
      </c>
      <c r="Q202" s="10">
        <f t="shared" si="66"/>
        <v>0</v>
      </c>
      <c r="R202" s="4" t="s">
        <v>3057</v>
      </c>
      <c r="S202" s="10">
        <f t="shared" si="67"/>
        <v>0</v>
      </c>
      <c r="T202" s="4">
        <v>10</v>
      </c>
      <c r="U202" s="10">
        <f t="shared" si="68"/>
        <v>0</v>
      </c>
      <c r="V202" s="4" t="s">
        <v>3057</v>
      </c>
      <c r="W202" s="10">
        <f t="shared" si="69"/>
        <v>3</v>
      </c>
      <c r="X202" s="4">
        <v>0</v>
      </c>
      <c r="Y202" s="10">
        <f t="shared" si="70"/>
        <v>2.0999999999999996</v>
      </c>
      <c r="Z202" s="4" t="s">
        <v>3057</v>
      </c>
      <c r="AA202" s="10">
        <f t="shared" si="71"/>
        <v>1.4699999999999998</v>
      </c>
      <c r="AB202" s="4">
        <v>10</v>
      </c>
      <c r="AC202" s="10">
        <f t="shared" si="72"/>
        <v>1.0289999999999997</v>
      </c>
      <c r="AD202" s="4" t="s">
        <v>3057</v>
      </c>
      <c r="AE202" s="10">
        <f t="shared" si="73"/>
        <v>3.7202999999999999</v>
      </c>
      <c r="AF202" s="4" t="s">
        <v>3057</v>
      </c>
      <c r="AG202" s="10">
        <f t="shared" si="74"/>
        <v>2.6042099999999997</v>
      </c>
      <c r="AH202" s="4" t="s">
        <v>3057</v>
      </c>
      <c r="AI202" s="10">
        <f t="shared" si="75"/>
        <v>1.8229469999999997</v>
      </c>
      <c r="AJ202" s="4">
        <v>1</v>
      </c>
      <c r="AK202" s="10">
        <f t="shared" si="76"/>
        <v>1.2760628999999997</v>
      </c>
      <c r="AL202" s="4">
        <v>9</v>
      </c>
      <c r="AM202" s="10">
        <f t="shared" si="77"/>
        <v>1.1932440299999998</v>
      </c>
      <c r="AN202" s="5">
        <f t="shared" si="78"/>
        <v>7.8067559700000002</v>
      </c>
      <c r="AO202" s="6">
        <f t="shared" si="79"/>
        <v>0.86741732999999999</v>
      </c>
    </row>
    <row r="203" spans="1:41" x14ac:dyDescent="0.25">
      <c r="A203" t="s">
        <v>599</v>
      </c>
      <c r="B203" t="s">
        <v>2731</v>
      </c>
      <c r="C203" t="str">
        <f>_xlfn.XLOOKUP(A203,Fore!A:A,Fore!AC:AC)</f>
        <v>CY</v>
      </c>
      <c r="D203" s="4" t="s">
        <v>3057</v>
      </c>
      <c r="E203" s="10" t="str">
        <f t="shared" si="60"/>
        <v>0</v>
      </c>
      <c r="F203" s="4" t="s">
        <v>3057</v>
      </c>
      <c r="G203" s="10">
        <f t="shared" si="61"/>
        <v>0</v>
      </c>
      <c r="H203" s="4" t="s">
        <v>3057</v>
      </c>
      <c r="I203" s="10">
        <f t="shared" si="62"/>
        <v>0</v>
      </c>
      <c r="J203" s="4">
        <v>2</v>
      </c>
      <c r="K203" s="10">
        <f t="shared" si="63"/>
        <v>0</v>
      </c>
      <c r="L203" s="4">
        <v>3</v>
      </c>
      <c r="M203" s="10">
        <f t="shared" si="64"/>
        <v>0.6</v>
      </c>
      <c r="N203" s="4">
        <v>2</v>
      </c>
      <c r="O203" s="10">
        <f t="shared" si="65"/>
        <v>2.2799999999999998</v>
      </c>
      <c r="P203" s="4">
        <v>6.0000000000000009</v>
      </c>
      <c r="Q203" s="10">
        <f t="shared" si="66"/>
        <v>2.1959999999999997</v>
      </c>
      <c r="R203" s="4" t="s">
        <v>3057</v>
      </c>
      <c r="S203" s="10">
        <f t="shared" si="67"/>
        <v>3.3372000000000002</v>
      </c>
      <c r="T203" s="4">
        <v>6</v>
      </c>
      <c r="U203" s="10">
        <f t="shared" si="68"/>
        <v>2.3360400000000001</v>
      </c>
      <c r="V203" s="4" t="s">
        <v>3057</v>
      </c>
      <c r="W203" s="10">
        <f t="shared" si="69"/>
        <v>3.4352279999999995</v>
      </c>
      <c r="X203" s="4">
        <v>0</v>
      </c>
      <c r="Y203" s="10">
        <f t="shared" si="70"/>
        <v>2.4046595999999996</v>
      </c>
      <c r="Z203" s="4" t="s">
        <v>3057</v>
      </c>
      <c r="AA203" s="10">
        <f t="shared" si="71"/>
        <v>1.6832617199999995</v>
      </c>
      <c r="AB203" s="4" t="s">
        <v>3057</v>
      </c>
      <c r="AC203" s="10">
        <f t="shared" si="72"/>
        <v>1.1782832039999995</v>
      </c>
      <c r="AD203" s="4" t="s">
        <v>3057</v>
      </c>
      <c r="AE203" s="10">
        <f t="shared" si="73"/>
        <v>0.82479824279999958</v>
      </c>
      <c r="AF203" s="4">
        <v>2</v>
      </c>
      <c r="AG203" s="10">
        <f t="shared" si="74"/>
        <v>0.57735876995999968</v>
      </c>
      <c r="AH203" s="4">
        <v>3.9999999999999996</v>
      </c>
      <c r="AI203" s="10">
        <f t="shared" si="75"/>
        <v>1.0041511389719997</v>
      </c>
      <c r="AJ203" s="4">
        <v>1</v>
      </c>
      <c r="AK203" s="10">
        <f t="shared" si="76"/>
        <v>1.9029057972803995</v>
      </c>
      <c r="AL203" s="4">
        <v>4</v>
      </c>
      <c r="AM203" s="10">
        <f t="shared" si="77"/>
        <v>1.6320340580962795</v>
      </c>
      <c r="AN203" s="5">
        <f t="shared" si="78"/>
        <v>2.3679659419037202</v>
      </c>
      <c r="AO203" s="6">
        <f t="shared" si="79"/>
        <v>0.59199148547593006</v>
      </c>
    </row>
    <row r="204" spans="1:41" x14ac:dyDescent="0.25">
      <c r="A204" t="s">
        <v>1518</v>
      </c>
      <c r="B204" t="s">
        <v>2748</v>
      </c>
      <c r="C204" t="str">
        <f>_xlfn.XLOOKUP(A204,Fore!A:A,Fore!AC:AC)</f>
        <v>CY</v>
      </c>
      <c r="D204" s="4" t="s">
        <v>3057</v>
      </c>
      <c r="E204" s="10" t="str">
        <f t="shared" si="60"/>
        <v>0</v>
      </c>
      <c r="F204" s="4" t="s">
        <v>3057</v>
      </c>
      <c r="G204" s="10">
        <f t="shared" si="61"/>
        <v>0</v>
      </c>
      <c r="H204" s="4" t="s">
        <v>3057</v>
      </c>
      <c r="I204" s="10">
        <f t="shared" si="62"/>
        <v>0</v>
      </c>
      <c r="J204" s="4" t="s">
        <v>3057</v>
      </c>
      <c r="K204" s="10">
        <f t="shared" si="63"/>
        <v>0</v>
      </c>
      <c r="L204" s="4" t="s">
        <v>3057</v>
      </c>
      <c r="M204" s="10">
        <f t="shared" si="64"/>
        <v>0</v>
      </c>
      <c r="N204" s="4">
        <v>5</v>
      </c>
      <c r="O204" s="10">
        <f t="shared" si="65"/>
        <v>0</v>
      </c>
      <c r="P204" s="4" t="s">
        <v>3057</v>
      </c>
      <c r="Q204" s="10">
        <f t="shared" si="66"/>
        <v>1.5</v>
      </c>
      <c r="R204" s="4" t="s">
        <v>3057</v>
      </c>
      <c r="S204" s="10">
        <f t="shared" si="67"/>
        <v>1.0499999999999998</v>
      </c>
      <c r="T204" s="4" t="s">
        <v>3057</v>
      </c>
      <c r="U204" s="10">
        <f t="shared" si="68"/>
        <v>0.73499999999999988</v>
      </c>
      <c r="V204" s="4" t="s">
        <v>3057</v>
      </c>
      <c r="W204" s="10">
        <f t="shared" si="69"/>
        <v>0.51449999999999985</v>
      </c>
      <c r="X204" s="4">
        <v>20</v>
      </c>
      <c r="Y204" s="10">
        <f t="shared" si="70"/>
        <v>0.36014999999999986</v>
      </c>
      <c r="Z204" s="4" t="s">
        <v>3057</v>
      </c>
      <c r="AA204" s="10">
        <f t="shared" si="71"/>
        <v>6.2521050000000002</v>
      </c>
      <c r="AB204" s="4" t="s">
        <v>3057</v>
      </c>
      <c r="AC204" s="10">
        <f t="shared" si="72"/>
        <v>4.3764734999999995</v>
      </c>
      <c r="AD204" s="4" t="s">
        <v>3057</v>
      </c>
      <c r="AE204" s="10">
        <f t="shared" si="73"/>
        <v>3.0635314499999993</v>
      </c>
      <c r="AF204" s="4" t="s">
        <v>3057</v>
      </c>
      <c r="AG204" s="10">
        <f t="shared" si="74"/>
        <v>2.1444720149999994</v>
      </c>
      <c r="AH204" s="4">
        <v>5</v>
      </c>
      <c r="AI204" s="10">
        <f t="shared" si="75"/>
        <v>1.5011304104999994</v>
      </c>
      <c r="AJ204" s="4" t="s">
        <v>3057</v>
      </c>
      <c r="AK204" s="10">
        <f t="shared" si="76"/>
        <v>2.5507912873499996</v>
      </c>
      <c r="AL204" s="4" t="s">
        <v>3057</v>
      </c>
      <c r="AM204" s="10">
        <f t="shared" si="77"/>
        <v>1.7855539011449997</v>
      </c>
      <c r="AN204" s="5">
        <f t="shared" si="78"/>
        <v>1.7855539011449997</v>
      </c>
      <c r="AO204" s="6" t="str">
        <f t="shared" si="79"/>
        <v>0</v>
      </c>
    </row>
    <row r="205" spans="1:41" x14ac:dyDescent="0.25">
      <c r="A205" t="s">
        <v>468</v>
      </c>
      <c r="B205" t="s">
        <v>2802</v>
      </c>
      <c r="C205" t="str">
        <f>_xlfn.XLOOKUP(A205,Fore!A:A,Fore!AC:AC)</f>
        <v>CY</v>
      </c>
      <c r="D205" s="4" t="s">
        <v>3057</v>
      </c>
      <c r="E205" s="10" t="str">
        <f t="shared" si="60"/>
        <v>0</v>
      </c>
      <c r="F205" s="4" t="s">
        <v>3057</v>
      </c>
      <c r="G205" s="10">
        <f t="shared" si="61"/>
        <v>0</v>
      </c>
      <c r="H205" s="4" t="s">
        <v>3057</v>
      </c>
      <c r="I205" s="10">
        <f t="shared" si="62"/>
        <v>0</v>
      </c>
      <c r="J205" s="4">
        <v>2</v>
      </c>
      <c r="K205" s="10">
        <f t="shared" si="63"/>
        <v>0</v>
      </c>
      <c r="L205" s="4">
        <v>2</v>
      </c>
      <c r="M205" s="10">
        <f t="shared" si="64"/>
        <v>0.6</v>
      </c>
      <c r="N205" s="4">
        <v>8</v>
      </c>
      <c r="O205" s="10">
        <f t="shared" si="65"/>
        <v>1.5799999999999998</v>
      </c>
      <c r="P205" s="4">
        <v>2.0000000000000004</v>
      </c>
      <c r="Q205" s="10">
        <f t="shared" si="66"/>
        <v>3.5059999999999998</v>
      </c>
      <c r="R205" s="4" t="s">
        <v>3057</v>
      </c>
      <c r="S205" s="10">
        <f t="shared" si="67"/>
        <v>3.0541999999999998</v>
      </c>
      <c r="T205" s="4">
        <v>3</v>
      </c>
      <c r="U205" s="10">
        <f t="shared" si="68"/>
        <v>2.1379399999999995</v>
      </c>
      <c r="V205" s="4">
        <v>2.9999999999999996</v>
      </c>
      <c r="W205" s="10">
        <f t="shared" si="69"/>
        <v>2.3965579999999997</v>
      </c>
      <c r="X205" s="4">
        <v>2</v>
      </c>
      <c r="Y205" s="10">
        <f t="shared" si="70"/>
        <v>2.5775905999999997</v>
      </c>
      <c r="Z205" s="4" t="s">
        <v>3057</v>
      </c>
      <c r="AA205" s="10">
        <f t="shared" si="71"/>
        <v>2.4043134199999998</v>
      </c>
      <c r="AB205" s="4">
        <v>5</v>
      </c>
      <c r="AC205" s="10">
        <f t="shared" si="72"/>
        <v>1.6830193939999998</v>
      </c>
      <c r="AD205" s="4">
        <v>1</v>
      </c>
      <c r="AE205" s="10">
        <f t="shared" si="73"/>
        <v>2.6781135757999999</v>
      </c>
      <c r="AF205" s="4" t="s">
        <v>3057</v>
      </c>
      <c r="AG205" s="10">
        <f t="shared" si="74"/>
        <v>2.1746795030599997</v>
      </c>
      <c r="AH205" s="4">
        <v>1.9999999999999998</v>
      </c>
      <c r="AI205" s="10">
        <f t="shared" si="75"/>
        <v>1.5222756521419998</v>
      </c>
      <c r="AJ205" s="4" t="s">
        <v>3057</v>
      </c>
      <c r="AK205" s="10">
        <f t="shared" si="76"/>
        <v>1.6655929564993996</v>
      </c>
      <c r="AL205" s="4" t="s">
        <v>3057</v>
      </c>
      <c r="AM205" s="10">
        <f t="shared" si="77"/>
        <v>1.1659150695495797</v>
      </c>
      <c r="AN205" s="5">
        <f t="shared" si="78"/>
        <v>1.1659150695495797</v>
      </c>
      <c r="AO205" s="6" t="str">
        <f t="shared" si="79"/>
        <v>0</v>
      </c>
    </row>
    <row r="206" spans="1:41" x14ac:dyDescent="0.25">
      <c r="A206" t="s">
        <v>1093</v>
      </c>
      <c r="B206" t="s">
        <v>2833</v>
      </c>
      <c r="C206" t="str">
        <f>_xlfn.XLOOKUP(A206,Fore!A:A,Fore!AC:AC)</f>
        <v>CY</v>
      </c>
      <c r="D206" s="4" t="s">
        <v>3057</v>
      </c>
      <c r="E206" s="10" t="str">
        <f t="shared" si="60"/>
        <v>0</v>
      </c>
      <c r="F206" s="4" t="s">
        <v>3057</v>
      </c>
      <c r="G206" s="10">
        <f t="shared" si="61"/>
        <v>0</v>
      </c>
      <c r="H206" s="4" t="s">
        <v>3057</v>
      </c>
      <c r="I206" s="10">
        <f t="shared" si="62"/>
        <v>0</v>
      </c>
      <c r="J206" s="4">
        <v>2</v>
      </c>
      <c r="K206" s="10">
        <f t="shared" si="63"/>
        <v>0</v>
      </c>
      <c r="L206" s="4">
        <v>6.9999999999999991</v>
      </c>
      <c r="M206" s="10">
        <f t="shared" si="64"/>
        <v>0.6</v>
      </c>
      <c r="N206" s="4">
        <v>5</v>
      </c>
      <c r="O206" s="10">
        <f t="shared" si="65"/>
        <v>5.0799999999999992</v>
      </c>
      <c r="P206" s="4">
        <v>4</v>
      </c>
      <c r="Q206" s="10">
        <f t="shared" si="66"/>
        <v>5.0559999999999992</v>
      </c>
      <c r="R206" s="4" t="s">
        <v>3057</v>
      </c>
      <c r="S206" s="10">
        <f t="shared" si="67"/>
        <v>4.7391999999999994</v>
      </c>
      <c r="T206" s="4" t="s">
        <v>3057</v>
      </c>
      <c r="U206" s="10">
        <f t="shared" si="68"/>
        <v>3.3174399999999995</v>
      </c>
      <c r="V206" s="4">
        <v>1.9999999999999998</v>
      </c>
      <c r="W206" s="10">
        <f t="shared" si="69"/>
        <v>2.3222079999999994</v>
      </c>
      <c r="X206" s="4">
        <v>2</v>
      </c>
      <c r="Y206" s="10">
        <f t="shared" si="70"/>
        <v>2.2255455999999993</v>
      </c>
      <c r="Z206" s="4">
        <v>2</v>
      </c>
      <c r="AA206" s="10">
        <f t="shared" si="71"/>
        <v>2.1578819199999995</v>
      </c>
      <c r="AB206" s="4" t="s">
        <v>3057</v>
      </c>
      <c r="AC206" s="10">
        <f t="shared" si="72"/>
        <v>2.1105173439999994</v>
      </c>
      <c r="AD206" s="4" t="s">
        <v>3057</v>
      </c>
      <c r="AE206" s="10">
        <f t="shared" si="73"/>
        <v>1.4773621407999995</v>
      </c>
      <c r="AF206" s="4">
        <v>6</v>
      </c>
      <c r="AG206" s="10">
        <f t="shared" si="74"/>
        <v>1.0341534985599996</v>
      </c>
      <c r="AH206" s="4" t="s">
        <v>3057</v>
      </c>
      <c r="AI206" s="10">
        <f t="shared" si="75"/>
        <v>2.5239074489919995</v>
      </c>
      <c r="AJ206" s="4" t="s">
        <v>3057</v>
      </c>
      <c r="AK206" s="10">
        <f t="shared" si="76"/>
        <v>1.7667352142943995</v>
      </c>
      <c r="AL206" s="4" t="s">
        <v>3057</v>
      </c>
      <c r="AM206" s="10">
        <f t="shared" si="77"/>
        <v>1.2367146500060795</v>
      </c>
      <c r="AN206" s="5">
        <f t="shared" si="78"/>
        <v>1.2367146500060795</v>
      </c>
      <c r="AO206" s="6" t="str">
        <f t="shared" si="79"/>
        <v>0</v>
      </c>
    </row>
    <row r="207" spans="1:41" x14ac:dyDescent="0.25">
      <c r="A207" t="s">
        <v>160</v>
      </c>
      <c r="B207" t="s">
        <v>2754</v>
      </c>
      <c r="C207" t="str">
        <f>_xlfn.XLOOKUP(A207,Fore!A:A,Fore!AC:AC)</f>
        <v>CZ</v>
      </c>
      <c r="D207" s="4" t="s">
        <v>3057</v>
      </c>
      <c r="E207" s="10" t="str">
        <f t="shared" si="60"/>
        <v>0</v>
      </c>
      <c r="F207" s="4" t="s">
        <v>3057</v>
      </c>
      <c r="G207" s="10">
        <f t="shared" si="61"/>
        <v>0</v>
      </c>
      <c r="H207" s="4" t="s">
        <v>3057</v>
      </c>
      <c r="I207" s="10">
        <f t="shared" si="62"/>
        <v>0</v>
      </c>
      <c r="J207" s="4">
        <v>2</v>
      </c>
      <c r="K207" s="10">
        <f t="shared" si="63"/>
        <v>0</v>
      </c>
      <c r="L207" s="4">
        <v>3.75</v>
      </c>
      <c r="M207" s="10">
        <f t="shared" si="64"/>
        <v>0.6</v>
      </c>
      <c r="N207" s="4">
        <v>1.9999999999999998</v>
      </c>
      <c r="O207" s="10">
        <f t="shared" si="65"/>
        <v>2.8050000000000002</v>
      </c>
      <c r="P207" s="4" t="s">
        <v>3057</v>
      </c>
      <c r="Q207" s="10">
        <f t="shared" si="66"/>
        <v>2.5634999999999999</v>
      </c>
      <c r="R207" s="4">
        <v>1.6673</v>
      </c>
      <c r="S207" s="10">
        <f t="shared" si="67"/>
        <v>1.7944499999999999</v>
      </c>
      <c r="T207" s="4">
        <v>11.332700000000001</v>
      </c>
      <c r="U207" s="10">
        <f t="shared" si="68"/>
        <v>1.7563049999999998</v>
      </c>
      <c r="V207" s="4" t="s">
        <v>3057</v>
      </c>
      <c r="W207" s="10">
        <f t="shared" si="69"/>
        <v>4.6292235000000002</v>
      </c>
      <c r="X207" s="4">
        <v>1</v>
      </c>
      <c r="Y207" s="10">
        <f t="shared" si="70"/>
        <v>3.2404564499999999</v>
      </c>
      <c r="Z207" s="4" t="s">
        <v>3057</v>
      </c>
      <c r="AA207" s="10">
        <f t="shared" si="71"/>
        <v>2.5683195149999998</v>
      </c>
      <c r="AB207" s="4">
        <v>1</v>
      </c>
      <c r="AC207" s="10">
        <f t="shared" si="72"/>
        <v>1.7978236604999998</v>
      </c>
      <c r="AD207" s="4">
        <v>1</v>
      </c>
      <c r="AE207" s="10">
        <f t="shared" si="73"/>
        <v>1.5584765623499999</v>
      </c>
      <c r="AF207" s="4" t="s">
        <v>3057</v>
      </c>
      <c r="AG207" s="10">
        <f t="shared" si="74"/>
        <v>1.3909335936449998</v>
      </c>
      <c r="AH207" s="4">
        <v>1</v>
      </c>
      <c r="AI207" s="10">
        <f t="shared" si="75"/>
        <v>0.97365351555149982</v>
      </c>
      <c r="AJ207" s="4">
        <v>2</v>
      </c>
      <c r="AK207" s="10">
        <f t="shared" si="76"/>
        <v>0.98155746088604978</v>
      </c>
      <c r="AL207" s="4">
        <v>1</v>
      </c>
      <c r="AM207" s="10">
        <f t="shared" si="77"/>
        <v>1.2870902226202348</v>
      </c>
      <c r="AN207" s="5">
        <f t="shared" si="78"/>
        <v>0.28709022262023476</v>
      </c>
      <c r="AO207" s="6">
        <f t="shared" si="79"/>
        <v>0.28709022262023476</v>
      </c>
    </row>
    <row r="208" spans="1:41" x14ac:dyDescent="0.25">
      <c r="A208" t="s">
        <v>1871</v>
      </c>
      <c r="B208" t="s">
        <v>2707</v>
      </c>
      <c r="C208" t="str">
        <f>_xlfn.XLOOKUP(A208,Fore!A:A,Fore!AC:AC)</f>
        <v>CY</v>
      </c>
      <c r="D208" s="4" t="s">
        <v>3057</v>
      </c>
      <c r="E208" s="10" t="str">
        <f t="shared" si="60"/>
        <v>0</v>
      </c>
      <c r="F208" s="4" t="s">
        <v>3057</v>
      </c>
      <c r="G208" s="10">
        <f t="shared" si="61"/>
        <v>0</v>
      </c>
      <c r="H208" s="4" t="s">
        <v>3057</v>
      </c>
      <c r="I208" s="10">
        <f t="shared" si="62"/>
        <v>0</v>
      </c>
      <c r="J208" s="4" t="s">
        <v>3057</v>
      </c>
      <c r="K208" s="10">
        <f t="shared" si="63"/>
        <v>0</v>
      </c>
      <c r="L208" s="4" t="s">
        <v>3057</v>
      </c>
      <c r="M208" s="10">
        <f t="shared" si="64"/>
        <v>0</v>
      </c>
      <c r="N208" s="4" t="s">
        <v>3057</v>
      </c>
      <c r="O208" s="10">
        <f t="shared" si="65"/>
        <v>0</v>
      </c>
      <c r="P208" s="4" t="s">
        <v>3057</v>
      </c>
      <c r="Q208" s="10">
        <f t="shared" si="66"/>
        <v>0</v>
      </c>
      <c r="R208" s="4" t="s">
        <v>3057</v>
      </c>
      <c r="S208" s="10">
        <f t="shared" si="67"/>
        <v>0</v>
      </c>
      <c r="T208" s="4" t="s">
        <v>3057</v>
      </c>
      <c r="U208" s="10">
        <f t="shared" si="68"/>
        <v>0</v>
      </c>
      <c r="V208" s="4">
        <v>15.000000000000002</v>
      </c>
      <c r="W208" s="10">
        <f t="shared" si="69"/>
        <v>0</v>
      </c>
      <c r="X208" s="4">
        <v>0</v>
      </c>
      <c r="Y208" s="10">
        <f t="shared" si="70"/>
        <v>4.5</v>
      </c>
      <c r="Z208" s="4" t="s">
        <v>3057</v>
      </c>
      <c r="AA208" s="10">
        <f t="shared" si="71"/>
        <v>3.15</v>
      </c>
      <c r="AB208" s="4" t="s">
        <v>3057</v>
      </c>
      <c r="AC208" s="10">
        <f t="shared" si="72"/>
        <v>2.2049999999999996</v>
      </c>
      <c r="AD208" s="4" t="s">
        <v>3057</v>
      </c>
      <c r="AE208" s="10">
        <f t="shared" si="73"/>
        <v>1.5434999999999997</v>
      </c>
      <c r="AF208" s="4" t="s">
        <v>3057</v>
      </c>
      <c r="AG208" s="10">
        <f t="shared" si="74"/>
        <v>1.0804499999999997</v>
      </c>
      <c r="AH208" s="4" t="s">
        <v>3057</v>
      </c>
      <c r="AI208" s="10">
        <f t="shared" si="75"/>
        <v>0.75631499999999974</v>
      </c>
      <c r="AJ208" s="4">
        <v>12.000000000000002</v>
      </c>
      <c r="AK208" s="10">
        <f t="shared" si="76"/>
        <v>0.52942049999999974</v>
      </c>
      <c r="AL208" s="4" t="s">
        <v>3057</v>
      </c>
      <c r="AM208" s="10">
        <f t="shared" si="77"/>
        <v>3.9705943500000003</v>
      </c>
      <c r="AN208" s="5">
        <f t="shared" si="78"/>
        <v>3.9705943500000003</v>
      </c>
      <c r="AO208" s="6" t="str">
        <f t="shared" si="79"/>
        <v>0</v>
      </c>
    </row>
    <row r="209" spans="1:41" x14ac:dyDescent="0.25">
      <c r="A209" t="s">
        <v>1933</v>
      </c>
      <c r="B209" t="s">
        <v>2800</v>
      </c>
      <c r="C209" t="str">
        <f>_xlfn.XLOOKUP(A209,Fore!A:A,Fore!AC:AC)</f>
        <v>CY</v>
      </c>
      <c r="D209" s="4" t="s">
        <v>3057</v>
      </c>
      <c r="E209" s="10" t="str">
        <f t="shared" si="60"/>
        <v>0</v>
      </c>
      <c r="F209" s="4" t="s">
        <v>3057</v>
      </c>
      <c r="G209" s="10">
        <f t="shared" si="61"/>
        <v>0</v>
      </c>
      <c r="H209" s="4" t="s">
        <v>3057</v>
      </c>
      <c r="I209" s="10">
        <f t="shared" si="62"/>
        <v>0</v>
      </c>
      <c r="J209" s="4" t="s">
        <v>3057</v>
      </c>
      <c r="K209" s="10">
        <f t="shared" si="63"/>
        <v>0</v>
      </c>
      <c r="L209" s="4" t="s">
        <v>3057</v>
      </c>
      <c r="M209" s="10">
        <f t="shared" si="64"/>
        <v>0</v>
      </c>
      <c r="N209" s="4" t="s">
        <v>3057</v>
      </c>
      <c r="O209" s="10">
        <f t="shared" si="65"/>
        <v>0</v>
      </c>
      <c r="P209" s="4" t="s">
        <v>3057</v>
      </c>
      <c r="Q209" s="10">
        <f t="shared" si="66"/>
        <v>0</v>
      </c>
      <c r="R209" s="4" t="s">
        <v>3057</v>
      </c>
      <c r="S209" s="10">
        <f t="shared" si="67"/>
        <v>0</v>
      </c>
      <c r="T209" s="4" t="s">
        <v>3057</v>
      </c>
      <c r="U209" s="10">
        <f t="shared" si="68"/>
        <v>0</v>
      </c>
      <c r="V209" s="4" t="s">
        <v>3057</v>
      </c>
      <c r="W209" s="10">
        <f t="shared" si="69"/>
        <v>0</v>
      </c>
      <c r="X209" s="4">
        <v>9</v>
      </c>
      <c r="Y209" s="10">
        <f t="shared" si="70"/>
        <v>0</v>
      </c>
      <c r="Z209" s="4" t="s">
        <v>3057</v>
      </c>
      <c r="AA209" s="10">
        <f t="shared" si="71"/>
        <v>2.6999999999999997</v>
      </c>
      <c r="AB209" s="4">
        <v>4</v>
      </c>
      <c r="AC209" s="10">
        <f t="shared" si="72"/>
        <v>1.8899999999999997</v>
      </c>
      <c r="AD209" s="4">
        <v>2</v>
      </c>
      <c r="AE209" s="10">
        <f t="shared" si="73"/>
        <v>2.5229999999999997</v>
      </c>
      <c r="AF209" s="4">
        <v>10</v>
      </c>
      <c r="AG209" s="10">
        <f t="shared" si="74"/>
        <v>2.3660999999999994</v>
      </c>
      <c r="AH209" s="4">
        <v>2</v>
      </c>
      <c r="AI209" s="10">
        <f t="shared" si="75"/>
        <v>4.6562699999999992</v>
      </c>
      <c r="AJ209" s="4" t="s">
        <v>3057</v>
      </c>
      <c r="AK209" s="10">
        <f t="shared" si="76"/>
        <v>3.8593889999999993</v>
      </c>
      <c r="AL209" s="4" t="s">
        <v>3057</v>
      </c>
      <c r="AM209" s="10">
        <f t="shared" si="77"/>
        <v>2.7015722999999991</v>
      </c>
      <c r="AN209" s="5">
        <f t="shared" si="78"/>
        <v>2.7015722999999991</v>
      </c>
      <c r="AO209" s="6" t="str">
        <f t="shared" si="79"/>
        <v>0</v>
      </c>
    </row>
    <row r="210" spans="1:41" x14ac:dyDescent="0.25">
      <c r="A210" t="s">
        <v>933</v>
      </c>
      <c r="B210" t="s">
        <v>2739</v>
      </c>
      <c r="C210" t="str">
        <f>_xlfn.XLOOKUP(A210,Fore!A:A,Fore!AC:AC)</f>
        <v>CY</v>
      </c>
      <c r="D210" s="4" t="s">
        <v>3057</v>
      </c>
      <c r="E210" s="10" t="str">
        <f t="shared" si="60"/>
        <v>0</v>
      </c>
      <c r="F210" s="4" t="s">
        <v>3057</v>
      </c>
      <c r="G210" s="10">
        <f t="shared" si="61"/>
        <v>0</v>
      </c>
      <c r="H210" s="4" t="s">
        <v>3057</v>
      </c>
      <c r="I210" s="10">
        <f t="shared" si="62"/>
        <v>0</v>
      </c>
      <c r="J210" s="4">
        <v>6</v>
      </c>
      <c r="K210" s="10">
        <f t="shared" si="63"/>
        <v>0</v>
      </c>
      <c r="L210" s="4">
        <v>1</v>
      </c>
      <c r="M210" s="10">
        <f t="shared" si="64"/>
        <v>1.7999999999999998</v>
      </c>
      <c r="N210" s="4" t="s">
        <v>3057</v>
      </c>
      <c r="O210" s="10">
        <f t="shared" si="65"/>
        <v>1.2399999999999998</v>
      </c>
      <c r="P210" s="4">
        <v>1.7396000000000009</v>
      </c>
      <c r="Q210" s="10">
        <f t="shared" si="66"/>
        <v>0.86799999999999977</v>
      </c>
      <c r="R210" s="4">
        <v>1.2604</v>
      </c>
      <c r="S210" s="10">
        <f t="shared" si="67"/>
        <v>1.12948</v>
      </c>
      <c r="T210" s="4">
        <v>2.5</v>
      </c>
      <c r="U210" s="10">
        <f t="shared" si="68"/>
        <v>1.1687559999999999</v>
      </c>
      <c r="V210" s="4" t="s">
        <v>3057</v>
      </c>
      <c r="W210" s="10">
        <f t="shared" si="69"/>
        <v>1.5681292</v>
      </c>
      <c r="X210" s="4">
        <v>0</v>
      </c>
      <c r="Y210" s="10">
        <f t="shared" si="70"/>
        <v>1.0976904399999998</v>
      </c>
      <c r="Z210" s="4" t="s">
        <v>3057</v>
      </c>
      <c r="AA210" s="10">
        <f t="shared" si="71"/>
        <v>0.76838330799999988</v>
      </c>
      <c r="AB210" s="4" t="s">
        <v>3057</v>
      </c>
      <c r="AC210" s="10">
        <f t="shared" si="72"/>
        <v>0.53786831559999992</v>
      </c>
      <c r="AD210" s="4">
        <v>8</v>
      </c>
      <c r="AE210" s="10">
        <f t="shared" si="73"/>
        <v>0.3765078209199999</v>
      </c>
      <c r="AF210" s="4" t="s">
        <v>3057</v>
      </c>
      <c r="AG210" s="10">
        <f t="shared" si="74"/>
        <v>2.6635554746439998</v>
      </c>
      <c r="AH210" s="4">
        <v>4</v>
      </c>
      <c r="AI210" s="10">
        <f t="shared" si="75"/>
        <v>1.8644888322507998</v>
      </c>
      <c r="AJ210" s="4">
        <v>2</v>
      </c>
      <c r="AK210" s="10">
        <f t="shared" si="76"/>
        <v>2.5051421825755598</v>
      </c>
      <c r="AL210" s="4" t="s">
        <v>3057</v>
      </c>
      <c r="AM210" s="10">
        <f t="shared" si="77"/>
        <v>2.3535995278028916</v>
      </c>
      <c r="AN210" s="5">
        <f t="shared" si="78"/>
        <v>2.3535995278028916</v>
      </c>
      <c r="AO210" s="6" t="str">
        <f t="shared" si="79"/>
        <v>0</v>
      </c>
    </row>
    <row r="211" spans="1:41" x14ac:dyDescent="0.25">
      <c r="A211" t="s">
        <v>418</v>
      </c>
      <c r="B211" t="s">
        <v>2778</v>
      </c>
      <c r="C211" t="str">
        <f>_xlfn.XLOOKUP(A211,Fore!A:A,Fore!AC:AC)</f>
        <v>CY</v>
      </c>
      <c r="D211" s="4" t="s">
        <v>3057</v>
      </c>
      <c r="E211" s="10" t="str">
        <f t="shared" si="60"/>
        <v>0</v>
      </c>
      <c r="F211" s="4" t="s">
        <v>3057</v>
      </c>
      <c r="G211" s="10">
        <f t="shared" si="61"/>
        <v>0</v>
      </c>
      <c r="H211" s="4" t="s">
        <v>3057</v>
      </c>
      <c r="I211" s="10">
        <f t="shared" si="62"/>
        <v>0</v>
      </c>
      <c r="J211" s="4">
        <v>2</v>
      </c>
      <c r="K211" s="10">
        <f t="shared" si="63"/>
        <v>0</v>
      </c>
      <c r="L211" s="4">
        <v>4.6668000000000003</v>
      </c>
      <c r="M211" s="10">
        <f t="shared" si="64"/>
        <v>0.6</v>
      </c>
      <c r="N211" s="4" t="s">
        <v>3057</v>
      </c>
      <c r="O211" s="10">
        <f t="shared" si="65"/>
        <v>3.4467600000000003</v>
      </c>
      <c r="P211" s="4">
        <v>8.0000000000000018</v>
      </c>
      <c r="Q211" s="10">
        <f t="shared" si="66"/>
        <v>2.4127320000000001</v>
      </c>
      <c r="R211" s="4">
        <v>6.0000000000000071</v>
      </c>
      <c r="S211" s="10">
        <f t="shared" si="67"/>
        <v>4.0889123999999999</v>
      </c>
      <c r="T211" s="4">
        <v>1</v>
      </c>
      <c r="U211" s="10">
        <f t="shared" si="68"/>
        <v>4.6622386800000015</v>
      </c>
      <c r="V211" s="4">
        <v>2</v>
      </c>
      <c r="W211" s="10">
        <f t="shared" si="69"/>
        <v>3.5635670760000009</v>
      </c>
      <c r="X211" s="4">
        <v>0</v>
      </c>
      <c r="Y211" s="10">
        <f t="shared" si="70"/>
        <v>3.0944969532000006</v>
      </c>
      <c r="Z211" s="4" t="s">
        <v>3057</v>
      </c>
      <c r="AA211" s="10">
        <f t="shared" si="71"/>
        <v>2.1661478672400003</v>
      </c>
      <c r="AB211" s="4" t="s">
        <v>3057</v>
      </c>
      <c r="AC211" s="10">
        <f t="shared" si="72"/>
        <v>1.5163035070680002</v>
      </c>
      <c r="AD211" s="4" t="s">
        <v>3057</v>
      </c>
      <c r="AE211" s="10">
        <f t="shared" si="73"/>
        <v>1.0614124549476001</v>
      </c>
      <c r="AF211" s="4" t="s">
        <v>3057</v>
      </c>
      <c r="AG211" s="10">
        <f t="shared" si="74"/>
        <v>0.74298871846332004</v>
      </c>
      <c r="AH211" s="4">
        <v>0.99999999999999989</v>
      </c>
      <c r="AI211" s="10">
        <f t="shared" si="75"/>
        <v>0.52009210292432395</v>
      </c>
      <c r="AJ211" s="4" t="s">
        <v>3057</v>
      </c>
      <c r="AK211" s="10">
        <f t="shared" si="76"/>
        <v>0.66406447204702668</v>
      </c>
      <c r="AL211" s="4">
        <v>1</v>
      </c>
      <c r="AM211" s="10">
        <f t="shared" si="77"/>
        <v>0.46484513043291864</v>
      </c>
      <c r="AN211" s="5">
        <f t="shared" si="78"/>
        <v>0.53515486956708136</v>
      </c>
      <c r="AO211" s="6">
        <f t="shared" si="79"/>
        <v>0.53515486956708136</v>
      </c>
    </row>
    <row r="212" spans="1:41" x14ac:dyDescent="0.25">
      <c r="A212" t="s">
        <v>1088</v>
      </c>
      <c r="B212" t="s">
        <v>2805</v>
      </c>
      <c r="C212" t="str">
        <f>_xlfn.XLOOKUP(A212,Fore!A:A,Fore!AC:AC)</f>
        <v>CY</v>
      </c>
      <c r="D212" s="4" t="s">
        <v>3057</v>
      </c>
      <c r="E212" s="10" t="str">
        <f t="shared" si="60"/>
        <v>0</v>
      </c>
      <c r="F212" s="4" t="s">
        <v>3057</v>
      </c>
      <c r="G212" s="10">
        <f t="shared" si="61"/>
        <v>0</v>
      </c>
      <c r="H212" s="4" t="s">
        <v>3057</v>
      </c>
      <c r="I212" s="10">
        <f t="shared" si="62"/>
        <v>0</v>
      </c>
      <c r="J212" s="4">
        <v>1</v>
      </c>
      <c r="K212" s="10">
        <f t="shared" si="63"/>
        <v>0</v>
      </c>
      <c r="L212" s="4">
        <v>2</v>
      </c>
      <c r="M212" s="10">
        <f t="shared" si="64"/>
        <v>0.3</v>
      </c>
      <c r="N212" s="4">
        <v>1</v>
      </c>
      <c r="O212" s="10">
        <f t="shared" si="65"/>
        <v>1.49</v>
      </c>
      <c r="P212" s="4">
        <v>4</v>
      </c>
      <c r="Q212" s="10">
        <f t="shared" si="66"/>
        <v>1.343</v>
      </c>
      <c r="R212" s="4">
        <v>2</v>
      </c>
      <c r="S212" s="10">
        <f t="shared" si="67"/>
        <v>2.1400999999999999</v>
      </c>
      <c r="T212" s="4" t="s">
        <v>3057</v>
      </c>
      <c r="U212" s="10">
        <f t="shared" si="68"/>
        <v>2.0980699999999999</v>
      </c>
      <c r="V212" s="4">
        <v>2</v>
      </c>
      <c r="W212" s="10">
        <f t="shared" si="69"/>
        <v>1.4686489999999999</v>
      </c>
      <c r="X212" s="4">
        <v>3</v>
      </c>
      <c r="Y212" s="10">
        <f t="shared" si="70"/>
        <v>1.6280542999999996</v>
      </c>
      <c r="Z212" s="4" t="s">
        <v>3057</v>
      </c>
      <c r="AA212" s="10">
        <f t="shared" si="71"/>
        <v>2.0396380099999996</v>
      </c>
      <c r="AB212" s="4" t="s">
        <v>3057</v>
      </c>
      <c r="AC212" s="10">
        <f t="shared" si="72"/>
        <v>1.4277466069999996</v>
      </c>
      <c r="AD212" s="4">
        <v>1</v>
      </c>
      <c r="AE212" s="10">
        <f t="shared" si="73"/>
        <v>0.99942262489999967</v>
      </c>
      <c r="AF212" s="4" t="s">
        <v>3057</v>
      </c>
      <c r="AG212" s="10">
        <f t="shared" si="74"/>
        <v>0.9995958374299998</v>
      </c>
      <c r="AH212" s="4">
        <v>4</v>
      </c>
      <c r="AI212" s="10">
        <f t="shared" si="75"/>
        <v>0.69971708620099982</v>
      </c>
      <c r="AJ212" s="4">
        <v>1</v>
      </c>
      <c r="AK212" s="10">
        <f t="shared" si="76"/>
        <v>1.6898019603406997</v>
      </c>
      <c r="AL212" s="4">
        <v>4</v>
      </c>
      <c r="AM212" s="10">
        <f t="shared" si="77"/>
        <v>1.4828613722384898</v>
      </c>
      <c r="AN212" s="5">
        <f t="shared" si="78"/>
        <v>2.5171386277615104</v>
      </c>
      <c r="AO212" s="6">
        <f t="shared" si="79"/>
        <v>0.62928465694037761</v>
      </c>
    </row>
    <row r="213" spans="1:41" x14ac:dyDescent="0.25">
      <c r="A213" t="s">
        <v>934</v>
      </c>
      <c r="B213" t="s">
        <v>2863</v>
      </c>
      <c r="C213" t="str">
        <f>_xlfn.XLOOKUP(A213,Fore!A:A,Fore!AC:AC)</f>
        <v>CY</v>
      </c>
      <c r="D213" s="4" t="s">
        <v>3057</v>
      </c>
      <c r="E213" s="10" t="str">
        <f t="shared" si="60"/>
        <v>0</v>
      </c>
      <c r="F213" s="4" t="s">
        <v>3057</v>
      </c>
      <c r="G213" s="10">
        <f t="shared" si="61"/>
        <v>0</v>
      </c>
      <c r="H213" s="4" t="s">
        <v>3057</v>
      </c>
      <c r="I213" s="10">
        <f t="shared" si="62"/>
        <v>0</v>
      </c>
      <c r="J213" s="4" t="s">
        <v>3057</v>
      </c>
      <c r="K213" s="10">
        <f t="shared" si="63"/>
        <v>0</v>
      </c>
      <c r="L213" s="4">
        <v>5</v>
      </c>
      <c r="M213" s="10">
        <f t="shared" si="64"/>
        <v>0</v>
      </c>
      <c r="N213" s="4" t="s">
        <v>3057</v>
      </c>
      <c r="O213" s="10">
        <f t="shared" si="65"/>
        <v>3.5</v>
      </c>
      <c r="P213" s="4" t="s">
        <v>3057</v>
      </c>
      <c r="Q213" s="10">
        <f t="shared" si="66"/>
        <v>2.4499999999999997</v>
      </c>
      <c r="R213" s="4">
        <v>9.9999999999999964</v>
      </c>
      <c r="S213" s="10">
        <f t="shared" si="67"/>
        <v>1.7149999999999996</v>
      </c>
      <c r="T213" s="4">
        <v>5</v>
      </c>
      <c r="U213" s="10">
        <f t="shared" si="68"/>
        <v>4.2004999999999981</v>
      </c>
      <c r="V213" s="4" t="s">
        <v>3057</v>
      </c>
      <c r="W213" s="10">
        <f t="shared" si="69"/>
        <v>4.4403499999999987</v>
      </c>
      <c r="X213" s="4">
        <v>0</v>
      </c>
      <c r="Y213" s="10">
        <f t="shared" si="70"/>
        <v>3.1082449999999988</v>
      </c>
      <c r="Z213" s="4" t="s">
        <v>3057</v>
      </c>
      <c r="AA213" s="10">
        <f t="shared" si="71"/>
        <v>2.1757714999999989</v>
      </c>
      <c r="AB213" s="4" t="s">
        <v>3057</v>
      </c>
      <c r="AC213" s="10">
        <f t="shared" si="72"/>
        <v>1.5230400499999992</v>
      </c>
      <c r="AD213" s="4">
        <v>5</v>
      </c>
      <c r="AE213" s="10">
        <f t="shared" si="73"/>
        <v>1.0661280349999993</v>
      </c>
      <c r="AF213" s="4" t="s">
        <v>3057</v>
      </c>
      <c r="AG213" s="10">
        <f t="shared" si="74"/>
        <v>2.2462896244999992</v>
      </c>
      <c r="AH213" s="4" t="s">
        <v>3057</v>
      </c>
      <c r="AI213" s="10">
        <f t="shared" si="75"/>
        <v>1.5724027371499993</v>
      </c>
      <c r="AJ213" s="4" t="s">
        <v>3057</v>
      </c>
      <c r="AK213" s="10">
        <f t="shared" si="76"/>
        <v>1.1006819160049994</v>
      </c>
      <c r="AL213" s="4" t="s">
        <v>3057</v>
      </c>
      <c r="AM213" s="10">
        <f t="shared" si="77"/>
        <v>0.77047734120349953</v>
      </c>
      <c r="AN213" s="5">
        <f t="shared" si="78"/>
        <v>0.77047734120349953</v>
      </c>
      <c r="AO213" s="6" t="str">
        <f t="shared" si="79"/>
        <v>0</v>
      </c>
    </row>
    <row r="214" spans="1:41" x14ac:dyDescent="0.25">
      <c r="A214" t="s">
        <v>643</v>
      </c>
      <c r="B214" t="s">
        <v>2719</v>
      </c>
      <c r="C214" t="str">
        <f>_xlfn.XLOOKUP(A214,Fore!A:A,Fore!AC:AC)</f>
        <v>CY</v>
      </c>
      <c r="D214" s="4" t="s">
        <v>3057</v>
      </c>
      <c r="E214" s="10" t="str">
        <f t="shared" si="60"/>
        <v>0</v>
      </c>
      <c r="F214" s="4" t="s">
        <v>3057</v>
      </c>
      <c r="G214" s="10">
        <f t="shared" si="61"/>
        <v>0</v>
      </c>
      <c r="H214" s="4" t="s">
        <v>3057</v>
      </c>
      <c r="I214" s="10">
        <f t="shared" si="62"/>
        <v>0</v>
      </c>
      <c r="J214" s="4" t="s">
        <v>3057</v>
      </c>
      <c r="K214" s="10">
        <f t="shared" si="63"/>
        <v>0</v>
      </c>
      <c r="L214" s="4">
        <v>5</v>
      </c>
      <c r="M214" s="10">
        <f t="shared" si="64"/>
        <v>0</v>
      </c>
      <c r="N214" s="4">
        <v>2</v>
      </c>
      <c r="O214" s="10">
        <f t="shared" si="65"/>
        <v>3.5</v>
      </c>
      <c r="P214" s="4">
        <v>5</v>
      </c>
      <c r="Q214" s="10">
        <f t="shared" si="66"/>
        <v>3.05</v>
      </c>
      <c r="R214" s="4" t="s">
        <v>3057</v>
      </c>
      <c r="S214" s="10">
        <f t="shared" si="67"/>
        <v>3.6349999999999998</v>
      </c>
      <c r="T214" s="4" t="s">
        <v>3057</v>
      </c>
      <c r="U214" s="10">
        <f t="shared" si="68"/>
        <v>2.5444999999999998</v>
      </c>
      <c r="V214" s="4" t="s">
        <v>3057</v>
      </c>
      <c r="W214" s="10">
        <f t="shared" si="69"/>
        <v>1.7811499999999998</v>
      </c>
      <c r="X214" s="4">
        <v>2</v>
      </c>
      <c r="Y214" s="10">
        <f t="shared" si="70"/>
        <v>1.2468049999999997</v>
      </c>
      <c r="Z214" s="4" t="s">
        <v>3057</v>
      </c>
      <c r="AA214" s="10">
        <f t="shared" si="71"/>
        <v>1.4727634999999997</v>
      </c>
      <c r="AB214" s="4" t="s">
        <v>3057</v>
      </c>
      <c r="AC214" s="10">
        <f t="shared" si="72"/>
        <v>1.0309344499999997</v>
      </c>
      <c r="AD214" s="4" t="s">
        <v>3057</v>
      </c>
      <c r="AE214" s="10">
        <f t="shared" si="73"/>
        <v>0.72165411499999976</v>
      </c>
      <c r="AF214" s="4" t="s">
        <v>3057</v>
      </c>
      <c r="AG214" s="10">
        <f t="shared" si="74"/>
        <v>0.50515788049999977</v>
      </c>
      <c r="AH214" s="4" t="s">
        <v>3057</v>
      </c>
      <c r="AI214" s="10">
        <f t="shared" si="75"/>
        <v>0.35361051634999979</v>
      </c>
      <c r="AJ214" s="4">
        <v>10</v>
      </c>
      <c r="AK214" s="10">
        <f t="shared" si="76"/>
        <v>0.24752736144499984</v>
      </c>
      <c r="AL214" s="4" t="s">
        <v>3057</v>
      </c>
      <c r="AM214" s="10">
        <f t="shared" si="77"/>
        <v>3.1732691530114998</v>
      </c>
      <c r="AN214" s="5">
        <f t="shared" si="78"/>
        <v>3.1732691530114998</v>
      </c>
      <c r="AO214" s="6" t="str">
        <f t="shared" si="79"/>
        <v>0</v>
      </c>
    </row>
    <row r="215" spans="1:41" x14ac:dyDescent="0.25">
      <c r="A215" t="s">
        <v>122</v>
      </c>
      <c r="B215" t="s">
        <v>2878</v>
      </c>
      <c r="C215" t="str">
        <f>_xlfn.XLOOKUP(A215,Fore!A:A,Fore!AC:AC)</f>
        <v>CY</v>
      </c>
      <c r="D215" s="4" t="s">
        <v>3057</v>
      </c>
      <c r="E215" s="10" t="str">
        <f t="shared" si="60"/>
        <v>0</v>
      </c>
      <c r="F215" s="4" t="s">
        <v>3057</v>
      </c>
      <c r="G215" s="10">
        <f t="shared" si="61"/>
        <v>0</v>
      </c>
      <c r="H215" s="4" t="s">
        <v>3057</v>
      </c>
      <c r="I215" s="10">
        <f t="shared" si="62"/>
        <v>0</v>
      </c>
      <c r="J215" s="4">
        <v>1</v>
      </c>
      <c r="K215" s="10">
        <f t="shared" si="63"/>
        <v>0</v>
      </c>
      <c r="L215" s="4" t="s">
        <v>3057</v>
      </c>
      <c r="M215" s="10">
        <f t="shared" si="64"/>
        <v>0.3</v>
      </c>
      <c r="N215" s="4">
        <v>2</v>
      </c>
      <c r="O215" s="10">
        <f t="shared" si="65"/>
        <v>0.09</v>
      </c>
      <c r="P215" s="4">
        <v>4</v>
      </c>
      <c r="Q215" s="10">
        <f t="shared" si="66"/>
        <v>0.66300000000000003</v>
      </c>
      <c r="R215" s="4" t="s">
        <v>3057</v>
      </c>
      <c r="S215" s="10">
        <f t="shared" si="67"/>
        <v>1.6640999999999999</v>
      </c>
      <c r="T215" s="4" t="s">
        <v>3057</v>
      </c>
      <c r="U215" s="10">
        <f t="shared" si="68"/>
        <v>1.1648699999999999</v>
      </c>
      <c r="V215" s="4">
        <v>5.9999999999999973</v>
      </c>
      <c r="W215" s="10">
        <f t="shared" si="69"/>
        <v>0.81540899999999983</v>
      </c>
      <c r="X215" s="4">
        <v>0</v>
      </c>
      <c r="Y215" s="10">
        <f t="shared" si="70"/>
        <v>2.3707862999999989</v>
      </c>
      <c r="Z215" s="4" t="s">
        <v>3057</v>
      </c>
      <c r="AA215" s="10">
        <f t="shared" si="71"/>
        <v>1.6595504099999991</v>
      </c>
      <c r="AB215" s="4">
        <v>10</v>
      </c>
      <c r="AC215" s="10">
        <f t="shared" si="72"/>
        <v>1.1616852869999994</v>
      </c>
      <c r="AD215" s="4">
        <v>1</v>
      </c>
      <c r="AE215" s="10">
        <f t="shared" si="73"/>
        <v>3.8131797008999997</v>
      </c>
      <c r="AF215" s="4" t="s">
        <v>3057</v>
      </c>
      <c r="AG215" s="10">
        <f t="shared" si="74"/>
        <v>2.9692257906299995</v>
      </c>
      <c r="AH215" s="4" t="s">
        <v>3057</v>
      </c>
      <c r="AI215" s="10">
        <f t="shared" si="75"/>
        <v>2.0784580534409995</v>
      </c>
      <c r="AJ215" s="4" t="s">
        <v>3057</v>
      </c>
      <c r="AK215" s="10">
        <f t="shared" si="76"/>
        <v>1.4549206374086996</v>
      </c>
      <c r="AL215" s="4" t="s">
        <v>3057</v>
      </c>
      <c r="AM215" s="10">
        <f t="shared" si="77"/>
        <v>1.0184444461860898</v>
      </c>
      <c r="AN215" s="5">
        <f t="shared" si="78"/>
        <v>1.0184444461860898</v>
      </c>
      <c r="AO215" s="6" t="str">
        <f t="shared" si="79"/>
        <v>0</v>
      </c>
    </row>
    <row r="216" spans="1:41" x14ac:dyDescent="0.25">
      <c r="A216" t="s">
        <v>929</v>
      </c>
      <c r="B216" t="s">
        <v>2777</v>
      </c>
      <c r="C216" t="str">
        <f>_xlfn.XLOOKUP(A216,Fore!A:A,Fore!AC:AC)</f>
        <v>CY</v>
      </c>
      <c r="D216" s="4" t="s">
        <v>3057</v>
      </c>
      <c r="E216" s="10" t="str">
        <f t="shared" si="60"/>
        <v>0</v>
      </c>
      <c r="F216" s="4" t="s">
        <v>3057</v>
      </c>
      <c r="G216" s="10">
        <f t="shared" si="61"/>
        <v>0</v>
      </c>
      <c r="H216" s="4" t="s">
        <v>3057</v>
      </c>
      <c r="I216" s="10">
        <f t="shared" si="62"/>
        <v>0</v>
      </c>
      <c r="J216" s="4" t="s">
        <v>3057</v>
      </c>
      <c r="K216" s="10">
        <f t="shared" si="63"/>
        <v>0</v>
      </c>
      <c r="L216" s="4" t="s">
        <v>3057</v>
      </c>
      <c r="M216" s="10">
        <f t="shared" si="64"/>
        <v>0</v>
      </c>
      <c r="N216" s="4" t="s">
        <v>3057</v>
      </c>
      <c r="O216" s="10">
        <f t="shared" si="65"/>
        <v>0</v>
      </c>
      <c r="P216" s="4" t="s">
        <v>3057</v>
      </c>
      <c r="Q216" s="10">
        <f t="shared" si="66"/>
        <v>0</v>
      </c>
      <c r="R216" s="4" t="s">
        <v>3057</v>
      </c>
      <c r="S216" s="10">
        <f t="shared" si="67"/>
        <v>0</v>
      </c>
      <c r="T216" s="4">
        <v>7</v>
      </c>
      <c r="U216" s="10">
        <f t="shared" si="68"/>
        <v>0</v>
      </c>
      <c r="V216" s="4">
        <v>3.0000000000000009</v>
      </c>
      <c r="W216" s="10">
        <f t="shared" si="69"/>
        <v>2.1</v>
      </c>
      <c r="X216" s="4">
        <v>1</v>
      </c>
      <c r="Y216" s="10">
        <f t="shared" si="70"/>
        <v>2.37</v>
      </c>
      <c r="Z216" s="4">
        <v>6</v>
      </c>
      <c r="AA216" s="10">
        <f t="shared" si="71"/>
        <v>1.9590000000000001</v>
      </c>
      <c r="AB216" s="4">
        <v>1</v>
      </c>
      <c r="AC216" s="10">
        <f t="shared" si="72"/>
        <v>3.1712999999999996</v>
      </c>
      <c r="AD216" s="4" t="s">
        <v>3057</v>
      </c>
      <c r="AE216" s="10">
        <f t="shared" si="73"/>
        <v>2.5199099999999994</v>
      </c>
      <c r="AF216" s="4">
        <v>3</v>
      </c>
      <c r="AG216" s="10">
        <f t="shared" si="74"/>
        <v>1.7639369999999994</v>
      </c>
      <c r="AH216" s="4" t="s">
        <v>3057</v>
      </c>
      <c r="AI216" s="10">
        <f t="shared" si="75"/>
        <v>2.1347558999999992</v>
      </c>
      <c r="AJ216" s="4">
        <v>2</v>
      </c>
      <c r="AK216" s="10">
        <f t="shared" si="76"/>
        <v>1.4943291299999992</v>
      </c>
      <c r="AL216" s="4" t="s">
        <v>3057</v>
      </c>
      <c r="AM216" s="10">
        <f t="shared" si="77"/>
        <v>1.6460303909999996</v>
      </c>
      <c r="AN216" s="5">
        <f t="shared" si="78"/>
        <v>1.6460303909999996</v>
      </c>
      <c r="AO216" s="6" t="str">
        <f t="shared" si="79"/>
        <v>0</v>
      </c>
    </row>
    <row r="217" spans="1:41" x14ac:dyDescent="0.25">
      <c r="A217" t="s">
        <v>1640</v>
      </c>
      <c r="B217" t="s">
        <v>2879</v>
      </c>
      <c r="C217" t="str">
        <f>_xlfn.XLOOKUP(A217,Fore!A:A,Fore!AC:AC)</f>
        <v>CY</v>
      </c>
      <c r="D217" s="4" t="s">
        <v>3057</v>
      </c>
      <c r="E217" s="10" t="str">
        <f t="shared" si="60"/>
        <v>0</v>
      </c>
      <c r="F217" s="4" t="s">
        <v>3057</v>
      </c>
      <c r="G217" s="10">
        <f t="shared" si="61"/>
        <v>0</v>
      </c>
      <c r="H217" s="4" t="s">
        <v>3057</v>
      </c>
      <c r="I217" s="10">
        <f t="shared" si="62"/>
        <v>0</v>
      </c>
      <c r="J217" s="4" t="s">
        <v>3057</v>
      </c>
      <c r="K217" s="10">
        <f t="shared" si="63"/>
        <v>0</v>
      </c>
      <c r="L217" s="4" t="s">
        <v>3057</v>
      </c>
      <c r="M217" s="10">
        <f t="shared" si="64"/>
        <v>0</v>
      </c>
      <c r="N217" s="4" t="s">
        <v>3057</v>
      </c>
      <c r="O217" s="10">
        <f t="shared" si="65"/>
        <v>0</v>
      </c>
      <c r="P217" s="4">
        <v>5</v>
      </c>
      <c r="Q217" s="10">
        <f t="shared" si="66"/>
        <v>0</v>
      </c>
      <c r="R217" s="4" t="s">
        <v>3057</v>
      </c>
      <c r="S217" s="10">
        <f t="shared" si="67"/>
        <v>1.5</v>
      </c>
      <c r="T217" s="4">
        <v>16.999999999999996</v>
      </c>
      <c r="U217" s="10">
        <f t="shared" si="68"/>
        <v>1.0499999999999998</v>
      </c>
      <c r="V217" s="4" t="s">
        <v>3057</v>
      </c>
      <c r="W217" s="10">
        <f t="shared" si="69"/>
        <v>5.8349999999999991</v>
      </c>
      <c r="X217" s="4">
        <v>1</v>
      </c>
      <c r="Y217" s="10">
        <f t="shared" si="70"/>
        <v>4.0844999999999994</v>
      </c>
      <c r="Z217" s="4" t="s">
        <v>3057</v>
      </c>
      <c r="AA217" s="10">
        <f t="shared" si="71"/>
        <v>3.159149999999999</v>
      </c>
      <c r="AB217" s="4" t="s">
        <v>3057</v>
      </c>
      <c r="AC217" s="10">
        <f t="shared" si="72"/>
        <v>2.2114049999999992</v>
      </c>
      <c r="AD217" s="4" t="s">
        <v>3057</v>
      </c>
      <c r="AE217" s="10">
        <f t="shared" si="73"/>
        <v>1.5479834999999993</v>
      </c>
      <c r="AF217" s="4" t="s">
        <v>3057</v>
      </c>
      <c r="AG217" s="10">
        <f t="shared" si="74"/>
        <v>1.0835884499999995</v>
      </c>
      <c r="AH217" s="4" t="s">
        <v>3057</v>
      </c>
      <c r="AI217" s="10">
        <f t="shared" si="75"/>
        <v>0.75851191499999959</v>
      </c>
      <c r="AJ217" s="4" t="s">
        <v>3057</v>
      </c>
      <c r="AK217" s="10">
        <f t="shared" si="76"/>
        <v>0.53095834049999968</v>
      </c>
      <c r="AL217" s="4" t="s">
        <v>3057</v>
      </c>
      <c r="AM217" s="10">
        <f t="shared" si="77"/>
        <v>0.37167083834999975</v>
      </c>
      <c r="AN217" s="5">
        <f t="shared" si="78"/>
        <v>0.37167083834999975</v>
      </c>
      <c r="AO217" s="6" t="str">
        <f t="shared" si="79"/>
        <v>0</v>
      </c>
    </row>
    <row r="218" spans="1:41" x14ac:dyDescent="0.25">
      <c r="A218" t="s">
        <v>499</v>
      </c>
      <c r="B218" t="s">
        <v>2854</v>
      </c>
      <c r="C218" t="str">
        <f>_xlfn.XLOOKUP(A218,Fore!A:A,Fore!AC:AC)</f>
        <v>CY</v>
      </c>
      <c r="D218" s="4" t="s">
        <v>3057</v>
      </c>
      <c r="E218" s="10" t="str">
        <f t="shared" si="60"/>
        <v>0</v>
      </c>
      <c r="F218" s="4" t="s">
        <v>3057</v>
      </c>
      <c r="G218" s="10">
        <f t="shared" si="61"/>
        <v>0</v>
      </c>
      <c r="H218" s="4" t="s">
        <v>3057</v>
      </c>
      <c r="I218" s="10">
        <f t="shared" si="62"/>
        <v>0</v>
      </c>
      <c r="J218" s="4" t="s">
        <v>3057</v>
      </c>
      <c r="K218" s="10">
        <f t="shared" si="63"/>
        <v>0</v>
      </c>
      <c r="L218" s="4" t="s">
        <v>3057</v>
      </c>
      <c r="M218" s="10">
        <f t="shared" si="64"/>
        <v>0</v>
      </c>
      <c r="N218" s="4">
        <v>5</v>
      </c>
      <c r="O218" s="10">
        <f t="shared" si="65"/>
        <v>0</v>
      </c>
      <c r="P218" s="4" t="s">
        <v>3057</v>
      </c>
      <c r="Q218" s="10">
        <f t="shared" si="66"/>
        <v>1.5</v>
      </c>
      <c r="R218" s="4" t="s">
        <v>3057</v>
      </c>
      <c r="S218" s="10">
        <f t="shared" si="67"/>
        <v>1.0499999999999998</v>
      </c>
      <c r="T218" s="4" t="s">
        <v>3057</v>
      </c>
      <c r="U218" s="10">
        <f t="shared" si="68"/>
        <v>0.73499999999999988</v>
      </c>
      <c r="V218" s="4" t="s">
        <v>3057</v>
      </c>
      <c r="W218" s="10">
        <f t="shared" si="69"/>
        <v>0.51449999999999985</v>
      </c>
      <c r="X218" s="4">
        <v>0</v>
      </c>
      <c r="Y218" s="10">
        <f t="shared" si="70"/>
        <v>0.36014999999999986</v>
      </c>
      <c r="Z218" s="4" t="s">
        <v>3057</v>
      </c>
      <c r="AA218" s="10">
        <f t="shared" si="71"/>
        <v>0.25210499999999991</v>
      </c>
      <c r="AB218" s="4">
        <v>12</v>
      </c>
      <c r="AC218" s="10">
        <f t="shared" si="72"/>
        <v>0.17647349999999992</v>
      </c>
      <c r="AD218" s="4">
        <v>5</v>
      </c>
      <c r="AE218" s="10">
        <f t="shared" si="73"/>
        <v>3.7235314499999994</v>
      </c>
      <c r="AF218" s="4" t="s">
        <v>3057</v>
      </c>
      <c r="AG218" s="10">
        <f t="shared" si="74"/>
        <v>4.1064720149999996</v>
      </c>
      <c r="AH218" s="4" t="s">
        <v>3057</v>
      </c>
      <c r="AI218" s="10">
        <f t="shared" si="75"/>
        <v>2.8745304104999994</v>
      </c>
      <c r="AJ218" s="4" t="s">
        <v>3057</v>
      </c>
      <c r="AK218" s="10">
        <f t="shared" si="76"/>
        <v>2.0121712873499993</v>
      </c>
      <c r="AL218" s="4" t="s">
        <v>3057</v>
      </c>
      <c r="AM218" s="10">
        <f t="shared" si="77"/>
        <v>1.4085199011449994</v>
      </c>
      <c r="AN218" s="5">
        <f t="shared" si="78"/>
        <v>1.4085199011449994</v>
      </c>
      <c r="AO218" s="6" t="str">
        <f t="shared" si="79"/>
        <v>0</v>
      </c>
    </row>
    <row r="219" spans="1:41" x14ac:dyDescent="0.25">
      <c r="A219" t="s">
        <v>1344</v>
      </c>
      <c r="B219" t="s">
        <v>2698</v>
      </c>
      <c r="C219" t="str">
        <f>_xlfn.XLOOKUP(A219,Fore!A:A,Fore!AC:AC)</f>
        <v>CX</v>
      </c>
      <c r="D219" s="4" t="s">
        <v>3057</v>
      </c>
      <c r="E219" s="10" t="str">
        <f t="shared" si="60"/>
        <v>0</v>
      </c>
      <c r="F219" s="4" t="s">
        <v>3057</v>
      </c>
      <c r="G219" s="10">
        <f t="shared" si="61"/>
        <v>0</v>
      </c>
      <c r="H219" s="4" t="s">
        <v>3057</v>
      </c>
      <c r="I219" s="10">
        <f t="shared" si="62"/>
        <v>0</v>
      </c>
      <c r="J219" s="4" t="s">
        <v>3057</v>
      </c>
      <c r="K219" s="10">
        <f t="shared" si="63"/>
        <v>0</v>
      </c>
      <c r="L219" s="4">
        <v>4</v>
      </c>
      <c r="M219" s="10">
        <f t="shared" si="64"/>
        <v>0</v>
      </c>
      <c r="N219" s="4">
        <v>2</v>
      </c>
      <c r="O219" s="10">
        <f t="shared" si="65"/>
        <v>2.8</v>
      </c>
      <c r="P219" s="4" t="s">
        <v>3057</v>
      </c>
      <c r="Q219" s="10">
        <f t="shared" si="66"/>
        <v>2.5599999999999996</v>
      </c>
      <c r="R219" s="4">
        <v>5</v>
      </c>
      <c r="S219" s="10">
        <f t="shared" si="67"/>
        <v>1.7919999999999996</v>
      </c>
      <c r="T219" s="4">
        <v>1.9999999999999996</v>
      </c>
      <c r="U219" s="10">
        <f t="shared" si="68"/>
        <v>2.7543999999999995</v>
      </c>
      <c r="V219" s="4" t="s">
        <v>3057</v>
      </c>
      <c r="W219" s="10">
        <f t="shared" si="69"/>
        <v>2.5280799999999992</v>
      </c>
      <c r="X219" s="4">
        <v>2</v>
      </c>
      <c r="Y219" s="10">
        <f t="shared" si="70"/>
        <v>1.7696559999999992</v>
      </c>
      <c r="Z219" s="4" t="s">
        <v>3057</v>
      </c>
      <c r="AA219" s="10">
        <f t="shared" si="71"/>
        <v>1.8387591999999993</v>
      </c>
      <c r="AB219" s="4" t="s">
        <v>3057</v>
      </c>
      <c r="AC219" s="10">
        <f t="shared" si="72"/>
        <v>1.2871314399999993</v>
      </c>
      <c r="AD219" s="4" t="s">
        <v>3057</v>
      </c>
      <c r="AE219" s="10">
        <f t="shared" si="73"/>
        <v>0.90099200799999946</v>
      </c>
      <c r="AF219" s="4">
        <v>3</v>
      </c>
      <c r="AG219" s="10">
        <f t="shared" si="74"/>
        <v>0.63069440559999956</v>
      </c>
      <c r="AH219" s="4" t="s">
        <v>3057</v>
      </c>
      <c r="AI219" s="10">
        <f t="shared" si="75"/>
        <v>1.3414860839199996</v>
      </c>
      <c r="AJ219" s="4" t="s">
        <v>3057</v>
      </c>
      <c r="AK219" s="10">
        <f t="shared" si="76"/>
        <v>0.93904025874399966</v>
      </c>
      <c r="AL219" s="4">
        <v>2.9999999999999991</v>
      </c>
      <c r="AM219" s="10">
        <f t="shared" si="77"/>
        <v>0.65732818112079971</v>
      </c>
      <c r="AN219" s="5">
        <f t="shared" si="78"/>
        <v>2.3426718188791993</v>
      </c>
      <c r="AO219" s="6">
        <f t="shared" si="79"/>
        <v>0.78089060629306661</v>
      </c>
    </row>
    <row r="220" spans="1:41" x14ac:dyDescent="0.25">
      <c r="A220" t="s">
        <v>2280</v>
      </c>
      <c r="B220" t="s">
        <v>2671</v>
      </c>
      <c r="C220" t="str">
        <f>_xlfn.XLOOKUP(A220,Fore!A:A,Fore!AC:AC)</f>
        <v>CY</v>
      </c>
      <c r="D220" s="4" t="s">
        <v>3057</v>
      </c>
      <c r="E220" s="10" t="str">
        <f t="shared" si="60"/>
        <v>0</v>
      </c>
      <c r="F220" s="4" t="s">
        <v>3057</v>
      </c>
      <c r="G220" s="10">
        <f t="shared" si="61"/>
        <v>0</v>
      </c>
      <c r="H220" s="4" t="s">
        <v>3057</v>
      </c>
      <c r="I220" s="10">
        <f t="shared" si="62"/>
        <v>0</v>
      </c>
      <c r="J220" s="4" t="s">
        <v>3057</v>
      </c>
      <c r="K220" s="10">
        <f t="shared" si="63"/>
        <v>0</v>
      </c>
      <c r="L220" s="4" t="s">
        <v>3057</v>
      </c>
      <c r="M220" s="10">
        <f t="shared" si="64"/>
        <v>0</v>
      </c>
      <c r="N220" s="4" t="s">
        <v>3057</v>
      </c>
      <c r="O220" s="10">
        <f t="shared" si="65"/>
        <v>0</v>
      </c>
      <c r="P220" s="4" t="s">
        <v>3057</v>
      </c>
      <c r="Q220" s="10">
        <f t="shared" si="66"/>
        <v>0</v>
      </c>
      <c r="R220" s="4" t="s">
        <v>3057</v>
      </c>
      <c r="S220" s="10">
        <f t="shared" si="67"/>
        <v>0</v>
      </c>
      <c r="T220" s="4" t="s">
        <v>3057</v>
      </c>
      <c r="U220" s="10">
        <f t="shared" si="68"/>
        <v>0</v>
      </c>
      <c r="V220" s="4" t="s">
        <v>3057</v>
      </c>
      <c r="W220" s="10">
        <f t="shared" si="69"/>
        <v>0</v>
      </c>
      <c r="X220" s="4">
        <v>0</v>
      </c>
      <c r="Y220" s="10">
        <f t="shared" si="70"/>
        <v>0</v>
      </c>
      <c r="Z220" s="4" t="s">
        <v>3057</v>
      </c>
      <c r="AA220" s="10">
        <f t="shared" si="71"/>
        <v>0</v>
      </c>
      <c r="AB220" s="4" t="s">
        <v>3057</v>
      </c>
      <c r="AC220" s="10">
        <f t="shared" si="72"/>
        <v>0</v>
      </c>
      <c r="AD220" s="4" t="s">
        <v>3057</v>
      </c>
      <c r="AE220" s="10">
        <f t="shared" si="73"/>
        <v>0</v>
      </c>
      <c r="AF220" s="4" t="s">
        <v>3057</v>
      </c>
      <c r="AG220" s="10">
        <f t="shared" si="74"/>
        <v>0</v>
      </c>
      <c r="AH220" s="4" t="s">
        <v>3057</v>
      </c>
      <c r="AI220" s="10">
        <f t="shared" si="75"/>
        <v>0</v>
      </c>
      <c r="AJ220" s="4">
        <v>20</v>
      </c>
      <c r="AK220" s="10">
        <f t="shared" si="76"/>
        <v>0</v>
      </c>
      <c r="AL220" s="4" t="s">
        <v>3057</v>
      </c>
      <c r="AM220" s="10">
        <f t="shared" si="77"/>
        <v>6</v>
      </c>
      <c r="AN220" s="5">
        <f t="shared" si="78"/>
        <v>6</v>
      </c>
      <c r="AO220" s="6" t="str">
        <f t="shared" si="79"/>
        <v>0</v>
      </c>
    </row>
    <row r="221" spans="1:41" x14ac:dyDescent="0.25">
      <c r="A221" t="s">
        <v>736</v>
      </c>
      <c r="B221" t="s">
        <v>2747</v>
      </c>
      <c r="C221" t="str">
        <f>_xlfn.XLOOKUP(A221,Fore!A:A,Fore!AC:AC)</f>
        <v>CY</v>
      </c>
      <c r="D221" s="4">
        <v>4</v>
      </c>
      <c r="E221" s="10">
        <f t="shared" si="60"/>
        <v>4</v>
      </c>
      <c r="F221" s="4" t="s">
        <v>3057</v>
      </c>
      <c r="G221" s="10">
        <f t="shared" si="61"/>
        <v>4</v>
      </c>
      <c r="H221" s="4" t="s">
        <v>3057</v>
      </c>
      <c r="I221" s="10">
        <f t="shared" si="62"/>
        <v>2.8</v>
      </c>
      <c r="J221" s="4">
        <v>1</v>
      </c>
      <c r="K221" s="10">
        <f t="shared" si="63"/>
        <v>1.9599999999999997</v>
      </c>
      <c r="L221" s="4">
        <v>2</v>
      </c>
      <c r="M221" s="10">
        <f t="shared" si="64"/>
        <v>1.6719999999999997</v>
      </c>
      <c r="N221" s="4" t="s">
        <v>3057</v>
      </c>
      <c r="O221" s="10">
        <f t="shared" si="65"/>
        <v>1.9015999999999997</v>
      </c>
      <c r="P221" s="4">
        <v>1</v>
      </c>
      <c r="Q221" s="10">
        <f t="shared" si="66"/>
        <v>1.3311199999999996</v>
      </c>
      <c r="R221" s="4">
        <v>1</v>
      </c>
      <c r="S221" s="10">
        <f t="shared" si="67"/>
        <v>1.2317839999999998</v>
      </c>
      <c r="T221" s="4" t="s">
        <v>3057</v>
      </c>
      <c r="U221" s="10">
        <f t="shared" si="68"/>
        <v>1.1622487999999997</v>
      </c>
      <c r="V221" s="4">
        <v>2</v>
      </c>
      <c r="W221" s="10">
        <f t="shared" si="69"/>
        <v>0.81357415999999982</v>
      </c>
      <c r="X221" s="4">
        <v>0</v>
      </c>
      <c r="Y221" s="10">
        <f t="shared" si="70"/>
        <v>1.1695019119999999</v>
      </c>
      <c r="Z221" s="4" t="s">
        <v>3057</v>
      </c>
      <c r="AA221" s="10">
        <f t="shared" si="71"/>
        <v>0.81865133839999982</v>
      </c>
      <c r="AB221" s="4">
        <v>1</v>
      </c>
      <c r="AC221" s="10">
        <f t="shared" si="72"/>
        <v>0.57305593687999978</v>
      </c>
      <c r="AD221" s="4">
        <v>2</v>
      </c>
      <c r="AE221" s="10">
        <f t="shared" si="73"/>
        <v>0.70113915581599984</v>
      </c>
      <c r="AF221" s="4">
        <v>1</v>
      </c>
      <c r="AG221" s="10">
        <f t="shared" si="74"/>
        <v>1.0907974090711998</v>
      </c>
      <c r="AH221" s="4">
        <v>2</v>
      </c>
      <c r="AI221" s="10">
        <f t="shared" si="75"/>
        <v>1.0635581863498398</v>
      </c>
      <c r="AJ221" s="4">
        <v>1</v>
      </c>
      <c r="AK221" s="10">
        <f t="shared" si="76"/>
        <v>1.3444907304448876</v>
      </c>
      <c r="AL221" s="4">
        <v>2</v>
      </c>
      <c r="AM221" s="10">
        <f t="shared" si="77"/>
        <v>1.2411435113114213</v>
      </c>
      <c r="AN221" s="5">
        <f t="shared" si="78"/>
        <v>0.75885648868857869</v>
      </c>
      <c r="AO221" s="6">
        <f t="shared" si="79"/>
        <v>0.37942824434428934</v>
      </c>
    </row>
    <row r="222" spans="1:41" x14ac:dyDescent="0.25">
      <c r="A222" t="s">
        <v>1625</v>
      </c>
      <c r="B222" t="s">
        <v>2888</v>
      </c>
      <c r="C222" t="str">
        <f>_xlfn.XLOOKUP(A222,Fore!A:A,Fore!AC:AC)</f>
        <v>CY</v>
      </c>
      <c r="D222" s="4" t="s">
        <v>3057</v>
      </c>
      <c r="E222" s="10" t="str">
        <f t="shared" si="60"/>
        <v>0</v>
      </c>
      <c r="F222" s="4" t="s">
        <v>3057</v>
      </c>
      <c r="G222" s="10">
        <f t="shared" si="61"/>
        <v>0</v>
      </c>
      <c r="H222" s="4" t="s">
        <v>3057</v>
      </c>
      <c r="I222" s="10">
        <f t="shared" si="62"/>
        <v>0</v>
      </c>
      <c r="J222" s="4" t="s">
        <v>3057</v>
      </c>
      <c r="K222" s="10">
        <f t="shared" si="63"/>
        <v>0</v>
      </c>
      <c r="L222" s="4" t="s">
        <v>3057</v>
      </c>
      <c r="M222" s="10">
        <f t="shared" si="64"/>
        <v>0</v>
      </c>
      <c r="N222" s="4" t="s">
        <v>3057</v>
      </c>
      <c r="O222" s="10">
        <f t="shared" si="65"/>
        <v>0</v>
      </c>
      <c r="P222" s="4">
        <v>5</v>
      </c>
      <c r="Q222" s="10">
        <f t="shared" si="66"/>
        <v>0</v>
      </c>
      <c r="R222" s="4" t="s">
        <v>3057</v>
      </c>
      <c r="S222" s="10">
        <f t="shared" si="67"/>
        <v>1.5</v>
      </c>
      <c r="T222" s="4">
        <v>3</v>
      </c>
      <c r="U222" s="10">
        <f t="shared" si="68"/>
        <v>1.0499999999999998</v>
      </c>
      <c r="V222" s="4">
        <v>2</v>
      </c>
      <c r="W222" s="10">
        <f t="shared" si="69"/>
        <v>1.6349999999999998</v>
      </c>
      <c r="X222" s="4">
        <v>0</v>
      </c>
      <c r="Y222" s="10">
        <f t="shared" si="70"/>
        <v>1.7444999999999999</v>
      </c>
      <c r="Z222" s="4" t="s">
        <v>3057</v>
      </c>
      <c r="AA222" s="10">
        <f t="shared" si="71"/>
        <v>1.22115</v>
      </c>
      <c r="AB222" s="4" t="s">
        <v>3057</v>
      </c>
      <c r="AC222" s="10">
        <f t="shared" si="72"/>
        <v>0.85480499999999993</v>
      </c>
      <c r="AD222" s="4">
        <v>2</v>
      </c>
      <c r="AE222" s="10">
        <f t="shared" si="73"/>
        <v>0.59836349999999994</v>
      </c>
      <c r="AF222" s="4">
        <v>8</v>
      </c>
      <c r="AG222" s="10">
        <f t="shared" si="74"/>
        <v>1.0188544499999999</v>
      </c>
      <c r="AH222" s="4" t="s">
        <v>3057</v>
      </c>
      <c r="AI222" s="10">
        <f t="shared" si="75"/>
        <v>3.1131981149999999</v>
      </c>
      <c r="AJ222" s="4" t="s">
        <v>3057</v>
      </c>
      <c r="AK222" s="10">
        <f t="shared" si="76"/>
        <v>2.1792386804999997</v>
      </c>
      <c r="AL222" s="4" t="s">
        <v>3057</v>
      </c>
      <c r="AM222" s="10">
        <f t="shared" si="77"/>
        <v>1.5254670763499998</v>
      </c>
      <c r="AN222" s="5">
        <f t="shared" si="78"/>
        <v>1.5254670763499998</v>
      </c>
      <c r="AO222" s="6" t="str">
        <f t="shared" si="79"/>
        <v>0</v>
      </c>
    </row>
    <row r="223" spans="1:41" x14ac:dyDescent="0.25">
      <c r="A223" t="s">
        <v>1674</v>
      </c>
      <c r="B223" t="s">
        <v>2915</v>
      </c>
      <c r="C223" t="str">
        <f>_xlfn.XLOOKUP(A223,Fore!A:A,Fore!AC:AC)</f>
        <v>CY</v>
      </c>
      <c r="D223" s="4" t="s">
        <v>3057</v>
      </c>
      <c r="E223" s="10" t="str">
        <f t="shared" si="60"/>
        <v>0</v>
      </c>
      <c r="F223" s="4" t="s">
        <v>3057</v>
      </c>
      <c r="G223" s="10">
        <f t="shared" si="61"/>
        <v>0</v>
      </c>
      <c r="H223" s="4" t="s">
        <v>3057</v>
      </c>
      <c r="I223" s="10">
        <f t="shared" si="62"/>
        <v>0</v>
      </c>
      <c r="J223" s="4" t="s">
        <v>3057</v>
      </c>
      <c r="K223" s="10">
        <f t="shared" si="63"/>
        <v>0</v>
      </c>
      <c r="L223" s="4" t="s">
        <v>3057</v>
      </c>
      <c r="M223" s="10">
        <f t="shared" si="64"/>
        <v>0</v>
      </c>
      <c r="N223" s="4" t="s">
        <v>3057</v>
      </c>
      <c r="O223" s="10">
        <f t="shared" si="65"/>
        <v>0</v>
      </c>
      <c r="P223" s="4" t="s">
        <v>3057</v>
      </c>
      <c r="Q223" s="10">
        <f t="shared" si="66"/>
        <v>0</v>
      </c>
      <c r="R223" s="4">
        <v>20</v>
      </c>
      <c r="S223" s="10">
        <f t="shared" si="67"/>
        <v>0</v>
      </c>
      <c r="T223" s="4" t="s">
        <v>3057</v>
      </c>
      <c r="U223" s="10">
        <f t="shared" si="68"/>
        <v>6</v>
      </c>
      <c r="V223" s="4" t="s">
        <v>3057</v>
      </c>
      <c r="W223" s="10">
        <f t="shared" si="69"/>
        <v>4.1999999999999993</v>
      </c>
      <c r="X223" s="4">
        <v>0</v>
      </c>
      <c r="Y223" s="10">
        <f t="shared" si="70"/>
        <v>2.9399999999999995</v>
      </c>
      <c r="Z223" s="4" t="s">
        <v>3057</v>
      </c>
      <c r="AA223" s="10">
        <f t="shared" si="71"/>
        <v>2.0579999999999994</v>
      </c>
      <c r="AB223" s="4" t="s">
        <v>3057</v>
      </c>
      <c r="AC223" s="10">
        <f t="shared" si="72"/>
        <v>1.4405999999999994</v>
      </c>
      <c r="AD223" s="4" t="s">
        <v>3057</v>
      </c>
      <c r="AE223" s="10">
        <f t="shared" si="73"/>
        <v>1.0084199999999996</v>
      </c>
      <c r="AF223" s="4" t="s">
        <v>3057</v>
      </c>
      <c r="AG223" s="10">
        <f t="shared" si="74"/>
        <v>0.70589399999999969</v>
      </c>
      <c r="AH223" s="4" t="s">
        <v>3057</v>
      </c>
      <c r="AI223" s="10">
        <f t="shared" si="75"/>
        <v>0.49412579999999973</v>
      </c>
      <c r="AJ223" s="4" t="s">
        <v>3057</v>
      </c>
      <c r="AK223" s="10">
        <f t="shared" si="76"/>
        <v>0.34588805999999978</v>
      </c>
      <c r="AL223" s="4" t="s">
        <v>3057</v>
      </c>
      <c r="AM223" s="10">
        <f t="shared" si="77"/>
        <v>0.24212164199999983</v>
      </c>
      <c r="AN223" s="5">
        <f t="shared" si="78"/>
        <v>0.24212164199999983</v>
      </c>
      <c r="AO223" s="6" t="str">
        <f t="shared" si="79"/>
        <v>0</v>
      </c>
    </row>
    <row r="224" spans="1:41" x14ac:dyDescent="0.25">
      <c r="A224" t="s">
        <v>1359</v>
      </c>
      <c r="B224" t="s">
        <v>2804</v>
      </c>
      <c r="C224" t="str">
        <f>_xlfn.XLOOKUP(A224,Fore!A:A,Fore!AC:AC)</f>
        <v>CY</v>
      </c>
      <c r="D224" s="4" t="s">
        <v>3057</v>
      </c>
      <c r="E224" s="10" t="str">
        <f t="shared" si="60"/>
        <v>0</v>
      </c>
      <c r="F224" s="4" t="s">
        <v>3057</v>
      </c>
      <c r="G224" s="10">
        <f t="shared" si="61"/>
        <v>0</v>
      </c>
      <c r="H224" s="4" t="s">
        <v>3057</v>
      </c>
      <c r="I224" s="10">
        <f t="shared" si="62"/>
        <v>0</v>
      </c>
      <c r="J224" s="4" t="s">
        <v>3057</v>
      </c>
      <c r="K224" s="10">
        <f t="shared" si="63"/>
        <v>0</v>
      </c>
      <c r="L224" s="4">
        <v>1</v>
      </c>
      <c r="M224" s="10">
        <f t="shared" si="64"/>
        <v>0</v>
      </c>
      <c r="N224" s="4" t="s">
        <v>3057</v>
      </c>
      <c r="O224" s="10">
        <f t="shared" si="65"/>
        <v>0.7</v>
      </c>
      <c r="P224" s="4" t="s">
        <v>3057</v>
      </c>
      <c r="Q224" s="10">
        <f t="shared" si="66"/>
        <v>0.48999999999999994</v>
      </c>
      <c r="R224" s="4">
        <v>2.0000000000000009</v>
      </c>
      <c r="S224" s="10">
        <f t="shared" si="67"/>
        <v>0.34299999999999992</v>
      </c>
      <c r="T224" s="4">
        <v>6.0000000000000009</v>
      </c>
      <c r="U224" s="10">
        <f t="shared" si="68"/>
        <v>0.84010000000000007</v>
      </c>
      <c r="V224" s="4">
        <v>1.9999999999999998</v>
      </c>
      <c r="W224" s="10">
        <f t="shared" si="69"/>
        <v>2.3880700000000004</v>
      </c>
      <c r="X224" s="4">
        <v>0</v>
      </c>
      <c r="Y224" s="10">
        <f t="shared" si="70"/>
        <v>2.271649</v>
      </c>
      <c r="Z224" s="4" t="s">
        <v>3057</v>
      </c>
      <c r="AA224" s="10">
        <f t="shared" si="71"/>
        <v>1.5901543</v>
      </c>
      <c r="AB224" s="4">
        <v>2</v>
      </c>
      <c r="AC224" s="10">
        <f t="shared" si="72"/>
        <v>1.1131080099999999</v>
      </c>
      <c r="AD224" s="4" t="s">
        <v>3057</v>
      </c>
      <c r="AE224" s="10">
        <f t="shared" si="73"/>
        <v>1.3791756069999999</v>
      </c>
      <c r="AF224" s="4">
        <v>1.9999999999999998</v>
      </c>
      <c r="AG224" s="10">
        <f t="shared" si="74"/>
        <v>0.96542292489999981</v>
      </c>
      <c r="AH224" s="4">
        <v>2</v>
      </c>
      <c r="AI224" s="10">
        <f t="shared" si="75"/>
        <v>1.2757960474299996</v>
      </c>
      <c r="AJ224" s="4">
        <v>2</v>
      </c>
      <c r="AK224" s="10">
        <f t="shared" si="76"/>
        <v>1.4930572332009997</v>
      </c>
      <c r="AL224" s="4" t="s">
        <v>3057</v>
      </c>
      <c r="AM224" s="10">
        <f t="shared" si="77"/>
        <v>1.6451400632406998</v>
      </c>
      <c r="AN224" s="5">
        <f t="shared" si="78"/>
        <v>1.6451400632406998</v>
      </c>
      <c r="AO224" s="6" t="str">
        <f t="shared" si="79"/>
        <v>0</v>
      </c>
    </row>
    <row r="225" spans="1:41" x14ac:dyDescent="0.25">
      <c r="A225" t="s">
        <v>1349</v>
      </c>
      <c r="B225" t="s">
        <v>2762</v>
      </c>
      <c r="C225" t="str">
        <f>_xlfn.XLOOKUP(A225,Fore!A:A,Fore!AC:AC)</f>
        <v>CY</v>
      </c>
      <c r="D225" s="4" t="s">
        <v>3057</v>
      </c>
      <c r="E225" s="10" t="str">
        <f t="shared" si="60"/>
        <v>0</v>
      </c>
      <c r="F225" s="4" t="s">
        <v>3057</v>
      </c>
      <c r="G225" s="10">
        <f t="shared" si="61"/>
        <v>0</v>
      </c>
      <c r="H225" s="4" t="s">
        <v>3057</v>
      </c>
      <c r="I225" s="10">
        <f t="shared" si="62"/>
        <v>0</v>
      </c>
      <c r="J225" s="4" t="s">
        <v>3057</v>
      </c>
      <c r="K225" s="10">
        <f t="shared" si="63"/>
        <v>0</v>
      </c>
      <c r="L225" s="4">
        <v>1.9999999999999998</v>
      </c>
      <c r="M225" s="10">
        <f t="shared" si="64"/>
        <v>0</v>
      </c>
      <c r="N225" s="4">
        <v>1</v>
      </c>
      <c r="O225" s="10">
        <f t="shared" si="65"/>
        <v>1.3999999999999997</v>
      </c>
      <c r="P225" s="4">
        <v>3.600000000000001</v>
      </c>
      <c r="Q225" s="10">
        <f t="shared" si="66"/>
        <v>1.2799999999999998</v>
      </c>
      <c r="R225" s="4">
        <v>3.4000000000000004</v>
      </c>
      <c r="S225" s="10">
        <f t="shared" si="67"/>
        <v>1.976</v>
      </c>
      <c r="T225" s="4">
        <v>2</v>
      </c>
      <c r="U225" s="10">
        <f t="shared" si="68"/>
        <v>2.4032</v>
      </c>
      <c r="V225" s="4">
        <v>2</v>
      </c>
      <c r="W225" s="10">
        <f t="shared" si="69"/>
        <v>2.2822399999999998</v>
      </c>
      <c r="X225" s="4">
        <v>0</v>
      </c>
      <c r="Y225" s="10">
        <f t="shared" si="70"/>
        <v>2.197568</v>
      </c>
      <c r="Z225" s="4" t="s">
        <v>3057</v>
      </c>
      <c r="AA225" s="10">
        <f t="shared" si="71"/>
        <v>1.5382975999999999</v>
      </c>
      <c r="AB225" s="4" t="s">
        <v>3057</v>
      </c>
      <c r="AC225" s="10">
        <f t="shared" si="72"/>
        <v>1.0768083199999998</v>
      </c>
      <c r="AD225" s="4" t="s">
        <v>3057</v>
      </c>
      <c r="AE225" s="10">
        <f t="shared" si="73"/>
        <v>0.75376582399999981</v>
      </c>
      <c r="AF225" s="4">
        <v>1</v>
      </c>
      <c r="AG225" s="10">
        <f t="shared" si="74"/>
        <v>0.5276360767999998</v>
      </c>
      <c r="AH225" s="4">
        <v>1</v>
      </c>
      <c r="AI225" s="10">
        <f t="shared" si="75"/>
        <v>0.66934525375999976</v>
      </c>
      <c r="AJ225" s="4">
        <v>2</v>
      </c>
      <c r="AK225" s="10">
        <f t="shared" si="76"/>
        <v>0.76854167763199976</v>
      </c>
      <c r="AL225" s="4" t="s">
        <v>3057</v>
      </c>
      <c r="AM225" s="10">
        <f t="shared" si="77"/>
        <v>1.1379791743423997</v>
      </c>
      <c r="AN225" s="5">
        <f t="shared" si="78"/>
        <v>1.1379791743423997</v>
      </c>
      <c r="AO225" s="6" t="str">
        <f t="shared" si="79"/>
        <v>0</v>
      </c>
    </row>
    <row r="226" spans="1:41" x14ac:dyDescent="0.25">
      <c r="A226" t="s">
        <v>114</v>
      </c>
      <c r="B226" t="s">
        <v>2775</v>
      </c>
      <c r="C226" t="str">
        <f>_xlfn.XLOOKUP(A226,Fore!A:A,Fore!AC:AC)</f>
        <v>CX</v>
      </c>
      <c r="D226" s="4" t="s">
        <v>3057</v>
      </c>
      <c r="E226" s="10" t="str">
        <f t="shared" si="60"/>
        <v>0</v>
      </c>
      <c r="F226" s="4" t="s">
        <v>3057</v>
      </c>
      <c r="G226" s="10">
        <f t="shared" si="61"/>
        <v>0</v>
      </c>
      <c r="H226" s="4" t="s">
        <v>3057</v>
      </c>
      <c r="I226" s="10">
        <f t="shared" si="62"/>
        <v>0</v>
      </c>
      <c r="J226" s="4">
        <v>1</v>
      </c>
      <c r="K226" s="10">
        <f t="shared" si="63"/>
        <v>0</v>
      </c>
      <c r="L226" s="4">
        <v>1.9999999999999998</v>
      </c>
      <c r="M226" s="10">
        <f t="shared" si="64"/>
        <v>0.3</v>
      </c>
      <c r="N226" s="4">
        <v>1.9999999999999998</v>
      </c>
      <c r="O226" s="10">
        <f t="shared" si="65"/>
        <v>1.4899999999999998</v>
      </c>
      <c r="P226" s="4">
        <v>3</v>
      </c>
      <c r="Q226" s="10">
        <f t="shared" si="66"/>
        <v>1.6429999999999996</v>
      </c>
      <c r="R226" s="4">
        <v>2.0000000000000004</v>
      </c>
      <c r="S226" s="10">
        <f t="shared" si="67"/>
        <v>2.0500999999999996</v>
      </c>
      <c r="T226" s="4">
        <v>1.9999999999999996</v>
      </c>
      <c r="U226" s="10">
        <f t="shared" si="68"/>
        <v>2.0350699999999997</v>
      </c>
      <c r="V226" s="4">
        <v>1</v>
      </c>
      <c r="W226" s="10">
        <f t="shared" si="69"/>
        <v>2.0245489999999995</v>
      </c>
      <c r="X226" s="4">
        <v>1</v>
      </c>
      <c r="Y226" s="10">
        <f t="shared" si="70"/>
        <v>1.7171842999999996</v>
      </c>
      <c r="Z226" s="4" t="s">
        <v>3057</v>
      </c>
      <c r="AA226" s="10">
        <f t="shared" si="71"/>
        <v>1.5020290099999996</v>
      </c>
      <c r="AB226" s="4" t="s">
        <v>3057</v>
      </c>
      <c r="AC226" s="10">
        <f t="shared" si="72"/>
        <v>1.0514203069999997</v>
      </c>
      <c r="AD226" s="4">
        <v>1</v>
      </c>
      <c r="AE226" s="10">
        <f t="shared" si="73"/>
        <v>0.73599421489999972</v>
      </c>
      <c r="AF226" s="4" t="s">
        <v>3057</v>
      </c>
      <c r="AG226" s="10">
        <f t="shared" si="74"/>
        <v>0.81519595042999971</v>
      </c>
      <c r="AH226" s="4">
        <v>1.9999999999999998</v>
      </c>
      <c r="AI226" s="10">
        <f t="shared" si="75"/>
        <v>0.57063716530099973</v>
      </c>
      <c r="AJ226" s="4" t="s">
        <v>3057</v>
      </c>
      <c r="AK226" s="10">
        <f t="shared" si="76"/>
        <v>0.99944601571069969</v>
      </c>
      <c r="AL226" s="4">
        <v>1</v>
      </c>
      <c r="AM226" s="10">
        <f t="shared" si="77"/>
        <v>0.69961221099748971</v>
      </c>
      <c r="AN226" s="5">
        <f t="shared" si="78"/>
        <v>0.30038778900251029</v>
      </c>
      <c r="AO226" s="6">
        <f t="shared" si="79"/>
        <v>0.30038778900251029</v>
      </c>
    </row>
    <row r="227" spans="1:41" x14ac:dyDescent="0.25">
      <c r="A227" t="s">
        <v>597</v>
      </c>
      <c r="B227" t="s">
        <v>2806</v>
      </c>
      <c r="C227" t="str">
        <f>_xlfn.XLOOKUP(A227,Fore!A:A,Fore!AC:AC)</f>
        <v>CY</v>
      </c>
      <c r="D227" s="4" t="s">
        <v>3057</v>
      </c>
      <c r="E227" s="10" t="str">
        <f t="shared" si="60"/>
        <v>0</v>
      </c>
      <c r="F227" s="4" t="s">
        <v>3057</v>
      </c>
      <c r="G227" s="10">
        <f t="shared" si="61"/>
        <v>0</v>
      </c>
      <c r="H227" s="4" t="s">
        <v>3057</v>
      </c>
      <c r="I227" s="10">
        <f t="shared" si="62"/>
        <v>0</v>
      </c>
      <c r="J227" s="4">
        <v>5</v>
      </c>
      <c r="K227" s="10">
        <f t="shared" si="63"/>
        <v>0</v>
      </c>
      <c r="L227" s="4" t="s">
        <v>3057</v>
      </c>
      <c r="M227" s="10">
        <f t="shared" si="64"/>
        <v>1.5</v>
      </c>
      <c r="N227" s="4">
        <v>1</v>
      </c>
      <c r="O227" s="10">
        <f t="shared" si="65"/>
        <v>0.44999999999999996</v>
      </c>
      <c r="P227" s="4">
        <v>1</v>
      </c>
      <c r="Q227" s="10">
        <f t="shared" si="66"/>
        <v>0.61499999999999999</v>
      </c>
      <c r="R227" s="4">
        <v>1</v>
      </c>
      <c r="S227" s="10">
        <f t="shared" si="67"/>
        <v>0.73049999999999993</v>
      </c>
      <c r="T227" s="4">
        <v>1.5</v>
      </c>
      <c r="U227" s="10">
        <f t="shared" si="68"/>
        <v>0.81135000000000002</v>
      </c>
      <c r="V227" s="4">
        <v>1</v>
      </c>
      <c r="W227" s="10">
        <f t="shared" si="69"/>
        <v>1.0179449999999999</v>
      </c>
      <c r="X227" s="4">
        <v>0</v>
      </c>
      <c r="Y227" s="10">
        <f t="shared" si="70"/>
        <v>1.0125614999999999</v>
      </c>
      <c r="Z227" s="4">
        <v>1</v>
      </c>
      <c r="AA227" s="10">
        <f t="shared" si="71"/>
        <v>0.70879304999999992</v>
      </c>
      <c r="AB227" s="4">
        <v>2</v>
      </c>
      <c r="AC227" s="10">
        <f t="shared" si="72"/>
        <v>0.7961551349999999</v>
      </c>
      <c r="AD227" s="4">
        <v>1</v>
      </c>
      <c r="AE227" s="10">
        <f t="shared" si="73"/>
        <v>1.1573085944999999</v>
      </c>
      <c r="AF227" s="4">
        <v>2</v>
      </c>
      <c r="AG227" s="10">
        <f t="shared" si="74"/>
        <v>1.1101160161499999</v>
      </c>
      <c r="AH227" s="4" t="s">
        <v>3057</v>
      </c>
      <c r="AI227" s="10">
        <f t="shared" si="75"/>
        <v>1.3770812113049997</v>
      </c>
      <c r="AJ227" s="4">
        <v>1</v>
      </c>
      <c r="AK227" s="10">
        <f t="shared" si="76"/>
        <v>0.96395684791349978</v>
      </c>
      <c r="AL227" s="4" t="s">
        <v>3057</v>
      </c>
      <c r="AM227" s="10">
        <f t="shared" si="77"/>
        <v>0.9747697935394497</v>
      </c>
      <c r="AN227" s="5">
        <f t="shared" si="78"/>
        <v>0.9747697935394497</v>
      </c>
      <c r="AO227" s="6" t="str">
        <f t="shared" si="79"/>
        <v>0</v>
      </c>
    </row>
    <row r="228" spans="1:41" x14ac:dyDescent="0.25">
      <c r="A228" t="s">
        <v>109</v>
      </c>
      <c r="B228" t="s">
        <v>2757</v>
      </c>
      <c r="C228" t="str">
        <f>_xlfn.XLOOKUP(A228,Fore!A:A,Fore!AC:AC)</f>
        <v>CY</v>
      </c>
      <c r="D228" s="4" t="s">
        <v>3057</v>
      </c>
      <c r="E228" s="10" t="str">
        <f t="shared" si="60"/>
        <v>0</v>
      </c>
      <c r="F228" s="4" t="s">
        <v>3057</v>
      </c>
      <c r="G228" s="10">
        <f t="shared" si="61"/>
        <v>0</v>
      </c>
      <c r="H228" s="4" t="s">
        <v>3057</v>
      </c>
      <c r="I228" s="10">
        <f t="shared" si="62"/>
        <v>0</v>
      </c>
      <c r="J228" s="4" t="s">
        <v>3057</v>
      </c>
      <c r="K228" s="10">
        <f t="shared" si="63"/>
        <v>0</v>
      </c>
      <c r="L228" s="4">
        <v>4</v>
      </c>
      <c r="M228" s="10">
        <f t="shared" si="64"/>
        <v>0</v>
      </c>
      <c r="N228" s="4" t="s">
        <v>3057</v>
      </c>
      <c r="O228" s="10">
        <f t="shared" si="65"/>
        <v>2.8</v>
      </c>
      <c r="P228" s="4">
        <v>1</v>
      </c>
      <c r="Q228" s="10">
        <f t="shared" si="66"/>
        <v>1.9599999999999997</v>
      </c>
      <c r="R228" s="4">
        <v>3.0000000000000004</v>
      </c>
      <c r="S228" s="10">
        <f t="shared" si="67"/>
        <v>1.6719999999999997</v>
      </c>
      <c r="T228" s="4">
        <v>1.9999999999999993</v>
      </c>
      <c r="U228" s="10">
        <f t="shared" si="68"/>
        <v>2.0703999999999998</v>
      </c>
      <c r="V228" s="4" t="s">
        <v>3057</v>
      </c>
      <c r="W228" s="10">
        <f t="shared" si="69"/>
        <v>2.0492799999999995</v>
      </c>
      <c r="X228" s="4">
        <v>1.9999999999999998</v>
      </c>
      <c r="Y228" s="10">
        <f t="shared" si="70"/>
        <v>1.4344959999999995</v>
      </c>
      <c r="Z228" s="4" t="s">
        <v>3057</v>
      </c>
      <c r="AA228" s="10">
        <f t="shared" si="71"/>
        <v>1.6041471999999994</v>
      </c>
      <c r="AB228" s="4">
        <v>2</v>
      </c>
      <c r="AC228" s="10">
        <f t="shared" si="72"/>
        <v>1.1229030399999995</v>
      </c>
      <c r="AD228" s="4" t="s">
        <v>3057</v>
      </c>
      <c r="AE228" s="10">
        <f t="shared" si="73"/>
        <v>1.3860321279999996</v>
      </c>
      <c r="AF228" s="4">
        <v>1</v>
      </c>
      <c r="AG228" s="10">
        <f t="shared" si="74"/>
        <v>0.97022248959999968</v>
      </c>
      <c r="AH228" s="4" t="s">
        <v>3057</v>
      </c>
      <c r="AI228" s="10">
        <f t="shared" si="75"/>
        <v>0.97915574271999972</v>
      </c>
      <c r="AJ228" s="4">
        <v>1</v>
      </c>
      <c r="AK228" s="10">
        <f t="shared" si="76"/>
        <v>0.68540901990399972</v>
      </c>
      <c r="AL228" s="4">
        <v>1</v>
      </c>
      <c r="AM228" s="10">
        <f t="shared" si="77"/>
        <v>0.77978631393279974</v>
      </c>
      <c r="AN228" s="5">
        <f t="shared" si="78"/>
        <v>0.22021368606720026</v>
      </c>
      <c r="AO228" s="6">
        <f t="shared" si="79"/>
        <v>0.22021368606720026</v>
      </c>
    </row>
    <row r="229" spans="1:41" x14ac:dyDescent="0.25">
      <c r="A229" t="s">
        <v>93</v>
      </c>
      <c r="B229" t="s">
        <v>2882</v>
      </c>
      <c r="C229" t="str">
        <f>_xlfn.XLOOKUP(A229,Fore!A:A,Fore!AC:AC)</f>
        <v>CY</v>
      </c>
      <c r="D229" s="4" t="s">
        <v>3057</v>
      </c>
      <c r="E229" s="10" t="str">
        <f t="shared" si="60"/>
        <v>0</v>
      </c>
      <c r="F229" s="4" t="s">
        <v>3057</v>
      </c>
      <c r="G229" s="10">
        <f t="shared" si="61"/>
        <v>0</v>
      </c>
      <c r="H229" s="4" t="s">
        <v>3057</v>
      </c>
      <c r="I229" s="10">
        <f t="shared" si="62"/>
        <v>0</v>
      </c>
      <c r="J229" s="4" t="s">
        <v>3057</v>
      </c>
      <c r="K229" s="10">
        <f t="shared" si="63"/>
        <v>0</v>
      </c>
      <c r="L229" s="4">
        <v>5</v>
      </c>
      <c r="M229" s="10">
        <f t="shared" si="64"/>
        <v>0</v>
      </c>
      <c r="N229" s="4">
        <v>5</v>
      </c>
      <c r="O229" s="10">
        <f t="shared" si="65"/>
        <v>3.5</v>
      </c>
      <c r="P229" s="4" t="s">
        <v>3057</v>
      </c>
      <c r="Q229" s="10">
        <f t="shared" si="66"/>
        <v>3.9499999999999997</v>
      </c>
      <c r="R229" s="4" t="s">
        <v>3057</v>
      </c>
      <c r="S229" s="10">
        <f t="shared" si="67"/>
        <v>2.7649999999999997</v>
      </c>
      <c r="T229" s="4" t="s">
        <v>3057</v>
      </c>
      <c r="U229" s="10">
        <f t="shared" si="68"/>
        <v>1.9354999999999996</v>
      </c>
      <c r="V229" s="4">
        <v>3.9999999999999996</v>
      </c>
      <c r="W229" s="10">
        <f t="shared" si="69"/>
        <v>1.3548499999999997</v>
      </c>
      <c r="X229" s="4">
        <v>0</v>
      </c>
      <c r="Y229" s="10">
        <f t="shared" si="70"/>
        <v>2.1483949999999994</v>
      </c>
      <c r="Z229" s="4" t="s">
        <v>3057</v>
      </c>
      <c r="AA229" s="10">
        <f t="shared" si="71"/>
        <v>1.5038764999999994</v>
      </c>
      <c r="AB229" s="4">
        <v>3</v>
      </c>
      <c r="AC229" s="10">
        <f t="shared" si="72"/>
        <v>1.0527135499999996</v>
      </c>
      <c r="AD229" s="4" t="s">
        <v>3057</v>
      </c>
      <c r="AE229" s="10">
        <f t="shared" si="73"/>
        <v>1.6368994849999996</v>
      </c>
      <c r="AF229" s="4" t="s">
        <v>3057</v>
      </c>
      <c r="AG229" s="10">
        <f t="shared" si="74"/>
        <v>1.1458296394999996</v>
      </c>
      <c r="AH229" s="4" t="s">
        <v>3057</v>
      </c>
      <c r="AI229" s="10">
        <f t="shared" si="75"/>
        <v>0.8020807476499997</v>
      </c>
      <c r="AJ229" s="4" t="s">
        <v>3057</v>
      </c>
      <c r="AK229" s="10">
        <f t="shared" si="76"/>
        <v>0.56145652335499974</v>
      </c>
      <c r="AL229" s="4" t="s">
        <v>3057</v>
      </c>
      <c r="AM229" s="10">
        <f t="shared" si="77"/>
        <v>0.39301956634849977</v>
      </c>
      <c r="AN229" s="5">
        <f t="shared" si="78"/>
        <v>0.39301956634849977</v>
      </c>
      <c r="AO229" s="6" t="str">
        <f t="shared" si="79"/>
        <v>0</v>
      </c>
    </row>
    <row r="230" spans="1:41" x14ac:dyDescent="0.25">
      <c r="A230" t="s">
        <v>1519</v>
      </c>
      <c r="B230" t="s">
        <v>2750</v>
      </c>
      <c r="C230" t="str">
        <f>_xlfn.XLOOKUP(A230,Fore!A:A,Fore!AC:AC)</f>
        <v>CY</v>
      </c>
      <c r="D230" s="4" t="s">
        <v>3057</v>
      </c>
      <c r="E230" s="10" t="str">
        <f t="shared" si="60"/>
        <v>0</v>
      </c>
      <c r="F230" s="4" t="s">
        <v>3057</v>
      </c>
      <c r="G230" s="10">
        <f t="shared" si="61"/>
        <v>0</v>
      </c>
      <c r="H230" s="4" t="s">
        <v>3057</v>
      </c>
      <c r="I230" s="10">
        <f t="shared" si="62"/>
        <v>0</v>
      </c>
      <c r="J230" s="4" t="s">
        <v>3057</v>
      </c>
      <c r="K230" s="10">
        <f t="shared" si="63"/>
        <v>0</v>
      </c>
      <c r="L230" s="4" t="s">
        <v>3057</v>
      </c>
      <c r="M230" s="10">
        <f t="shared" si="64"/>
        <v>0</v>
      </c>
      <c r="N230" s="4">
        <v>7</v>
      </c>
      <c r="O230" s="10">
        <f t="shared" si="65"/>
        <v>0</v>
      </c>
      <c r="P230" s="4" t="s">
        <v>3057</v>
      </c>
      <c r="Q230" s="10">
        <f t="shared" si="66"/>
        <v>2.1</v>
      </c>
      <c r="R230" s="4" t="s">
        <v>3057</v>
      </c>
      <c r="S230" s="10">
        <f t="shared" si="67"/>
        <v>1.47</v>
      </c>
      <c r="T230" s="4" t="s">
        <v>3057</v>
      </c>
      <c r="U230" s="10">
        <f t="shared" si="68"/>
        <v>1.0289999999999999</v>
      </c>
      <c r="V230" s="4" t="s">
        <v>3057</v>
      </c>
      <c r="W230" s="10">
        <f t="shared" si="69"/>
        <v>0.72029999999999994</v>
      </c>
      <c r="X230" s="4">
        <v>0</v>
      </c>
      <c r="Y230" s="10">
        <f t="shared" si="70"/>
        <v>0.50420999999999994</v>
      </c>
      <c r="Z230" s="4" t="s">
        <v>3057</v>
      </c>
      <c r="AA230" s="10">
        <f t="shared" si="71"/>
        <v>0.35294699999999996</v>
      </c>
      <c r="AB230" s="4" t="s">
        <v>3057</v>
      </c>
      <c r="AC230" s="10">
        <f t="shared" si="72"/>
        <v>0.24706289999999995</v>
      </c>
      <c r="AD230" s="4" t="s">
        <v>3057</v>
      </c>
      <c r="AE230" s="10">
        <f t="shared" si="73"/>
        <v>0.17294402999999994</v>
      </c>
      <c r="AF230" s="4">
        <v>4</v>
      </c>
      <c r="AG230" s="10">
        <f t="shared" si="74"/>
        <v>0.12106082099999996</v>
      </c>
      <c r="AH230" s="4">
        <v>5</v>
      </c>
      <c r="AI230" s="10">
        <f t="shared" si="75"/>
        <v>1.2847425746999999</v>
      </c>
      <c r="AJ230" s="4" t="s">
        <v>3057</v>
      </c>
      <c r="AK230" s="10">
        <f t="shared" si="76"/>
        <v>2.39931980229</v>
      </c>
      <c r="AL230" s="4" t="s">
        <v>3057</v>
      </c>
      <c r="AM230" s="10">
        <f t="shared" si="77"/>
        <v>1.6795238616029999</v>
      </c>
      <c r="AN230" s="5">
        <f t="shared" si="78"/>
        <v>1.6795238616029999</v>
      </c>
      <c r="AO230" s="6" t="str">
        <f t="shared" si="79"/>
        <v>0</v>
      </c>
    </row>
    <row r="231" spans="1:41" x14ac:dyDescent="0.25">
      <c r="A231" t="s">
        <v>922</v>
      </c>
      <c r="B231" t="s">
        <v>2821</v>
      </c>
      <c r="C231" t="str">
        <f>_xlfn.XLOOKUP(A231,Fore!A:A,Fore!AC:AC)</f>
        <v>CY</v>
      </c>
      <c r="D231" s="4" t="s">
        <v>3057</v>
      </c>
      <c r="E231" s="10" t="str">
        <f t="shared" si="60"/>
        <v>0</v>
      </c>
      <c r="F231" s="4" t="s">
        <v>3057</v>
      </c>
      <c r="G231" s="10">
        <f t="shared" si="61"/>
        <v>0</v>
      </c>
      <c r="H231" s="4" t="s">
        <v>3057</v>
      </c>
      <c r="I231" s="10">
        <f t="shared" si="62"/>
        <v>0</v>
      </c>
      <c r="J231" s="4" t="s">
        <v>3057</v>
      </c>
      <c r="K231" s="10">
        <f t="shared" si="63"/>
        <v>0</v>
      </c>
      <c r="L231" s="4" t="s">
        <v>3057</v>
      </c>
      <c r="M231" s="10">
        <f t="shared" si="64"/>
        <v>0</v>
      </c>
      <c r="N231" s="4" t="s">
        <v>3057</v>
      </c>
      <c r="O231" s="10">
        <f t="shared" si="65"/>
        <v>0</v>
      </c>
      <c r="P231" s="4" t="s">
        <v>3057</v>
      </c>
      <c r="Q231" s="10">
        <f t="shared" si="66"/>
        <v>0</v>
      </c>
      <c r="R231" s="4" t="s">
        <v>3057</v>
      </c>
      <c r="S231" s="10">
        <f t="shared" si="67"/>
        <v>0</v>
      </c>
      <c r="T231" s="4">
        <v>8.9999999999999964</v>
      </c>
      <c r="U231" s="10">
        <f t="shared" si="68"/>
        <v>0</v>
      </c>
      <c r="V231" s="4">
        <v>2</v>
      </c>
      <c r="W231" s="10">
        <f t="shared" si="69"/>
        <v>2.6999999999999988</v>
      </c>
      <c r="X231" s="4">
        <v>0</v>
      </c>
      <c r="Y231" s="10">
        <f t="shared" si="70"/>
        <v>2.4899999999999989</v>
      </c>
      <c r="Z231" s="4" t="s">
        <v>3057</v>
      </c>
      <c r="AA231" s="10">
        <f t="shared" si="71"/>
        <v>1.7429999999999992</v>
      </c>
      <c r="AB231" s="4" t="s">
        <v>3057</v>
      </c>
      <c r="AC231" s="10">
        <f t="shared" si="72"/>
        <v>1.2200999999999993</v>
      </c>
      <c r="AD231" s="4" t="s">
        <v>3057</v>
      </c>
      <c r="AE231" s="10">
        <f t="shared" si="73"/>
        <v>0.85406999999999944</v>
      </c>
      <c r="AF231" s="4">
        <v>3</v>
      </c>
      <c r="AG231" s="10">
        <f t="shared" si="74"/>
        <v>0.59784899999999952</v>
      </c>
      <c r="AH231" s="4">
        <v>2</v>
      </c>
      <c r="AI231" s="10">
        <f t="shared" si="75"/>
        <v>1.3184942999999996</v>
      </c>
      <c r="AJ231" s="4" t="s">
        <v>3057</v>
      </c>
      <c r="AK231" s="10">
        <f t="shared" si="76"/>
        <v>1.5229460099999996</v>
      </c>
      <c r="AL231" s="4" t="s">
        <v>3057</v>
      </c>
      <c r="AM231" s="10">
        <f t="shared" si="77"/>
        <v>1.0660622069999997</v>
      </c>
      <c r="AN231" s="5">
        <f t="shared" si="78"/>
        <v>1.0660622069999997</v>
      </c>
      <c r="AO231" s="6" t="str">
        <f t="shared" si="79"/>
        <v>0</v>
      </c>
    </row>
    <row r="232" spans="1:41" x14ac:dyDescent="0.25">
      <c r="A232" t="s">
        <v>471</v>
      </c>
      <c r="B232" t="s">
        <v>2764</v>
      </c>
      <c r="C232" t="str">
        <f>_xlfn.XLOOKUP(A232,Fore!A:A,Fore!AC:AC)</f>
        <v>CY</v>
      </c>
      <c r="D232" s="4" t="s">
        <v>3057</v>
      </c>
      <c r="E232" s="10" t="str">
        <f t="shared" si="60"/>
        <v>0</v>
      </c>
      <c r="F232" s="4" t="s">
        <v>3057</v>
      </c>
      <c r="G232" s="10">
        <f t="shared" si="61"/>
        <v>0</v>
      </c>
      <c r="H232" s="4" t="s">
        <v>3057</v>
      </c>
      <c r="I232" s="10">
        <f t="shared" si="62"/>
        <v>0</v>
      </c>
      <c r="J232" s="4" t="s">
        <v>3057</v>
      </c>
      <c r="K232" s="10">
        <f t="shared" si="63"/>
        <v>0</v>
      </c>
      <c r="L232" s="4">
        <v>6</v>
      </c>
      <c r="M232" s="10">
        <f t="shared" si="64"/>
        <v>0</v>
      </c>
      <c r="N232" s="4" t="s">
        <v>3057</v>
      </c>
      <c r="O232" s="10">
        <f t="shared" si="65"/>
        <v>4.1999999999999993</v>
      </c>
      <c r="P232" s="4" t="s">
        <v>3057</v>
      </c>
      <c r="Q232" s="10">
        <f t="shared" si="66"/>
        <v>2.9399999999999995</v>
      </c>
      <c r="R232" s="4" t="s">
        <v>3057</v>
      </c>
      <c r="S232" s="10">
        <f t="shared" si="67"/>
        <v>2.0579999999999994</v>
      </c>
      <c r="T232" s="4">
        <v>4.6000000000000005</v>
      </c>
      <c r="U232" s="10">
        <f t="shared" si="68"/>
        <v>1.4405999999999994</v>
      </c>
      <c r="V232" s="4" t="s">
        <v>3057</v>
      </c>
      <c r="W232" s="10">
        <f t="shared" si="69"/>
        <v>2.38842</v>
      </c>
      <c r="X232" s="4">
        <v>0</v>
      </c>
      <c r="Y232" s="10">
        <f t="shared" si="70"/>
        <v>1.671894</v>
      </c>
      <c r="Z232" s="4" t="s">
        <v>3057</v>
      </c>
      <c r="AA232" s="10">
        <f t="shared" si="71"/>
        <v>1.1703257999999999</v>
      </c>
      <c r="AB232" s="4" t="s">
        <v>3057</v>
      </c>
      <c r="AC232" s="10">
        <f t="shared" si="72"/>
        <v>0.81922805999999981</v>
      </c>
      <c r="AD232" s="4" t="s">
        <v>3057</v>
      </c>
      <c r="AE232" s="10">
        <f t="shared" si="73"/>
        <v>0.57345964199999988</v>
      </c>
      <c r="AF232" s="4" t="s">
        <v>3057</v>
      </c>
      <c r="AG232" s="10">
        <f t="shared" si="74"/>
        <v>0.40142174939999992</v>
      </c>
      <c r="AH232" s="4">
        <v>3</v>
      </c>
      <c r="AI232" s="10">
        <f t="shared" si="75"/>
        <v>0.28099522457999992</v>
      </c>
      <c r="AJ232" s="4" t="s">
        <v>3057</v>
      </c>
      <c r="AK232" s="10">
        <f t="shared" si="76"/>
        <v>1.096696657206</v>
      </c>
      <c r="AL232" s="4">
        <v>2</v>
      </c>
      <c r="AM232" s="10">
        <f t="shared" si="77"/>
        <v>0.76768766004419997</v>
      </c>
      <c r="AN232" s="5">
        <f t="shared" si="78"/>
        <v>1.2323123399558</v>
      </c>
      <c r="AO232" s="6">
        <f t="shared" si="79"/>
        <v>0.61615616997790001</v>
      </c>
    </row>
    <row r="233" spans="1:41" x14ac:dyDescent="0.25">
      <c r="A233" t="s">
        <v>2128</v>
      </c>
      <c r="B233" t="s">
        <v>2603</v>
      </c>
      <c r="C233" t="str">
        <f>_xlfn.XLOOKUP(A233,Fore!A:A,Fore!AC:AC)</f>
        <v>CY</v>
      </c>
      <c r="D233" s="4" t="s">
        <v>3057</v>
      </c>
      <c r="E233" s="10" t="str">
        <f t="shared" si="60"/>
        <v>0</v>
      </c>
      <c r="F233" s="4" t="s">
        <v>3057</v>
      </c>
      <c r="G233" s="10">
        <f t="shared" si="61"/>
        <v>0</v>
      </c>
      <c r="H233" s="4" t="s">
        <v>3057</v>
      </c>
      <c r="I233" s="10">
        <f t="shared" si="62"/>
        <v>0</v>
      </c>
      <c r="J233" s="4" t="s">
        <v>3057</v>
      </c>
      <c r="K233" s="10">
        <f t="shared" si="63"/>
        <v>0</v>
      </c>
      <c r="L233" s="4" t="s">
        <v>3057</v>
      </c>
      <c r="M233" s="10">
        <f t="shared" si="64"/>
        <v>0</v>
      </c>
      <c r="N233" s="4" t="s">
        <v>3057</v>
      </c>
      <c r="O233" s="10">
        <f t="shared" si="65"/>
        <v>0</v>
      </c>
      <c r="P233" s="4" t="s">
        <v>3057</v>
      </c>
      <c r="Q233" s="10">
        <f t="shared" si="66"/>
        <v>0</v>
      </c>
      <c r="R233" s="4" t="s">
        <v>3057</v>
      </c>
      <c r="S233" s="10">
        <f t="shared" si="67"/>
        <v>0</v>
      </c>
      <c r="T233" s="4" t="s">
        <v>3057</v>
      </c>
      <c r="U233" s="10">
        <f t="shared" si="68"/>
        <v>0</v>
      </c>
      <c r="V233" s="4" t="s">
        <v>3057</v>
      </c>
      <c r="W233" s="10">
        <f t="shared" si="69"/>
        <v>0</v>
      </c>
      <c r="X233" s="4">
        <v>0</v>
      </c>
      <c r="Y233" s="10">
        <f t="shared" si="70"/>
        <v>0</v>
      </c>
      <c r="Z233" s="4" t="s">
        <v>3057</v>
      </c>
      <c r="AA233" s="10">
        <f t="shared" si="71"/>
        <v>0</v>
      </c>
      <c r="AB233" s="4" t="s">
        <v>3057</v>
      </c>
      <c r="AC233" s="10">
        <f t="shared" si="72"/>
        <v>0</v>
      </c>
      <c r="AD233" s="4">
        <v>15</v>
      </c>
      <c r="AE233" s="10">
        <f t="shared" si="73"/>
        <v>0</v>
      </c>
      <c r="AF233" s="4" t="s">
        <v>3057</v>
      </c>
      <c r="AG233" s="10">
        <f t="shared" si="74"/>
        <v>4.5</v>
      </c>
      <c r="AH233" s="4" t="s">
        <v>3057</v>
      </c>
      <c r="AI233" s="10">
        <f t="shared" si="75"/>
        <v>3.15</v>
      </c>
      <c r="AJ233" s="4" t="s">
        <v>3057</v>
      </c>
      <c r="AK233" s="10">
        <f t="shared" si="76"/>
        <v>2.2049999999999996</v>
      </c>
      <c r="AL233" s="4" t="s">
        <v>3057</v>
      </c>
      <c r="AM233" s="10">
        <f t="shared" si="77"/>
        <v>1.5434999999999997</v>
      </c>
      <c r="AN233" s="5">
        <f t="shared" si="78"/>
        <v>1.5434999999999997</v>
      </c>
      <c r="AO233" s="6" t="str">
        <f t="shared" si="79"/>
        <v>0</v>
      </c>
    </row>
    <row r="234" spans="1:41" x14ac:dyDescent="0.25">
      <c r="A234" t="s">
        <v>2024</v>
      </c>
      <c r="B234" t="s">
        <v>2763</v>
      </c>
      <c r="C234" t="str">
        <f>_xlfn.XLOOKUP(A234,Fore!A:A,Fore!AC:AC)</f>
        <v>CY</v>
      </c>
      <c r="D234" s="4" t="s">
        <v>3057</v>
      </c>
      <c r="E234" s="10" t="str">
        <f t="shared" si="60"/>
        <v>0</v>
      </c>
      <c r="F234" s="4" t="s">
        <v>3057</v>
      </c>
      <c r="G234" s="10">
        <f t="shared" si="61"/>
        <v>0</v>
      </c>
      <c r="H234" s="4" t="s">
        <v>3057</v>
      </c>
      <c r="I234" s="10">
        <f t="shared" si="62"/>
        <v>0</v>
      </c>
      <c r="J234" s="4" t="s">
        <v>3057</v>
      </c>
      <c r="K234" s="10">
        <f t="shared" si="63"/>
        <v>0</v>
      </c>
      <c r="L234" s="4" t="s">
        <v>3057</v>
      </c>
      <c r="M234" s="10">
        <f t="shared" si="64"/>
        <v>0</v>
      </c>
      <c r="N234" s="4" t="s">
        <v>3057</v>
      </c>
      <c r="O234" s="10">
        <f t="shared" si="65"/>
        <v>0</v>
      </c>
      <c r="P234" s="4" t="s">
        <v>3057</v>
      </c>
      <c r="Q234" s="10">
        <f t="shared" si="66"/>
        <v>0</v>
      </c>
      <c r="R234" s="4" t="s">
        <v>3057</v>
      </c>
      <c r="S234" s="10">
        <f t="shared" si="67"/>
        <v>0</v>
      </c>
      <c r="T234" s="4" t="s">
        <v>3057</v>
      </c>
      <c r="U234" s="10">
        <f t="shared" si="68"/>
        <v>0</v>
      </c>
      <c r="V234" s="4" t="s">
        <v>3057</v>
      </c>
      <c r="W234" s="10">
        <f t="shared" si="69"/>
        <v>0</v>
      </c>
      <c r="X234" s="4">
        <v>0</v>
      </c>
      <c r="Y234" s="10">
        <f t="shared" si="70"/>
        <v>0</v>
      </c>
      <c r="Z234" s="4" t="s">
        <v>3057</v>
      </c>
      <c r="AA234" s="10">
        <f t="shared" si="71"/>
        <v>0</v>
      </c>
      <c r="AB234" s="4">
        <v>2</v>
      </c>
      <c r="AC234" s="10">
        <f t="shared" si="72"/>
        <v>0</v>
      </c>
      <c r="AD234" s="4">
        <v>3.9999999999999996</v>
      </c>
      <c r="AE234" s="10">
        <f t="shared" si="73"/>
        <v>0.6</v>
      </c>
      <c r="AF234" s="4">
        <v>5</v>
      </c>
      <c r="AG234" s="10">
        <f t="shared" si="74"/>
        <v>1.6199999999999997</v>
      </c>
      <c r="AH234" s="4" t="s">
        <v>3057</v>
      </c>
      <c r="AI234" s="10">
        <f t="shared" si="75"/>
        <v>2.6339999999999995</v>
      </c>
      <c r="AJ234" s="4" t="s">
        <v>3057</v>
      </c>
      <c r="AK234" s="10">
        <f t="shared" si="76"/>
        <v>1.8437999999999994</v>
      </c>
      <c r="AL234" s="4">
        <v>3</v>
      </c>
      <c r="AM234" s="10">
        <f t="shared" si="77"/>
        <v>1.2906599999999995</v>
      </c>
      <c r="AN234" s="5">
        <f t="shared" si="78"/>
        <v>1.7093400000000005</v>
      </c>
      <c r="AO234" s="6">
        <f t="shared" si="79"/>
        <v>0.56978000000000018</v>
      </c>
    </row>
    <row r="235" spans="1:41" x14ac:dyDescent="0.25">
      <c r="A235" t="s">
        <v>1520</v>
      </c>
      <c r="B235" t="s">
        <v>2779</v>
      </c>
      <c r="C235" t="str">
        <f>_xlfn.XLOOKUP(A235,Fore!A:A,Fore!AC:AC)</f>
        <v>CY</v>
      </c>
      <c r="D235" s="4" t="s">
        <v>3057</v>
      </c>
      <c r="E235" s="10" t="str">
        <f t="shared" si="60"/>
        <v>0</v>
      </c>
      <c r="F235" s="4" t="s">
        <v>3057</v>
      </c>
      <c r="G235" s="10">
        <f t="shared" si="61"/>
        <v>0</v>
      </c>
      <c r="H235" s="4" t="s">
        <v>3057</v>
      </c>
      <c r="I235" s="10">
        <f t="shared" si="62"/>
        <v>0</v>
      </c>
      <c r="J235" s="4" t="s">
        <v>3057</v>
      </c>
      <c r="K235" s="10">
        <f t="shared" si="63"/>
        <v>0</v>
      </c>
      <c r="L235" s="4" t="s">
        <v>3057</v>
      </c>
      <c r="M235" s="10">
        <f t="shared" si="64"/>
        <v>0</v>
      </c>
      <c r="N235" s="4">
        <v>8</v>
      </c>
      <c r="O235" s="10">
        <f t="shared" si="65"/>
        <v>0</v>
      </c>
      <c r="P235" s="4" t="s">
        <v>3057</v>
      </c>
      <c r="Q235" s="10">
        <f t="shared" si="66"/>
        <v>2.4</v>
      </c>
      <c r="R235" s="4" t="s">
        <v>3057</v>
      </c>
      <c r="S235" s="10">
        <f t="shared" si="67"/>
        <v>1.68</v>
      </c>
      <c r="T235" s="4" t="s">
        <v>3057</v>
      </c>
      <c r="U235" s="10">
        <f t="shared" si="68"/>
        <v>1.1759999999999999</v>
      </c>
      <c r="V235" s="4" t="s">
        <v>3057</v>
      </c>
      <c r="W235" s="10">
        <f t="shared" si="69"/>
        <v>0.82319999999999993</v>
      </c>
      <c r="X235" s="4">
        <v>0</v>
      </c>
      <c r="Y235" s="10">
        <f t="shared" si="70"/>
        <v>0.57623999999999986</v>
      </c>
      <c r="Z235" s="4" t="s">
        <v>3057</v>
      </c>
      <c r="AA235" s="10">
        <f t="shared" si="71"/>
        <v>0.40336799999999989</v>
      </c>
      <c r="AB235" s="4">
        <v>2</v>
      </c>
      <c r="AC235" s="10">
        <f t="shared" si="72"/>
        <v>0.28235759999999993</v>
      </c>
      <c r="AD235" s="4" t="s">
        <v>3057</v>
      </c>
      <c r="AE235" s="10">
        <f t="shared" si="73"/>
        <v>0.79765031999999991</v>
      </c>
      <c r="AF235" s="4">
        <v>2</v>
      </c>
      <c r="AG235" s="10">
        <f t="shared" si="74"/>
        <v>0.55835522399999993</v>
      </c>
      <c r="AH235" s="4" t="s">
        <v>3057</v>
      </c>
      <c r="AI235" s="10">
        <f t="shared" si="75"/>
        <v>0.99084865679999989</v>
      </c>
      <c r="AJ235" s="4" t="s">
        <v>3057</v>
      </c>
      <c r="AK235" s="10">
        <f t="shared" si="76"/>
        <v>0.69359405975999988</v>
      </c>
      <c r="AL235" s="4">
        <v>2</v>
      </c>
      <c r="AM235" s="10">
        <f t="shared" si="77"/>
        <v>0.48551584183199986</v>
      </c>
      <c r="AN235" s="5">
        <f t="shared" si="78"/>
        <v>1.5144841581680002</v>
      </c>
      <c r="AO235" s="6">
        <f t="shared" si="79"/>
        <v>0.7572420790840001</v>
      </c>
    </row>
    <row r="236" spans="1:41" x14ac:dyDescent="0.25">
      <c r="A236" t="s">
        <v>1706</v>
      </c>
      <c r="B236" t="s">
        <v>2881</v>
      </c>
      <c r="C236" t="str">
        <f>_xlfn.XLOOKUP(A236,Fore!A:A,Fore!AC:AC)</f>
        <v>CZ</v>
      </c>
      <c r="D236" s="4" t="s">
        <v>3057</v>
      </c>
      <c r="E236" s="10" t="str">
        <f t="shared" si="60"/>
        <v>0</v>
      </c>
      <c r="F236" s="4" t="s">
        <v>3057</v>
      </c>
      <c r="G236" s="10">
        <f t="shared" si="61"/>
        <v>0</v>
      </c>
      <c r="H236" s="4" t="s">
        <v>3057</v>
      </c>
      <c r="I236" s="10">
        <f t="shared" si="62"/>
        <v>0</v>
      </c>
      <c r="J236" s="4" t="s">
        <v>3057</v>
      </c>
      <c r="K236" s="10">
        <f t="shared" si="63"/>
        <v>0</v>
      </c>
      <c r="L236" s="4" t="s">
        <v>3057</v>
      </c>
      <c r="M236" s="10">
        <f t="shared" si="64"/>
        <v>0</v>
      </c>
      <c r="N236" s="4" t="s">
        <v>3057</v>
      </c>
      <c r="O236" s="10">
        <f t="shared" si="65"/>
        <v>0</v>
      </c>
      <c r="P236" s="4" t="s">
        <v>3057</v>
      </c>
      <c r="Q236" s="10">
        <f t="shared" si="66"/>
        <v>0</v>
      </c>
      <c r="R236" s="4">
        <v>11.999999999999998</v>
      </c>
      <c r="S236" s="10">
        <f t="shared" si="67"/>
        <v>0</v>
      </c>
      <c r="T236" s="4" t="s">
        <v>3057</v>
      </c>
      <c r="U236" s="10">
        <f t="shared" si="68"/>
        <v>3.5999999999999992</v>
      </c>
      <c r="V236" s="4" t="s">
        <v>3057</v>
      </c>
      <c r="W236" s="10">
        <f t="shared" si="69"/>
        <v>2.5199999999999991</v>
      </c>
      <c r="X236" s="4">
        <v>0</v>
      </c>
      <c r="Y236" s="10">
        <f t="shared" si="70"/>
        <v>1.7639999999999993</v>
      </c>
      <c r="Z236" s="4" t="s">
        <v>3057</v>
      </c>
      <c r="AA236" s="10">
        <f t="shared" si="71"/>
        <v>1.2347999999999995</v>
      </c>
      <c r="AB236" s="4" t="s">
        <v>3057</v>
      </c>
      <c r="AC236" s="10">
        <f t="shared" si="72"/>
        <v>0.86435999999999957</v>
      </c>
      <c r="AD236" s="4" t="s">
        <v>3057</v>
      </c>
      <c r="AE236" s="10">
        <f t="shared" si="73"/>
        <v>0.6050519999999997</v>
      </c>
      <c r="AF236" s="4">
        <v>2</v>
      </c>
      <c r="AG236" s="10">
        <f t="shared" si="74"/>
        <v>0.42353639999999976</v>
      </c>
      <c r="AH236" s="4" t="s">
        <v>3057</v>
      </c>
      <c r="AI236" s="10">
        <f t="shared" si="75"/>
        <v>0.89647547999999977</v>
      </c>
      <c r="AJ236" s="4" t="s">
        <v>3057</v>
      </c>
      <c r="AK236" s="10">
        <f t="shared" si="76"/>
        <v>0.62753283599999976</v>
      </c>
      <c r="AL236" s="4" t="s">
        <v>3057</v>
      </c>
      <c r="AM236" s="10">
        <f t="shared" si="77"/>
        <v>0.4392729851999998</v>
      </c>
      <c r="AN236" s="5">
        <f t="shared" si="78"/>
        <v>0.4392729851999998</v>
      </c>
      <c r="AO236" s="6" t="str">
        <f t="shared" si="79"/>
        <v>0</v>
      </c>
    </row>
    <row r="237" spans="1:41" x14ac:dyDescent="0.25">
      <c r="A237" t="s">
        <v>925</v>
      </c>
      <c r="B237" t="s">
        <v>2766</v>
      </c>
      <c r="C237" t="str">
        <f>_xlfn.XLOOKUP(A237,Fore!A:A,Fore!AC:AC)</f>
        <v>CY</v>
      </c>
      <c r="D237" s="4" t="s">
        <v>3057</v>
      </c>
      <c r="E237" s="10" t="str">
        <f t="shared" si="60"/>
        <v>0</v>
      </c>
      <c r="F237" s="4" t="s">
        <v>3057</v>
      </c>
      <c r="G237" s="10">
        <f t="shared" si="61"/>
        <v>0</v>
      </c>
      <c r="H237" s="4" t="s">
        <v>3057</v>
      </c>
      <c r="I237" s="10">
        <f t="shared" si="62"/>
        <v>0</v>
      </c>
      <c r="J237" s="4" t="s">
        <v>3057</v>
      </c>
      <c r="K237" s="10">
        <f t="shared" si="63"/>
        <v>0</v>
      </c>
      <c r="L237" s="4">
        <v>2</v>
      </c>
      <c r="M237" s="10">
        <f t="shared" si="64"/>
        <v>0</v>
      </c>
      <c r="N237" s="4">
        <v>0.57979999999999998</v>
      </c>
      <c r="O237" s="10">
        <f t="shared" si="65"/>
        <v>1.4</v>
      </c>
      <c r="P237" s="4">
        <v>2</v>
      </c>
      <c r="Q237" s="10">
        <f t="shared" si="66"/>
        <v>1.15394</v>
      </c>
      <c r="R237" s="4" t="s">
        <v>3057</v>
      </c>
      <c r="S237" s="10">
        <f t="shared" si="67"/>
        <v>1.4077579999999998</v>
      </c>
      <c r="T237" s="4" t="s">
        <v>3057</v>
      </c>
      <c r="U237" s="10">
        <f t="shared" si="68"/>
        <v>0.98543059999999982</v>
      </c>
      <c r="V237" s="4">
        <v>3.0000000000000004</v>
      </c>
      <c r="W237" s="10">
        <f t="shared" si="69"/>
        <v>0.68980141999999989</v>
      </c>
      <c r="X237" s="4">
        <v>0</v>
      </c>
      <c r="Y237" s="10">
        <f t="shared" si="70"/>
        <v>1.3828609940000001</v>
      </c>
      <c r="Z237" s="4" t="s">
        <v>3057</v>
      </c>
      <c r="AA237" s="10">
        <f t="shared" si="71"/>
        <v>0.96800269579999998</v>
      </c>
      <c r="AB237" s="4" t="s">
        <v>3057</v>
      </c>
      <c r="AC237" s="10">
        <f t="shared" si="72"/>
        <v>0.67760188705999991</v>
      </c>
      <c r="AD237" s="4">
        <v>3</v>
      </c>
      <c r="AE237" s="10">
        <f t="shared" si="73"/>
        <v>0.47432132094199991</v>
      </c>
      <c r="AF237" s="4" t="s">
        <v>3057</v>
      </c>
      <c r="AG237" s="10">
        <f t="shared" si="74"/>
        <v>1.2320249246593997</v>
      </c>
      <c r="AH237" s="4" t="s">
        <v>3057</v>
      </c>
      <c r="AI237" s="10">
        <f t="shared" si="75"/>
        <v>0.86241744726157976</v>
      </c>
      <c r="AJ237" s="4">
        <v>3</v>
      </c>
      <c r="AK237" s="10">
        <f t="shared" si="76"/>
        <v>0.60369221308310583</v>
      </c>
      <c r="AL237" s="4" t="s">
        <v>3057</v>
      </c>
      <c r="AM237" s="10">
        <f t="shared" si="77"/>
        <v>1.322584549158174</v>
      </c>
      <c r="AN237" s="5">
        <f t="shared" si="78"/>
        <v>1.322584549158174</v>
      </c>
      <c r="AO237" s="6" t="str">
        <f t="shared" si="79"/>
        <v>0</v>
      </c>
    </row>
    <row r="238" spans="1:41" x14ac:dyDescent="0.25">
      <c r="A238" t="s">
        <v>1710</v>
      </c>
      <c r="B238" t="s">
        <v>2753</v>
      </c>
      <c r="C238" t="str">
        <f>_xlfn.XLOOKUP(A238,Fore!A:A,Fore!AC:AC)</f>
        <v>CY</v>
      </c>
      <c r="D238" s="4" t="s">
        <v>3057</v>
      </c>
      <c r="E238" s="10" t="str">
        <f t="shared" si="60"/>
        <v>0</v>
      </c>
      <c r="F238" s="4" t="s">
        <v>3057</v>
      </c>
      <c r="G238" s="10">
        <f t="shared" si="61"/>
        <v>0</v>
      </c>
      <c r="H238" s="4" t="s">
        <v>3057</v>
      </c>
      <c r="I238" s="10">
        <f t="shared" si="62"/>
        <v>0</v>
      </c>
      <c r="J238" s="4" t="s">
        <v>3057</v>
      </c>
      <c r="K238" s="10">
        <f t="shared" si="63"/>
        <v>0</v>
      </c>
      <c r="L238" s="4" t="s">
        <v>3057</v>
      </c>
      <c r="M238" s="10">
        <f t="shared" si="64"/>
        <v>0</v>
      </c>
      <c r="N238" s="4" t="s">
        <v>3057</v>
      </c>
      <c r="O238" s="10">
        <f t="shared" si="65"/>
        <v>0</v>
      </c>
      <c r="P238" s="4" t="s">
        <v>3057</v>
      </c>
      <c r="Q238" s="10">
        <f t="shared" si="66"/>
        <v>0</v>
      </c>
      <c r="R238" s="4">
        <v>5</v>
      </c>
      <c r="S238" s="10">
        <f t="shared" si="67"/>
        <v>0</v>
      </c>
      <c r="T238" s="4" t="s">
        <v>3057</v>
      </c>
      <c r="U238" s="10">
        <f t="shared" si="68"/>
        <v>1.5</v>
      </c>
      <c r="V238" s="4">
        <v>3.0000000000000004</v>
      </c>
      <c r="W238" s="10">
        <f t="shared" si="69"/>
        <v>1.0499999999999998</v>
      </c>
      <c r="X238" s="4">
        <v>0</v>
      </c>
      <c r="Y238" s="10">
        <f t="shared" si="70"/>
        <v>1.635</v>
      </c>
      <c r="Z238" s="4" t="s">
        <v>3057</v>
      </c>
      <c r="AA238" s="10">
        <f t="shared" si="71"/>
        <v>1.1444999999999999</v>
      </c>
      <c r="AB238" s="4" t="s">
        <v>3057</v>
      </c>
      <c r="AC238" s="10">
        <f t="shared" si="72"/>
        <v>0.80114999999999981</v>
      </c>
      <c r="AD238" s="4" t="s">
        <v>3057</v>
      </c>
      <c r="AE238" s="10">
        <f t="shared" si="73"/>
        <v>0.56080499999999978</v>
      </c>
      <c r="AF238" s="4" t="s">
        <v>3057</v>
      </c>
      <c r="AG238" s="10">
        <f t="shared" si="74"/>
        <v>0.39256349999999984</v>
      </c>
      <c r="AH238" s="4" t="s">
        <v>3057</v>
      </c>
      <c r="AI238" s="10">
        <f t="shared" si="75"/>
        <v>0.27479444999999986</v>
      </c>
      <c r="AJ238" s="4">
        <v>5</v>
      </c>
      <c r="AK238" s="10">
        <f t="shared" si="76"/>
        <v>0.19235611499999988</v>
      </c>
      <c r="AL238" s="4" t="s">
        <v>3057</v>
      </c>
      <c r="AM238" s="10">
        <f t="shared" si="77"/>
        <v>1.6346492804999999</v>
      </c>
      <c r="AN238" s="5">
        <f t="shared" si="78"/>
        <v>1.6346492804999999</v>
      </c>
      <c r="AO238" s="6" t="str">
        <f t="shared" si="79"/>
        <v>0</v>
      </c>
    </row>
    <row r="239" spans="1:41" x14ac:dyDescent="0.25">
      <c r="A239" t="s">
        <v>2023</v>
      </c>
      <c r="B239" t="s">
        <v>2734</v>
      </c>
      <c r="C239" t="str">
        <f>_xlfn.XLOOKUP(A239,Fore!A:A,Fore!AC:AC)</f>
        <v>CY</v>
      </c>
      <c r="D239" s="4" t="s">
        <v>3057</v>
      </c>
      <c r="E239" s="10" t="str">
        <f t="shared" si="60"/>
        <v>0</v>
      </c>
      <c r="F239" s="4" t="s">
        <v>3057</v>
      </c>
      <c r="G239" s="10">
        <f t="shared" si="61"/>
        <v>0</v>
      </c>
      <c r="H239" s="4" t="s">
        <v>3057</v>
      </c>
      <c r="I239" s="10">
        <f t="shared" si="62"/>
        <v>0</v>
      </c>
      <c r="J239" s="4" t="s">
        <v>3057</v>
      </c>
      <c r="K239" s="10">
        <f t="shared" si="63"/>
        <v>0</v>
      </c>
      <c r="L239" s="4" t="s">
        <v>3057</v>
      </c>
      <c r="M239" s="10">
        <f t="shared" si="64"/>
        <v>0</v>
      </c>
      <c r="N239" s="4" t="s">
        <v>3057</v>
      </c>
      <c r="O239" s="10">
        <f t="shared" si="65"/>
        <v>0</v>
      </c>
      <c r="P239" s="4" t="s">
        <v>3057</v>
      </c>
      <c r="Q239" s="10">
        <f t="shared" si="66"/>
        <v>0</v>
      </c>
      <c r="R239" s="4" t="s">
        <v>3057</v>
      </c>
      <c r="S239" s="10">
        <f t="shared" si="67"/>
        <v>0</v>
      </c>
      <c r="T239" s="4" t="s">
        <v>3057</v>
      </c>
      <c r="U239" s="10">
        <f t="shared" si="68"/>
        <v>0</v>
      </c>
      <c r="V239" s="4" t="s">
        <v>3057</v>
      </c>
      <c r="W239" s="10">
        <f t="shared" si="69"/>
        <v>0</v>
      </c>
      <c r="X239" s="4">
        <v>0</v>
      </c>
      <c r="Y239" s="10">
        <f t="shared" si="70"/>
        <v>0</v>
      </c>
      <c r="Z239" s="4" t="s">
        <v>3057</v>
      </c>
      <c r="AA239" s="10">
        <f t="shared" si="71"/>
        <v>0</v>
      </c>
      <c r="AB239" s="4">
        <v>2</v>
      </c>
      <c r="AC239" s="10">
        <f t="shared" si="72"/>
        <v>0</v>
      </c>
      <c r="AD239" s="4">
        <v>2</v>
      </c>
      <c r="AE239" s="10">
        <f t="shared" si="73"/>
        <v>0.6</v>
      </c>
      <c r="AF239" s="4" t="s">
        <v>3057</v>
      </c>
      <c r="AG239" s="10">
        <f t="shared" si="74"/>
        <v>1.02</v>
      </c>
      <c r="AH239" s="4">
        <v>4</v>
      </c>
      <c r="AI239" s="10">
        <f t="shared" si="75"/>
        <v>0.71399999999999997</v>
      </c>
      <c r="AJ239" s="4" t="s">
        <v>3057</v>
      </c>
      <c r="AK239" s="10">
        <f t="shared" si="76"/>
        <v>1.6998</v>
      </c>
      <c r="AL239" s="4">
        <v>3</v>
      </c>
      <c r="AM239" s="10">
        <f t="shared" si="77"/>
        <v>1.1898599999999999</v>
      </c>
      <c r="AN239" s="5">
        <f t="shared" si="78"/>
        <v>1.8101400000000001</v>
      </c>
      <c r="AO239" s="6">
        <f t="shared" si="79"/>
        <v>0.60338000000000003</v>
      </c>
    </row>
    <row r="240" spans="1:41" x14ac:dyDescent="0.25">
      <c r="A240" t="s">
        <v>932</v>
      </c>
      <c r="B240" t="s">
        <v>2756</v>
      </c>
      <c r="C240" t="str">
        <f>_xlfn.XLOOKUP(A240,Fore!A:A,Fore!AC:AC)</f>
        <v>CY</v>
      </c>
      <c r="D240" s="4" t="s">
        <v>3057</v>
      </c>
      <c r="E240" s="10" t="str">
        <f t="shared" si="60"/>
        <v>0</v>
      </c>
      <c r="F240" s="4" t="s">
        <v>3057</v>
      </c>
      <c r="G240" s="10">
        <f t="shared" si="61"/>
        <v>0</v>
      </c>
      <c r="H240" s="4" t="s">
        <v>3057</v>
      </c>
      <c r="I240" s="10">
        <f t="shared" si="62"/>
        <v>0</v>
      </c>
      <c r="J240" s="4" t="s">
        <v>3057</v>
      </c>
      <c r="K240" s="10">
        <f t="shared" si="63"/>
        <v>0</v>
      </c>
      <c r="L240" s="4" t="s">
        <v>3057</v>
      </c>
      <c r="M240" s="10">
        <f t="shared" si="64"/>
        <v>0</v>
      </c>
      <c r="N240" s="4" t="s">
        <v>3057</v>
      </c>
      <c r="O240" s="10">
        <f t="shared" si="65"/>
        <v>0</v>
      </c>
      <c r="P240" s="4">
        <v>1</v>
      </c>
      <c r="Q240" s="10">
        <f t="shared" si="66"/>
        <v>0</v>
      </c>
      <c r="R240" s="4">
        <v>1.9999999999999998</v>
      </c>
      <c r="S240" s="10">
        <f t="shared" si="67"/>
        <v>0.3</v>
      </c>
      <c r="T240" s="4">
        <v>3.0000000000000009</v>
      </c>
      <c r="U240" s="10">
        <f t="shared" si="68"/>
        <v>0.80999999999999983</v>
      </c>
      <c r="V240" s="4">
        <v>3</v>
      </c>
      <c r="W240" s="10">
        <f t="shared" si="69"/>
        <v>1.4670000000000001</v>
      </c>
      <c r="X240" s="4">
        <v>0</v>
      </c>
      <c r="Y240" s="10">
        <f t="shared" si="70"/>
        <v>1.9268999999999998</v>
      </c>
      <c r="Z240" s="4" t="s">
        <v>3057</v>
      </c>
      <c r="AA240" s="10">
        <f t="shared" si="71"/>
        <v>1.3488299999999998</v>
      </c>
      <c r="AB240" s="4" t="s">
        <v>3057</v>
      </c>
      <c r="AC240" s="10">
        <f t="shared" si="72"/>
        <v>0.94418099999999971</v>
      </c>
      <c r="AD240" s="4" t="s">
        <v>3057</v>
      </c>
      <c r="AE240" s="10">
        <f t="shared" si="73"/>
        <v>0.66092669999999976</v>
      </c>
      <c r="AF240" s="4" t="s">
        <v>3057</v>
      </c>
      <c r="AG240" s="10">
        <f t="shared" si="74"/>
        <v>0.46264868999999981</v>
      </c>
      <c r="AH240" s="4" t="s">
        <v>3057</v>
      </c>
      <c r="AI240" s="10">
        <f t="shared" si="75"/>
        <v>0.32385408299999985</v>
      </c>
      <c r="AJ240" s="4" t="s">
        <v>3057</v>
      </c>
      <c r="AK240" s="10">
        <f t="shared" si="76"/>
        <v>0.22669785809999987</v>
      </c>
      <c r="AL240" s="4">
        <v>1</v>
      </c>
      <c r="AM240" s="10">
        <f t="shared" si="77"/>
        <v>0.1586885006699999</v>
      </c>
      <c r="AN240" s="5">
        <f t="shared" si="78"/>
        <v>0.84131149933000016</v>
      </c>
      <c r="AO240" s="6">
        <f t="shared" si="79"/>
        <v>0.84131149933000016</v>
      </c>
    </row>
    <row r="241" spans="1:41" x14ac:dyDescent="0.25">
      <c r="A241" t="s">
        <v>2317</v>
      </c>
      <c r="B241" t="s">
        <v>2784</v>
      </c>
      <c r="C241" t="str">
        <f>_xlfn.XLOOKUP(A241,Fore!A:A,Fore!AC:AC)</f>
        <v>CY</v>
      </c>
      <c r="D241" s="4" t="s">
        <v>3057</v>
      </c>
      <c r="E241" s="10" t="str">
        <f t="shared" si="60"/>
        <v>0</v>
      </c>
      <c r="F241" s="4" t="s">
        <v>3057</v>
      </c>
      <c r="G241" s="10">
        <f t="shared" si="61"/>
        <v>0</v>
      </c>
      <c r="H241" s="4" t="s">
        <v>3057</v>
      </c>
      <c r="I241" s="10">
        <f t="shared" si="62"/>
        <v>0</v>
      </c>
      <c r="J241" s="4" t="s">
        <v>3057</v>
      </c>
      <c r="K241" s="10">
        <f t="shared" si="63"/>
        <v>0</v>
      </c>
      <c r="L241" s="4" t="s">
        <v>3057</v>
      </c>
      <c r="M241" s="10">
        <f t="shared" si="64"/>
        <v>0</v>
      </c>
      <c r="N241" s="4" t="s">
        <v>3057</v>
      </c>
      <c r="O241" s="10">
        <f t="shared" si="65"/>
        <v>0</v>
      </c>
      <c r="P241" s="4" t="s">
        <v>3057</v>
      </c>
      <c r="Q241" s="10">
        <f t="shared" si="66"/>
        <v>0</v>
      </c>
      <c r="R241" s="4" t="s">
        <v>3057</v>
      </c>
      <c r="S241" s="10">
        <f t="shared" si="67"/>
        <v>0</v>
      </c>
      <c r="T241" s="4" t="s">
        <v>3057</v>
      </c>
      <c r="U241" s="10">
        <f t="shared" si="68"/>
        <v>0</v>
      </c>
      <c r="V241" s="4" t="s">
        <v>3057</v>
      </c>
      <c r="W241" s="10">
        <f t="shared" si="69"/>
        <v>0</v>
      </c>
      <c r="X241" s="4">
        <v>0</v>
      </c>
      <c r="Y241" s="10">
        <f t="shared" si="70"/>
        <v>0</v>
      </c>
      <c r="Z241" s="4" t="s">
        <v>3057</v>
      </c>
      <c r="AA241" s="10">
        <f t="shared" si="71"/>
        <v>0</v>
      </c>
      <c r="AB241" s="4" t="s">
        <v>3057</v>
      </c>
      <c r="AC241" s="10">
        <f t="shared" si="72"/>
        <v>0</v>
      </c>
      <c r="AD241" s="4" t="s">
        <v>3057</v>
      </c>
      <c r="AE241" s="10">
        <f t="shared" si="73"/>
        <v>0</v>
      </c>
      <c r="AF241" s="4" t="s">
        <v>3057</v>
      </c>
      <c r="AG241" s="10">
        <f t="shared" si="74"/>
        <v>0</v>
      </c>
      <c r="AH241" s="4" t="s">
        <v>3057</v>
      </c>
      <c r="AI241" s="10">
        <f t="shared" si="75"/>
        <v>0</v>
      </c>
      <c r="AJ241" s="4">
        <v>10</v>
      </c>
      <c r="AK241" s="10">
        <f t="shared" si="76"/>
        <v>0</v>
      </c>
      <c r="AL241" s="4" t="s">
        <v>3057</v>
      </c>
      <c r="AM241" s="10">
        <f t="shared" si="77"/>
        <v>3</v>
      </c>
      <c r="AN241" s="5">
        <f t="shared" si="78"/>
        <v>3</v>
      </c>
      <c r="AO241" s="6" t="str">
        <f t="shared" si="79"/>
        <v>0</v>
      </c>
    </row>
    <row r="242" spans="1:41" x14ac:dyDescent="0.25">
      <c r="A242" t="s">
        <v>1352</v>
      </c>
      <c r="B242" t="s">
        <v>2823</v>
      </c>
      <c r="C242" t="str">
        <f>_xlfn.XLOOKUP(A242,Fore!A:A,Fore!AC:AC)</f>
        <v>CY</v>
      </c>
      <c r="D242" s="4" t="s">
        <v>3057</v>
      </c>
      <c r="E242" s="10" t="str">
        <f t="shared" si="60"/>
        <v>0</v>
      </c>
      <c r="F242" s="4" t="s">
        <v>3057</v>
      </c>
      <c r="G242" s="10">
        <f t="shared" si="61"/>
        <v>0</v>
      </c>
      <c r="H242" s="4" t="s">
        <v>3057</v>
      </c>
      <c r="I242" s="10">
        <f t="shared" si="62"/>
        <v>0</v>
      </c>
      <c r="J242" s="4" t="s">
        <v>3057</v>
      </c>
      <c r="K242" s="10">
        <f t="shared" si="63"/>
        <v>0</v>
      </c>
      <c r="L242" s="4">
        <v>1</v>
      </c>
      <c r="M242" s="10">
        <f t="shared" si="64"/>
        <v>0</v>
      </c>
      <c r="N242" s="4">
        <v>1</v>
      </c>
      <c r="O242" s="10">
        <f t="shared" si="65"/>
        <v>0.7</v>
      </c>
      <c r="P242" s="4">
        <v>1</v>
      </c>
      <c r="Q242" s="10">
        <f t="shared" si="66"/>
        <v>0.78999999999999992</v>
      </c>
      <c r="R242" s="4" t="s">
        <v>3057</v>
      </c>
      <c r="S242" s="10">
        <f t="shared" si="67"/>
        <v>0.85299999999999998</v>
      </c>
      <c r="T242" s="4" t="s">
        <v>3057</v>
      </c>
      <c r="U242" s="10">
        <f t="shared" si="68"/>
        <v>0.59709999999999996</v>
      </c>
      <c r="V242" s="4">
        <v>1</v>
      </c>
      <c r="W242" s="10">
        <f t="shared" si="69"/>
        <v>0.41796999999999995</v>
      </c>
      <c r="X242" s="4">
        <v>0</v>
      </c>
      <c r="Y242" s="10">
        <f t="shared" si="70"/>
        <v>0.59257899999999997</v>
      </c>
      <c r="Z242" s="4" t="s">
        <v>3057</v>
      </c>
      <c r="AA242" s="10">
        <f t="shared" si="71"/>
        <v>0.41480529999999993</v>
      </c>
      <c r="AB242" s="4" t="s">
        <v>3057</v>
      </c>
      <c r="AC242" s="10">
        <f t="shared" si="72"/>
        <v>0.29036370999999994</v>
      </c>
      <c r="AD242" s="4">
        <v>3</v>
      </c>
      <c r="AE242" s="10">
        <f t="shared" si="73"/>
        <v>0.20325459699999995</v>
      </c>
      <c r="AF242" s="4">
        <v>2</v>
      </c>
      <c r="AG242" s="10">
        <f t="shared" si="74"/>
        <v>1.0422782178999999</v>
      </c>
      <c r="AH242" s="4" t="s">
        <v>3057</v>
      </c>
      <c r="AI242" s="10">
        <f t="shared" si="75"/>
        <v>1.3295947525299998</v>
      </c>
      <c r="AJ242" s="4">
        <v>1</v>
      </c>
      <c r="AK242" s="10">
        <f t="shared" si="76"/>
        <v>0.9307163267709998</v>
      </c>
      <c r="AL242" s="4" t="s">
        <v>3057</v>
      </c>
      <c r="AM242" s="10">
        <f t="shared" si="77"/>
        <v>0.95150142873969989</v>
      </c>
      <c r="AN242" s="5">
        <f t="shared" si="78"/>
        <v>0.95150142873969989</v>
      </c>
      <c r="AO242" s="6" t="str">
        <f t="shared" si="79"/>
        <v>0</v>
      </c>
    </row>
    <row r="243" spans="1:41" x14ac:dyDescent="0.25">
      <c r="A243" t="s">
        <v>1936</v>
      </c>
      <c r="B243" t="s">
        <v>2936</v>
      </c>
      <c r="C243" t="str">
        <f>_xlfn.XLOOKUP(A243,Fore!A:A,Fore!AC:AC)</f>
        <v>CX</v>
      </c>
      <c r="D243" s="4" t="s">
        <v>3057</v>
      </c>
      <c r="E243" s="10" t="str">
        <f t="shared" si="60"/>
        <v>0</v>
      </c>
      <c r="F243" s="4" t="s">
        <v>3057</v>
      </c>
      <c r="G243" s="10">
        <f t="shared" si="61"/>
        <v>0</v>
      </c>
      <c r="H243" s="4" t="s">
        <v>3057</v>
      </c>
      <c r="I243" s="10">
        <f t="shared" si="62"/>
        <v>0</v>
      </c>
      <c r="J243" s="4" t="s">
        <v>3057</v>
      </c>
      <c r="K243" s="10">
        <f t="shared" si="63"/>
        <v>0</v>
      </c>
      <c r="L243" s="4" t="s">
        <v>3057</v>
      </c>
      <c r="M243" s="10">
        <f t="shared" si="64"/>
        <v>0</v>
      </c>
      <c r="N243" s="4" t="s">
        <v>3057</v>
      </c>
      <c r="O243" s="10">
        <f t="shared" si="65"/>
        <v>0</v>
      </c>
      <c r="P243" s="4" t="s">
        <v>3057</v>
      </c>
      <c r="Q243" s="10">
        <f t="shared" si="66"/>
        <v>0</v>
      </c>
      <c r="R243" s="4" t="s">
        <v>3057</v>
      </c>
      <c r="S243" s="10">
        <f t="shared" si="67"/>
        <v>0</v>
      </c>
      <c r="T243" s="4" t="s">
        <v>3057</v>
      </c>
      <c r="U243" s="10">
        <f t="shared" si="68"/>
        <v>0</v>
      </c>
      <c r="V243" s="4" t="s">
        <v>3057</v>
      </c>
      <c r="W243" s="10">
        <f t="shared" si="69"/>
        <v>0</v>
      </c>
      <c r="X243" s="4">
        <v>10</v>
      </c>
      <c r="Y243" s="10">
        <f t="shared" si="70"/>
        <v>0</v>
      </c>
      <c r="Z243" s="4" t="s">
        <v>3057</v>
      </c>
      <c r="AA243" s="10">
        <f t="shared" si="71"/>
        <v>3</v>
      </c>
      <c r="AB243" s="4" t="s">
        <v>3057</v>
      </c>
      <c r="AC243" s="10">
        <f t="shared" si="72"/>
        <v>2.0999999999999996</v>
      </c>
      <c r="AD243" s="4" t="s">
        <v>3057</v>
      </c>
      <c r="AE243" s="10">
        <f t="shared" si="73"/>
        <v>1.4699999999999998</v>
      </c>
      <c r="AF243" s="4" t="s">
        <v>3057</v>
      </c>
      <c r="AG243" s="10">
        <f t="shared" si="74"/>
        <v>1.0289999999999997</v>
      </c>
      <c r="AH243" s="4" t="s">
        <v>3057</v>
      </c>
      <c r="AI243" s="10">
        <f t="shared" si="75"/>
        <v>0.72029999999999972</v>
      </c>
      <c r="AJ243" s="4" t="s">
        <v>3057</v>
      </c>
      <c r="AK243" s="10">
        <f t="shared" si="76"/>
        <v>0.50420999999999982</v>
      </c>
      <c r="AL243" s="4" t="s">
        <v>3057</v>
      </c>
      <c r="AM243" s="10">
        <f t="shared" si="77"/>
        <v>0.35294699999999984</v>
      </c>
      <c r="AN243" s="5">
        <f t="shared" si="78"/>
        <v>0.35294699999999984</v>
      </c>
      <c r="AO243" s="6" t="str">
        <f t="shared" si="79"/>
        <v>0</v>
      </c>
    </row>
    <row r="244" spans="1:41" x14ac:dyDescent="0.25">
      <c r="A244" t="s">
        <v>1090</v>
      </c>
      <c r="B244" t="s">
        <v>2776</v>
      </c>
      <c r="C244" t="str">
        <f>_xlfn.XLOOKUP(A244,Fore!A:A,Fore!AC:AC)</f>
        <v>CY</v>
      </c>
      <c r="D244" s="4" t="s">
        <v>3057</v>
      </c>
      <c r="E244" s="10" t="str">
        <f t="shared" si="60"/>
        <v>0</v>
      </c>
      <c r="F244" s="4" t="s">
        <v>3057</v>
      </c>
      <c r="G244" s="10">
        <f t="shared" si="61"/>
        <v>0</v>
      </c>
      <c r="H244" s="4" t="s">
        <v>3057</v>
      </c>
      <c r="I244" s="10">
        <f t="shared" si="62"/>
        <v>0</v>
      </c>
      <c r="J244" s="4">
        <v>1</v>
      </c>
      <c r="K244" s="10">
        <f t="shared" si="63"/>
        <v>0</v>
      </c>
      <c r="L244" s="4" t="s">
        <v>3057</v>
      </c>
      <c r="M244" s="10">
        <f t="shared" si="64"/>
        <v>0.3</v>
      </c>
      <c r="N244" s="4" t="s">
        <v>3057</v>
      </c>
      <c r="O244" s="10">
        <f t="shared" si="65"/>
        <v>0.09</v>
      </c>
      <c r="P244" s="4">
        <v>3.9999999999999996</v>
      </c>
      <c r="Q244" s="10">
        <f t="shared" si="66"/>
        <v>6.3E-2</v>
      </c>
      <c r="R244" s="4" t="s">
        <v>3057</v>
      </c>
      <c r="S244" s="10">
        <f t="shared" si="67"/>
        <v>1.2440999999999998</v>
      </c>
      <c r="T244" s="4" t="s">
        <v>3057</v>
      </c>
      <c r="U244" s="10">
        <f t="shared" si="68"/>
        <v>0.87086999999999981</v>
      </c>
      <c r="V244" s="4" t="s">
        <v>3057</v>
      </c>
      <c r="W244" s="10">
        <f t="shared" si="69"/>
        <v>0.60960899999999985</v>
      </c>
      <c r="X244" s="4">
        <v>0</v>
      </c>
      <c r="Y244" s="10">
        <f t="shared" si="70"/>
        <v>0.42672629999999989</v>
      </c>
      <c r="Z244" s="4" t="s">
        <v>3057</v>
      </c>
      <c r="AA244" s="10">
        <f t="shared" si="71"/>
        <v>0.29870840999999992</v>
      </c>
      <c r="AB244" s="4">
        <v>2</v>
      </c>
      <c r="AC244" s="10">
        <f t="shared" si="72"/>
        <v>0.20909588699999992</v>
      </c>
      <c r="AD244" s="4" t="s">
        <v>3057</v>
      </c>
      <c r="AE244" s="10">
        <f t="shared" si="73"/>
        <v>0.7463671208999999</v>
      </c>
      <c r="AF244" s="4" t="s">
        <v>3057</v>
      </c>
      <c r="AG244" s="10">
        <f t="shared" si="74"/>
        <v>0.5224569846299999</v>
      </c>
      <c r="AH244" s="4" t="s">
        <v>3057</v>
      </c>
      <c r="AI244" s="10">
        <f t="shared" si="75"/>
        <v>0.36571988924099991</v>
      </c>
      <c r="AJ244" s="4" t="s">
        <v>3057</v>
      </c>
      <c r="AK244" s="10">
        <f t="shared" si="76"/>
        <v>0.25600392246869991</v>
      </c>
      <c r="AL244" s="4">
        <v>2</v>
      </c>
      <c r="AM244" s="10">
        <f t="shared" si="77"/>
        <v>0.17920274572808992</v>
      </c>
      <c r="AN244" s="5">
        <f t="shared" si="78"/>
        <v>1.82079725427191</v>
      </c>
      <c r="AO244" s="6">
        <f t="shared" si="79"/>
        <v>0.91039862713595499</v>
      </c>
    </row>
    <row r="245" spans="1:41" x14ac:dyDescent="0.25">
      <c r="A245" t="s">
        <v>1355</v>
      </c>
      <c r="B245" t="s">
        <v>2985</v>
      </c>
      <c r="C245" t="str">
        <f>_xlfn.XLOOKUP(A245,Fore!A:A,Fore!AC:AC)</f>
        <v>CZ</v>
      </c>
      <c r="D245" s="4" t="s">
        <v>3057</v>
      </c>
      <c r="E245" s="10" t="str">
        <f t="shared" si="60"/>
        <v>0</v>
      </c>
      <c r="F245" s="4" t="s">
        <v>3057</v>
      </c>
      <c r="G245" s="10">
        <f t="shared" si="61"/>
        <v>0</v>
      </c>
      <c r="H245" s="4" t="s">
        <v>3057</v>
      </c>
      <c r="I245" s="10">
        <f t="shared" si="62"/>
        <v>0</v>
      </c>
      <c r="J245" s="4" t="s">
        <v>3057</v>
      </c>
      <c r="K245" s="10">
        <f t="shared" si="63"/>
        <v>0</v>
      </c>
      <c r="L245" s="4">
        <v>6</v>
      </c>
      <c r="M245" s="10">
        <f t="shared" si="64"/>
        <v>0</v>
      </c>
      <c r="N245" s="4" t="s">
        <v>3057</v>
      </c>
      <c r="O245" s="10">
        <f t="shared" si="65"/>
        <v>4.1999999999999993</v>
      </c>
      <c r="P245" s="4">
        <v>1</v>
      </c>
      <c r="Q245" s="10">
        <f t="shared" si="66"/>
        <v>2.9399999999999995</v>
      </c>
      <c r="R245" s="4">
        <v>1</v>
      </c>
      <c r="S245" s="10">
        <f t="shared" si="67"/>
        <v>2.3579999999999992</v>
      </c>
      <c r="T245" s="4" t="s">
        <v>3057</v>
      </c>
      <c r="U245" s="10">
        <f t="shared" si="68"/>
        <v>1.9505999999999994</v>
      </c>
      <c r="V245" s="4" t="s">
        <v>3057</v>
      </c>
      <c r="W245" s="10">
        <f t="shared" si="69"/>
        <v>1.3654199999999996</v>
      </c>
      <c r="X245" s="4">
        <v>0</v>
      </c>
      <c r="Y245" s="10">
        <f t="shared" si="70"/>
        <v>0.9557939999999997</v>
      </c>
      <c r="Z245" s="4" t="s">
        <v>3057</v>
      </c>
      <c r="AA245" s="10">
        <f t="shared" si="71"/>
        <v>0.66905579999999976</v>
      </c>
      <c r="AB245" s="4" t="s">
        <v>3057</v>
      </c>
      <c r="AC245" s="10">
        <f t="shared" si="72"/>
        <v>0.46833905999999981</v>
      </c>
      <c r="AD245" s="4">
        <v>1</v>
      </c>
      <c r="AE245" s="10">
        <f t="shared" si="73"/>
        <v>0.32783734199999987</v>
      </c>
      <c r="AF245" s="4" t="s">
        <v>3057</v>
      </c>
      <c r="AG245" s="10">
        <f t="shared" si="74"/>
        <v>0.52948613939999989</v>
      </c>
      <c r="AH245" s="4" t="s">
        <v>3057</v>
      </c>
      <c r="AI245" s="10">
        <f t="shared" si="75"/>
        <v>0.37064029757999989</v>
      </c>
      <c r="AJ245" s="4" t="s">
        <v>3057</v>
      </c>
      <c r="AK245" s="10">
        <f t="shared" si="76"/>
        <v>0.25944820830599991</v>
      </c>
      <c r="AL245" s="4" t="s">
        <v>3057</v>
      </c>
      <c r="AM245" s="10">
        <f t="shared" si="77"/>
        <v>0.18161374581419992</v>
      </c>
      <c r="AN245" s="5">
        <f t="shared" si="78"/>
        <v>0.18161374581419992</v>
      </c>
      <c r="AO245" s="6" t="str">
        <f t="shared" si="79"/>
        <v>0</v>
      </c>
    </row>
    <row r="246" spans="1:41" x14ac:dyDescent="0.25">
      <c r="A246" t="s">
        <v>2131</v>
      </c>
      <c r="B246" t="s">
        <v>3041</v>
      </c>
      <c r="C246" t="str">
        <f>_xlfn.XLOOKUP(A246,Fore!A:A,Fore!AC:AC)</f>
        <v>CY</v>
      </c>
      <c r="D246" s="4" t="s">
        <v>3057</v>
      </c>
      <c r="E246" s="10" t="str">
        <f t="shared" si="60"/>
        <v>0</v>
      </c>
      <c r="F246" s="4" t="s">
        <v>3057</v>
      </c>
      <c r="G246" s="10">
        <f t="shared" si="61"/>
        <v>0</v>
      </c>
      <c r="H246" s="4" t="s">
        <v>3057</v>
      </c>
      <c r="I246" s="10">
        <f t="shared" si="62"/>
        <v>0</v>
      </c>
      <c r="J246" s="4" t="s">
        <v>3057</v>
      </c>
      <c r="K246" s="10">
        <f t="shared" si="63"/>
        <v>0</v>
      </c>
      <c r="L246" s="4" t="s">
        <v>3057</v>
      </c>
      <c r="M246" s="10">
        <f t="shared" si="64"/>
        <v>0</v>
      </c>
      <c r="N246" s="4" t="s">
        <v>3057</v>
      </c>
      <c r="O246" s="10">
        <f t="shared" si="65"/>
        <v>0</v>
      </c>
      <c r="P246" s="4" t="s">
        <v>3057</v>
      </c>
      <c r="Q246" s="10">
        <f t="shared" si="66"/>
        <v>0</v>
      </c>
      <c r="R246" s="4" t="s">
        <v>3057</v>
      </c>
      <c r="S246" s="10">
        <f t="shared" si="67"/>
        <v>0</v>
      </c>
      <c r="T246" s="4" t="s">
        <v>3057</v>
      </c>
      <c r="U246" s="10">
        <f t="shared" si="68"/>
        <v>0</v>
      </c>
      <c r="V246" s="4" t="s">
        <v>3057</v>
      </c>
      <c r="W246" s="10">
        <f t="shared" si="69"/>
        <v>0</v>
      </c>
      <c r="X246" s="4">
        <v>0</v>
      </c>
      <c r="Y246" s="10">
        <f t="shared" si="70"/>
        <v>0</v>
      </c>
      <c r="Z246" s="4" t="s">
        <v>3057</v>
      </c>
      <c r="AA246" s="10">
        <f t="shared" si="71"/>
        <v>0</v>
      </c>
      <c r="AB246" s="4" t="s">
        <v>3057</v>
      </c>
      <c r="AC246" s="10">
        <f t="shared" si="72"/>
        <v>0</v>
      </c>
      <c r="AD246" s="4">
        <v>6.26</v>
      </c>
      <c r="AE246" s="10">
        <f t="shared" si="73"/>
        <v>0</v>
      </c>
      <c r="AF246" s="4" t="s">
        <v>3057</v>
      </c>
      <c r="AG246" s="10">
        <f t="shared" si="74"/>
        <v>1.8779999999999999</v>
      </c>
      <c r="AH246" s="4" t="s">
        <v>3057</v>
      </c>
      <c r="AI246" s="10">
        <f t="shared" si="75"/>
        <v>1.3145999999999998</v>
      </c>
      <c r="AJ246" s="4" t="s">
        <v>3057</v>
      </c>
      <c r="AK246" s="10">
        <f t="shared" si="76"/>
        <v>0.92021999999999982</v>
      </c>
      <c r="AL246" s="4" t="s">
        <v>3057</v>
      </c>
      <c r="AM246" s="10">
        <f t="shared" si="77"/>
        <v>0.64415399999999978</v>
      </c>
      <c r="AN246" s="5">
        <f t="shared" si="78"/>
        <v>0.64415399999999978</v>
      </c>
      <c r="AO246" s="6" t="str">
        <f t="shared" si="79"/>
        <v>0</v>
      </c>
    </row>
    <row r="247" spans="1:41" x14ac:dyDescent="0.25">
      <c r="A247" t="s">
        <v>2132</v>
      </c>
      <c r="B247" t="s">
        <v>3042</v>
      </c>
      <c r="C247" t="str">
        <f>_xlfn.XLOOKUP(A247,Fore!A:A,Fore!AC:AC)</f>
        <v>CY</v>
      </c>
      <c r="D247" s="4" t="s">
        <v>3057</v>
      </c>
      <c r="E247" s="10" t="str">
        <f t="shared" si="60"/>
        <v>0</v>
      </c>
      <c r="F247" s="4" t="s">
        <v>3057</v>
      </c>
      <c r="G247" s="10">
        <f t="shared" si="61"/>
        <v>0</v>
      </c>
      <c r="H247" s="4" t="s">
        <v>3057</v>
      </c>
      <c r="I247" s="10">
        <f t="shared" si="62"/>
        <v>0</v>
      </c>
      <c r="J247" s="4" t="s">
        <v>3057</v>
      </c>
      <c r="K247" s="10">
        <f t="shared" si="63"/>
        <v>0</v>
      </c>
      <c r="L247" s="4" t="s">
        <v>3057</v>
      </c>
      <c r="M247" s="10">
        <f t="shared" si="64"/>
        <v>0</v>
      </c>
      <c r="N247" s="4" t="s">
        <v>3057</v>
      </c>
      <c r="O247" s="10">
        <f t="shared" si="65"/>
        <v>0</v>
      </c>
      <c r="P247" s="4" t="s">
        <v>3057</v>
      </c>
      <c r="Q247" s="10">
        <f t="shared" si="66"/>
        <v>0</v>
      </c>
      <c r="R247" s="4" t="s">
        <v>3057</v>
      </c>
      <c r="S247" s="10">
        <f t="shared" si="67"/>
        <v>0</v>
      </c>
      <c r="T247" s="4" t="s">
        <v>3057</v>
      </c>
      <c r="U247" s="10">
        <f t="shared" si="68"/>
        <v>0</v>
      </c>
      <c r="V247" s="4" t="s">
        <v>3057</v>
      </c>
      <c r="W247" s="10">
        <f t="shared" si="69"/>
        <v>0</v>
      </c>
      <c r="X247" s="4">
        <v>0</v>
      </c>
      <c r="Y247" s="10">
        <f t="shared" si="70"/>
        <v>0</v>
      </c>
      <c r="Z247" s="4" t="s">
        <v>3057</v>
      </c>
      <c r="AA247" s="10">
        <f t="shared" si="71"/>
        <v>0</v>
      </c>
      <c r="AB247" s="4" t="s">
        <v>3057</v>
      </c>
      <c r="AC247" s="10">
        <f t="shared" si="72"/>
        <v>0</v>
      </c>
      <c r="AD247" s="4">
        <v>6.26</v>
      </c>
      <c r="AE247" s="10">
        <f t="shared" si="73"/>
        <v>0</v>
      </c>
      <c r="AF247" s="4" t="s">
        <v>3057</v>
      </c>
      <c r="AG247" s="10">
        <f t="shared" si="74"/>
        <v>1.8779999999999999</v>
      </c>
      <c r="AH247" s="4" t="s">
        <v>3057</v>
      </c>
      <c r="AI247" s="10">
        <f t="shared" si="75"/>
        <v>1.3145999999999998</v>
      </c>
      <c r="AJ247" s="4" t="s">
        <v>3057</v>
      </c>
      <c r="AK247" s="10">
        <f t="shared" si="76"/>
        <v>0.92021999999999982</v>
      </c>
      <c r="AL247" s="4" t="s">
        <v>3057</v>
      </c>
      <c r="AM247" s="10">
        <f t="shared" si="77"/>
        <v>0.64415399999999978</v>
      </c>
      <c r="AN247" s="5">
        <f t="shared" si="78"/>
        <v>0.64415399999999978</v>
      </c>
      <c r="AO247" s="6" t="str">
        <f t="shared" si="79"/>
        <v>0</v>
      </c>
    </row>
    <row r="248" spans="1:41" x14ac:dyDescent="0.25">
      <c r="A248" t="s">
        <v>919</v>
      </c>
      <c r="B248" t="s">
        <v>2873</v>
      </c>
      <c r="C248" t="str">
        <f>_xlfn.XLOOKUP(A248,Fore!A:A,Fore!AC:AC)</f>
        <v>CY</v>
      </c>
      <c r="D248" s="4" t="s">
        <v>3057</v>
      </c>
      <c r="E248" s="10" t="str">
        <f t="shared" si="60"/>
        <v>0</v>
      </c>
      <c r="F248" s="4" t="s">
        <v>3057</v>
      </c>
      <c r="G248" s="10">
        <f t="shared" si="61"/>
        <v>0</v>
      </c>
      <c r="H248" s="4" t="s">
        <v>3057</v>
      </c>
      <c r="I248" s="10">
        <f t="shared" si="62"/>
        <v>0</v>
      </c>
      <c r="J248" s="4" t="s">
        <v>3057</v>
      </c>
      <c r="K248" s="10">
        <f t="shared" si="63"/>
        <v>0</v>
      </c>
      <c r="L248" s="4" t="s">
        <v>3057</v>
      </c>
      <c r="M248" s="10">
        <f t="shared" si="64"/>
        <v>0</v>
      </c>
      <c r="N248" s="4">
        <v>6</v>
      </c>
      <c r="O248" s="10">
        <f t="shared" si="65"/>
        <v>0</v>
      </c>
      <c r="P248" s="4" t="s">
        <v>3057</v>
      </c>
      <c r="Q248" s="10">
        <f t="shared" si="66"/>
        <v>1.7999999999999998</v>
      </c>
      <c r="R248" s="4" t="s">
        <v>3057</v>
      </c>
      <c r="S248" s="10">
        <f t="shared" si="67"/>
        <v>1.2599999999999998</v>
      </c>
      <c r="T248" s="4" t="s">
        <v>3057</v>
      </c>
      <c r="U248" s="10">
        <f t="shared" si="68"/>
        <v>0.88199999999999978</v>
      </c>
      <c r="V248" s="4" t="s">
        <v>3057</v>
      </c>
      <c r="W248" s="10">
        <f t="shared" si="69"/>
        <v>0.61739999999999984</v>
      </c>
      <c r="X248" s="4">
        <v>0</v>
      </c>
      <c r="Y248" s="10">
        <f t="shared" si="70"/>
        <v>0.43217999999999984</v>
      </c>
      <c r="Z248" s="4" t="s">
        <v>3057</v>
      </c>
      <c r="AA248" s="10">
        <f t="shared" si="71"/>
        <v>0.30252599999999985</v>
      </c>
      <c r="AB248" s="4" t="s">
        <v>3057</v>
      </c>
      <c r="AC248" s="10">
        <f t="shared" si="72"/>
        <v>0.21176819999999988</v>
      </c>
      <c r="AD248" s="4" t="s">
        <v>3057</v>
      </c>
      <c r="AE248" s="10">
        <f t="shared" si="73"/>
        <v>0.1482377399999999</v>
      </c>
      <c r="AF248" s="4" t="s">
        <v>3057</v>
      </c>
      <c r="AG248" s="10">
        <f t="shared" si="74"/>
        <v>0.10376641799999992</v>
      </c>
      <c r="AH248" s="4" t="s">
        <v>3057</v>
      </c>
      <c r="AI248" s="10">
        <f t="shared" si="75"/>
        <v>7.2636492599999936E-2</v>
      </c>
      <c r="AJ248" s="4" t="s">
        <v>3057</v>
      </c>
      <c r="AK248" s="10">
        <f t="shared" si="76"/>
        <v>5.0845544819999949E-2</v>
      </c>
      <c r="AL248" s="4" t="s">
        <v>3057</v>
      </c>
      <c r="AM248" s="10">
        <f t="shared" si="77"/>
        <v>3.5591881373999962E-2</v>
      </c>
      <c r="AN248" s="5">
        <f t="shared" si="78"/>
        <v>3.5591881373999962E-2</v>
      </c>
      <c r="AO248" s="6" t="str">
        <f t="shared" si="79"/>
        <v>0</v>
      </c>
    </row>
    <row r="249" spans="1:41" x14ac:dyDescent="0.25">
      <c r="A249" t="s">
        <v>777</v>
      </c>
      <c r="B249" t="s">
        <v>2696</v>
      </c>
      <c r="C249" t="str">
        <f>_xlfn.XLOOKUP(A249,Fore!A:A,Fore!AC:AC)</f>
        <v>CY</v>
      </c>
      <c r="D249" s="4" t="s">
        <v>3057</v>
      </c>
      <c r="E249" s="10" t="str">
        <f t="shared" si="60"/>
        <v>0</v>
      </c>
      <c r="F249" s="4" t="s">
        <v>3057</v>
      </c>
      <c r="G249" s="10">
        <f t="shared" si="61"/>
        <v>0</v>
      </c>
      <c r="H249" s="4" t="s">
        <v>3057</v>
      </c>
      <c r="I249" s="10">
        <f t="shared" si="62"/>
        <v>0</v>
      </c>
      <c r="J249" s="4">
        <v>5</v>
      </c>
      <c r="K249" s="10">
        <f t="shared" si="63"/>
        <v>0</v>
      </c>
      <c r="L249" s="4" t="s">
        <v>3057</v>
      </c>
      <c r="M249" s="10">
        <f t="shared" si="64"/>
        <v>1.5</v>
      </c>
      <c r="N249" s="4" t="s">
        <v>3057</v>
      </c>
      <c r="O249" s="10">
        <f t="shared" si="65"/>
        <v>0.44999999999999996</v>
      </c>
      <c r="P249" s="4" t="s">
        <v>3057</v>
      </c>
      <c r="Q249" s="10">
        <f t="shared" si="66"/>
        <v>0.31499999999999995</v>
      </c>
      <c r="R249" s="4" t="s">
        <v>3057</v>
      </c>
      <c r="S249" s="10">
        <f t="shared" si="67"/>
        <v>0.22049999999999995</v>
      </c>
      <c r="T249" s="4" t="s">
        <v>3057</v>
      </c>
      <c r="U249" s="10">
        <f t="shared" si="68"/>
        <v>0.15434999999999996</v>
      </c>
      <c r="V249" s="4" t="s">
        <v>3057</v>
      </c>
      <c r="W249" s="10">
        <f t="shared" si="69"/>
        <v>0.10804499999999996</v>
      </c>
      <c r="X249" s="4">
        <v>0</v>
      </c>
      <c r="Y249" s="10">
        <f t="shared" si="70"/>
        <v>7.5631499999999963E-2</v>
      </c>
      <c r="Z249" s="4" t="s">
        <v>3057</v>
      </c>
      <c r="AA249" s="10">
        <f t="shared" si="71"/>
        <v>5.294204999999997E-2</v>
      </c>
      <c r="AB249" s="4" t="s">
        <v>3057</v>
      </c>
      <c r="AC249" s="10">
        <f t="shared" si="72"/>
        <v>3.7059434999999974E-2</v>
      </c>
      <c r="AD249" s="4" t="s">
        <v>3057</v>
      </c>
      <c r="AE249" s="10">
        <f t="shared" si="73"/>
        <v>2.5941604499999979E-2</v>
      </c>
      <c r="AF249" s="4" t="s">
        <v>3057</v>
      </c>
      <c r="AG249" s="10">
        <f t="shared" si="74"/>
        <v>1.8159123149999984E-2</v>
      </c>
      <c r="AH249" s="4" t="s">
        <v>3057</v>
      </c>
      <c r="AI249" s="10">
        <f t="shared" si="75"/>
        <v>1.2711386204999987E-2</v>
      </c>
      <c r="AJ249" s="4" t="s">
        <v>3057</v>
      </c>
      <c r="AK249" s="10">
        <f t="shared" si="76"/>
        <v>8.8979703434999904E-3</v>
      </c>
      <c r="AL249" s="4" t="s">
        <v>3057</v>
      </c>
      <c r="AM249" s="10">
        <f t="shared" si="77"/>
        <v>6.228579240449993E-3</v>
      </c>
      <c r="AN249" s="5">
        <f t="shared" si="78"/>
        <v>6.228579240449993E-3</v>
      </c>
      <c r="AO249" s="6" t="str">
        <f t="shared" si="79"/>
        <v>0</v>
      </c>
    </row>
    <row r="250" spans="1:41" x14ac:dyDescent="0.25">
      <c r="A250" t="s">
        <v>2181</v>
      </c>
      <c r="B250" t="s">
        <v>2822</v>
      </c>
      <c r="C250" t="str">
        <f>_xlfn.XLOOKUP(A250,Fore!A:A,Fore!AC:AC)</f>
        <v>CZ</v>
      </c>
      <c r="D250" s="4" t="s">
        <v>3057</v>
      </c>
      <c r="E250" s="10" t="str">
        <f t="shared" si="60"/>
        <v>0</v>
      </c>
      <c r="F250" s="4" t="s">
        <v>3057</v>
      </c>
      <c r="G250" s="10">
        <f t="shared" si="61"/>
        <v>0</v>
      </c>
      <c r="H250" s="4" t="s">
        <v>3057</v>
      </c>
      <c r="I250" s="10">
        <f t="shared" si="62"/>
        <v>0</v>
      </c>
      <c r="J250" s="4" t="s">
        <v>3057</v>
      </c>
      <c r="K250" s="10">
        <f t="shared" si="63"/>
        <v>0</v>
      </c>
      <c r="L250" s="4" t="s">
        <v>3057</v>
      </c>
      <c r="M250" s="10">
        <f t="shared" si="64"/>
        <v>0</v>
      </c>
      <c r="N250" s="4" t="s">
        <v>3057</v>
      </c>
      <c r="O250" s="10">
        <f t="shared" si="65"/>
        <v>0</v>
      </c>
      <c r="P250" s="4" t="s">
        <v>3057</v>
      </c>
      <c r="Q250" s="10">
        <f t="shared" si="66"/>
        <v>0</v>
      </c>
      <c r="R250" s="4" t="s">
        <v>3057</v>
      </c>
      <c r="S250" s="10">
        <f t="shared" si="67"/>
        <v>0</v>
      </c>
      <c r="T250" s="4" t="s">
        <v>3057</v>
      </c>
      <c r="U250" s="10">
        <f t="shared" si="68"/>
        <v>0</v>
      </c>
      <c r="V250" s="4" t="s">
        <v>3057</v>
      </c>
      <c r="W250" s="10">
        <f t="shared" si="69"/>
        <v>0</v>
      </c>
      <c r="X250" s="4">
        <v>0</v>
      </c>
      <c r="Y250" s="10">
        <f t="shared" si="70"/>
        <v>0</v>
      </c>
      <c r="Z250" s="4" t="s">
        <v>3057</v>
      </c>
      <c r="AA250" s="10">
        <f t="shared" si="71"/>
        <v>0</v>
      </c>
      <c r="AB250" s="4" t="s">
        <v>3057</v>
      </c>
      <c r="AC250" s="10">
        <f t="shared" si="72"/>
        <v>0</v>
      </c>
      <c r="AD250" s="4" t="s">
        <v>3057</v>
      </c>
      <c r="AE250" s="10">
        <f t="shared" si="73"/>
        <v>0</v>
      </c>
      <c r="AF250" s="4">
        <v>4</v>
      </c>
      <c r="AG250" s="10">
        <f t="shared" si="74"/>
        <v>0</v>
      </c>
      <c r="AH250" s="4">
        <v>1</v>
      </c>
      <c r="AI250" s="10">
        <f t="shared" si="75"/>
        <v>1.2</v>
      </c>
      <c r="AJ250" s="4" t="s">
        <v>3057</v>
      </c>
      <c r="AK250" s="10">
        <f t="shared" si="76"/>
        <v>1.1399999999999999</v>
      </c>
      <c r="AL250" s="4" t="s">
        <v>3057</v>
      </c>
      <c r="AM250" s="10">
        <f t="shared" si="77"/>
        <v>0.79799999999999993</v>
      </c>
      <c r="AN250" s="5">
        <f t="shared" si="78"/>
        <v>0.79799999999999993</v>
      </c>
      <c r="AO250" s="6" t="str">
        <f t="shared" si="79"/>
        <v>0</v>
      </c>
    </row>
    <row r="251" spans="1:41" x14ac:dyDescent="0.25">
      <c r="A251" t="s">
        <v>1702</v>
      </c>
      <c r="B251" t="s">
        <v>2740</v>
      </c>
      <c r="C251" t="str">
        <f>_xlfn.XLOOKUP(A251,Fore!A:A,Fore!AC:AC)</f>
        <v>CX</v>
      </c>
      <c r="D251" s="4" t="s">
        <v>3057</v>
      </c>
      <c r="E251" s="10" t="str">
        <f t="shared" si="60"/>
        <v>0</v>
      </c>
      <c r="F251" s="4" t="s">
        <v>3057</v>
      </c>
      <c r="G251" s="10">
        <f t="shared" si="61"/>
        <v>0</v>
      </c>
      <c r="H251" s="4" t="s">
        <v>3057</v>
      </c>
      <c r="I251" s="10">
        <f t="shared" si="62"/>
        <v>0</v>
      </c>
      <c r="J251" s="4" t="s">
        <v>3057</v>
      </c>
      <c r="K251" s="10">
        <f t="shared" si="63"/>
        <v>0</v>
      </c>
      <c r="L251" s="4" t="s">
        <v>3057</v>
      </c>
      <c r="M251" s="10">
        <f t="shared" si="64"/>
        <v>0</v>
      </c>
      <c r="N251" s="4" t="s">
        <v>3057</v>
      </c>
      <c r="O251" s="10">
        <f t="shared" si="65"/>
        <v>0</v>
      </c>
      <c r="P251" s="4" t="s">
        <v>3057</v>
      </c>
      <c r="Q251" s="10">
        <f t="shared" si="66"/>
        <v>0</v>
      </c>
      <c r="R251" s="4">
        <v>1.5</v>
      </c>
      <c r="S251" s="10">
        <f t="shared" si="67"/>
        <v>0</v>
      </c>
      <c r="T251" s="4" t="s">
        <v>3057</v>
      </c>
      <c r="U251" s="10">
        <f t="shared" si="68"/>
        <v>0.44999999999999996</v>
      </c>
      <c r="V251" s="4">
        <v>2</v>
      </c>
      <c r="W251" s="10">
        <f t="shared" si="69"/>
        <v>0.31499999999999995</v>
      </c>
      <c r="X251" s="4">
        <v>1</v>
      </c>
      <c r="Y251" s="10">
        <f t="shared" si="70"/>
        <v>0.8204999999999999</v>
      </c>
      <c r="Z251" s="4" t="s">
        <v>3057</v>
      </c>
      <c r="AA251" s="10">
        <f t="shared" si="71"/>
        <v>0.87434999999999996</v>
      </c>
      <c r="AB251" s="4" t="s">
        <v>3057</v>
      </c>
      <c r="AC251" s="10">
        <f t="shared" si="72"/>
        <v>0.61204499999999995</v>
      </c>
      <c r="AD251" s="4" t="s">
        <v>3057</v>
      </c>
      <c r="AE251" s="10">
        <f t="shared" si="73"/>
        <v>0.42843149999999997</v>
      </c>
      <c r="AF251" s="4" t="s">
        <v>3057</v>
      </c>
      <c r="AG251" s="10">
        <f t="shared" si="74"/>
        <v>0.29990204999999998</v>
      </c>
      <c r="AH251" s="4" t="s">
        <v>3057</v>
      </c>
      <c r="AI251" s="10">
        <f t="shared" si="75"/>
        <v>0.20993143499999997</v>
      </c>
      <c r="AJ251" s="4" t="s">
        <v>3057</v>
      </c>
      <c r="AK251" s="10">
        <f t="shared" si="76"/>
        <v>0.14695200449999998</v>
      </c>
      <c r="AL251" s="4" t="s">
        <v>3057</v>
      </c>
      <c r="AM251" s="10">
        <f t="shared" si="77"/>
        <v>0.10286640314999998</v>
      </c>
      <c r="AN251" s="5">
        <f t="shared" si="78"/>
        <v>0.10286640314999998</v>
      </c>
      <c r="AO251" s="6" t="str">
        <f t="shared" si="79"/>
        <v>0</v>
      </c>
    </row>
    <row r="252" spans="1:41" x14ac:dyDescent="0.25">
      <c r="A252" t="s">
        <v>413</v>
      </c>
      <c r="B252" t="s">
        <v>2761</v>
      </c>
      <c r="C252" t="str">
        <f>_xlfn.XLOOKUP(A252,Fore!A:A,Fore!AC:AC)</f>
        <v>CY</v>
      </c>
      <c r="D252" s="4" t="s">
        <v>3057</v>
      </c>
      <c r="E252" s="10" t="str">
        <f t="shared" si="60"/>
        <v>0</v>
      </c>
      <c r="F252" s="4" t="s">
        <v>3057</v>
      </c>
      <c r="G252" s="10">
        <f t="shared" si="61"/>
        <v>0</v>
      </c>
      <c r="H252" s="4" t="s">
        <v>3057</v>
      </c>
      <c r="I252" s="10">
        <f t="shared" si="62"/>
        <v>0</v>
      </c>
      <c r="J252" s="4" t="s">
        <v>3057</v>
      </c>
      <c r="K252" s="10">
        <f t="shared" si="63"/>
        <v>0</v>
      </c>
      <c r="L252" s="4" t="s">
        <v>3057</v>
      </c>
      <c r="M252" s="10">
        <f t="shared" si="64"/>
        <v>0</v>
      </c>
      <c r="N252" s="4">
        <v>1</v>
      </c>
      <c r="O252" s="10">
        <f t="shared" si="65"/>
        <v>0</v>
      </c>
      <c r="P252" s="4" t="s">
        <v>3057</v>
      </c>
      <c r="Q252" s="10">
        <f t="shared" si="66"/>
        <v>0.3</v>
      </c>
      <c r="R252" s="4" t="s">
        <v>3057</v>
      </c>
      <c r="S252" s="10">
        <f t="shared" si="67"/>
        <v>0.21</v>
      </c>
      <c r="T252" s="4" t="s">
        <v>3057</v>
      </c>
      <c r="U252" s="10">
        <f t="shared" si="68"/>
        <v>0.14699999999999999</v>
      </c>
      <c r="V252" s="4" t="s">
        <v>3057</v>
      </c>
      <c r="W252" s="10">
        <f t="shared" si="69"/>
        <v>0.10289999999999999</v>
      </c>
      <c r="X252" s="4">
        <v>0</v>
      </c>
      <c r="Y252" s="10">
        <f t="shared" si="70"/>
        <v>7.2029999999999983E-2</v>
      </c>
      <c r="Z252" s="4" t="s">
        <v>3057</v>
      </c>
      <c r="AA252" s="10">
        <f t="shared" si="71"/>
        <v>5.0420999999999987E-2</v>
      </c>
      <c r="AB252" s="4" t="s">
        <v>3057</v>
      </c>
      <c r="AC252" s="10">
        <f t="shared" si="72"/>
        <v>3.5294699999999991E-2</v>
      </c>
      <c r="AD252" s="4" t="s">
        <v>3057</v>
      </c>
      <c r="AE252" s="10">
        <f t="shared" si="73"/>
        <v>2.4706289999999992E-2</v>
      </c>
      <c r="AF252" s="4" t="s">
        <v>3057</v>
      </c>
      <c r="AG252" s="10">
        <f t="shared" si="74"/>
        <v>1.7294402999999993E-2</v>
      </c>
      <c r="AH252" s="4" t="s">
        <v>3057</v>
      </c>
      <c r="AI252" s="10">
        <f t="shared" si="75"/>
        <v>1.2106082099999995E-2</v>
      </c>
      <c r="AJ252" s="4">
        <v>3</v>
      </c>
      <c r="AK252" s="10">
        <f t="shared" si="76"/>
        <v>8.4742574699999962E-3</v>
      </c>
      <c r="AL252" s="4" t="s">
        <v>3057</v>
      </c>
      <c r="AM252" s="10">
        <f t="shared" si="77"/>
        <v>0.9059319802289999</v>
      </c>
      <c r="AN252" s="5">
        <f t="shared" si="78"/>
        <v>0.9059319802289999</v>
      </c>
      <c r="AO252" s="6" t="str">
        <f t="shared" si="79"/>
        <v>0</v>
      </c>
    </row>
    <row r="253" spans="1:41" x14ac:dyDescent="0.25">
      <c r="A253" t="s">
        <v>1353</v>
      </c>
      <c r="B253" t="s">
        <v>2824</v>
      </c>
      <c r="C253" t="str">
        <f>_xlfn.XLOOKUP(A253,Fore!A:A,Fore!AC:AC)</f>
        <v>CY</v>
      </c>
      <c r="D253" s="4" t="s">
        <v>3057</v>
      </c>
      <c r="E253" s="10" t="str">
        <f t="shared" si="60"/>
        <v>0</v>
      </c>
      <c r="F253" s="4" t="s">
        <v>3057</v>
      </c>
      <c r="G253" s="10">
        <f t="shared" si="61"/>
        <v>0</v>
      </c>
      <c r="H253" s="4" t="s">
        <v>3057</v>
      </c>
      <c r="I253" s="10">
        <f t="shared" si="62"/>
        <v>0</v>
      </c>
      <c r="J253" s="4" t="s">
        <v>3057</v>
      </c>
      <c r="K253" s="10">
        <f t="shared" si="63"/>
        <v>0</v>
      </c>
      <c r="L253" s="4">
        <v>3</v>
      </c>
      <c r="M253" s="10">
        <f t="shared" si="64"/>
        <v>0</v>
      </c>
      <c r="N253" s="4" t="s">
        <v>3057</v>
      </c>
      <c r="O253" s="10">
        <f t="shared" si="65"/>
        <v>2.0999999999999996</v>
      </c>
      <c r="P253" s="4" t="s">
        <v>3057</v>
      </c>
      <c r="Q253" s="10">
        <f t="shared" si="66"/>
        <v>1.4699999999999998</v>
      </c>
      <c r="R253" s="4" t="s">
        <v>3057</v>
      </c>
      <c r="S253" s="10">
        <f t="shared" si="67"/>
        <v>1.0289999999999997</v>
      </c>
      <c r="T253" s="4" t="s">
        <v>3057</v>
      </c>
      <c r="U253" s="10">
        <f t="shared" si="68"/>
        <v>0.72029999999999972</v>
      </c>
      <c r="V253" s="4" t="s">
        <v>3057</v>
      </c>
      <c r="W253" s="10">
        <f t="shared" si="69"/>
        <v>0.50420999999999982</v>
      </c>
      <c r="X253" s="4">
        <v>0</v>
      </c>
      <c r="Y253" s="10">
        <f t="shared" si="70"/>
        <v>0.35294699999999984</v>
      </c>
      <c r="Z253" s="4" t="s">
        <v>3057</v>
      </c>
      <c r="AA253" s="10">
        <f t="shared" si="71"/>
        <v>0.24706289999999986</v>
      </c>
      <c r="AB253" s="4" t="s">
        <v>3057</v>
      </c>
      <c r="AC253" s="10">
        <f t="shared" si="72"/>
        <v>0.17294402999999989</v>
      </c>
      <c r="AD253" s="4" t="s">
        <v>3057</v>
      </c>
      <c r="AE253" s="10">
        <f t="shared" si="73"/>
        <v>0.12106082099999992</v>
      </c>
      <c r="AF253" s="4" t="s">
        <v>3057</v>
      </c>
      <c r="AG253" s="10">
        <f t="shared" si="74"/>
        <v>8.4742574699999934E-2</v>
      </c>
      <c r="AH253" s="4" t="s">
        <v>3057</v>
      </c>
      <c r="AI253" s="10">
        <f t="shared" si="75"/>
        <v>5.9319802289999952E-2</v>
      </c>
      <c r="AJ253" s="4">
        <v>1</v>
      </c>
      <c r="AK253" s="10">
        <f t="shared" si="76"/>
        <v>4.1523861602999965E-2</v>
      </c>
      <c r="AL253" s="4" t="s">
        <v>3057</v>
      </c>
      <c r="AM253" s="10">
        <f t="shared" si="77"/>
        <v>0.32906670312209996</v>
      </c>
      <c r="AN253" s="5">
        <f t="shared" si="78"/>
        <v>0.32906670312209996</v>
      </c>
      <c r="AO253" s="6" t="str">
        <f t="shared" si="79"/>
        <v>0</v>
      </c>
    </row>
    <row r="254" spans="1:41" x14ac:dyDescent="0.25">
      <c r="A254" t="s">
        <v>1348</v>
      </c>
      <c r="B254" t="s">
        <v>2883</v>
      </c>
      <c r="C254" t="str">
        <f>_xlfn.XLOOKUP(A254,Fore!A:A,Fore!AC:AC)</f>
        <v>CX</v>
      </c>
      <c r="D254" s="4" t="s">
        <v>3057</v>
      </c>
      <c r="E254" s="10" t="str">
        <f t="shared" si="60"/>
        <v>0</v>
      </c>
      <c r="F254" s="4" t="s">
        <v>3057</v>
      </c>
      <c r="G254" s="10">
        <f t="shared" si="61"/>
        <v>0</v>
      </c>
      <c r="H254" s="4" t="s">
        <v>3057</v>
      </c>
      <c r="I254" s="10">
        <f t="shared" si="62"/>
        <v>0</v>
      </c>
      <c r="J254" s="4" t="s">
        <v>3057</v>
      </c>
      <c r="K254" s="10">
        <f t="shared" si="63"/>
        <v>0</v>
      </c>
      <c r="L254" s="4">
        <v>1</v>
      </c>
      <c r="M254" s="10">
        <f t="shared" si="64"/>
        <v>0</v>
      </c>
      <c r="N254" s="4">
        <v>1</v>
      </c>
      <c r="O254" s="10">
        <f t="shared" si="65"/>
        <v>0.7</v>
      </c>
      <c r="P254" s="4" t="s">
        <v>3057</v>
      </c>
      <c r="Q254" s="10">
        <f t="shared" si="66"/>
        <v>0.78999999999999992</v>
      </c>
      <c r="R254" s="4" t="s">
        <v>3057</v>
      </c>
      <c r="S254" s="10">
        <f t="shared" si="67"/>
        <v>0.55299999999999994</v>
      </c>
      <c r="T254" s="4">
        <v>1</v>
      </c>
      <c r="U254" s="10">
        <f t="shared" si="68"/>
        <v>0.38709999999999994</v>
      </c>
      <c r="V254" s="4" t="s">
        <v>3057</v>
      </c>
      <c r="W254" s="10">
        <f t="shared" si="69"/>
        <v>0.57096999999999998</v>
      </c>
      <c r="X254" s="4">
        <v>1</v>
      </c>
      <c r="Y254" s="10">
        <f t="shared" si="70"/>
        <v>0.39967899999999995</v>
      </c>
      <c r="Z254" s="4" t="s">
        <v>3057</v>
      </c>
      <c r="AA254" s="10">
        <f t="shared" si="71"/>
        <v>0.57977529999999988</v>
      </c>
      <c r="AB254" s="4" t="s">
        <v>3057</v>
      </c>
      <c r="AC254" s="10">
        <f t="shared" si="72"/>
        <v>0.40584270999999988</v>
      </c>
      <c r="AD254" s="4" t="s">
        <v>3057</v>
      </c>
      <c r="AE254" s="10">
        <f t="shared" si="73"/>
        <v>0.28408989699999992</v>
      </c>
      <c r="AF254" s="4" t="s">
        <v>3057</v>
      </c>
      <c r="AG254" s="10">
        <f t="shared" si="74"/>
        <v>0.19886292789999993</v>
      </c>
      <c r="AH254" s="4" t="s">
        <v>3057</v>
      </c>
      <c r="AI254" s="10">
        <f t="shared" si="75"/>
        <v>0.13920404952999993</v>
      </c>
      <c r="AJ254" s="4" t="s">
        <v>3057</v>
      </c>
      <c r="AK254" s="10">
        <f t="shared" si="76"/>
        <v>9.7442834670999942E-2</v>
      </c>
      <c r="AL254" s="4" t="s">
        <v>3057</v>
      </c>
      <c r="AM254" s="10">
        <f t="shared" si="77"/>
        <v>6.8209984269699958E-2</v>
      </c>
      <c r="AN254" s="5">
        <f t="shared" si="78"/>
        <v>6.8209984269699958E-2</v>
      </c>
      <c r="AO254" s="6" t="str">
        <f t="shared" si="79"/>
        <v>0</v>
      </c>
    </row>
    <row r="255" spans="1:41" x14ac:dyDescent="0.25">
      <c r="A255" t="s">
        <v>1521</v>
      </c>
      <c r="B255" t="s">
        <v>2887</v>
      </c>
      <c r="C255" t="str">
        <f>_xlfn.XLOOKUP(A255,Fore!A:A,Fore!AC:AC)</f>
        <v>CY</v>
      </c>
      <c r="D255" s="4" t="s">
        <v>3057</v>
      </c>
      <c r="E255" s="10" t="str">
        <f t="shared" si="60"/>
        <v>0</v>
      </c>
      <c r="F255" s="4" t="s">
        <v>3057</v>
      </c>
      <c r="G255" s="10">
        <f t="shared" si="61"/>
        <v>0</v>
      </c>
      <c r="H255" s="4" t="s">
        <v>3057</v>
      </c>
      <c r="I255" s="10">
        <f t="shared" si="62"/>
        <v>0</v>
      </c>
      <c r="J255" s="4" t="s">
        <v>3057</v>
      </c>
      <c r="K255" s="10">
        <f t="shared" si="63"/>
        <v>0</v>
      </c>
      <c r="L255" s="4" t="s">
        <v>3057</v>
      </c>
      <c r="M255" s="10">
        <f t="shared" si="64"/>
        <v>0</v>
      </c>
      <c r="N255" s="4">
        <v>3.9999999999999991</v>
      </c>
      <c r="O255" s="10">
        <f t="shared" si="65"/>
        <v>0</v>
      </c>
      <c r="P255" s="4" t="s">
        <v>3057</v>
      </c>
      <c r="Q255" s="10">
        <f t="shared" si="66"/>
        <v>1.1999999999999997</v>
      </c>
      <c r="R255" s="4" t="s">
        <v>3057</v>
      </c>
      <c r="S255" s="10">
        <f t="shared" si="67"/>
        <v>0.83999999999999975</v>
      </c>
      <c r="T255" s="4" t="s">
        <v>3057</v>
      </c>
      <c r="U255" s="10">
        <f t="shared" si="68"/>
        <v>0.58799999999999975</v>
      </c>
      <c r="V255" s="4" t="s">
        <v>3057</v>
      </c>
      <c r="W255" s="10">
        <f t="shared" si="69"/>
        <v>0.4115999999999998</v>
      </c>
      <c r="X255" s="4">
        <v>0</v>
      </c>
      <c r="Y255" s="10">
        <f t="shared" si="70"/>
        <v>0.28811999999999982</v>
      </c>
      <c r="Z255" s="4" t="s">
        <v>3057</v>
      </c>
      <c r="AA255" s="10">
        <f t="shared" si="71"/>
        <v>0.20168399999999986</v>
      </c>
      <c r="AB255" s="4" t="s">
        <v>3057</v>
      </c>
      <c r="AC255" s="10">
        <f t="shared" si="72"/>
        <v>0.14117879999999988</v>
      </c>
      <c r="AD255" s="4" t="s">
        <v>3057</v>
      </c>
      <c r="AE255" s="10">
        <f t="shared" si="73"/>
        <v>9.8825159999999912E-2</v>
      </c>
      <c r="AF255" s="4" t="s">
        <v>3057</v>
      </c>
      <c r="AG255" s="10">
        <f t="shared" si="74"/>
        <v>6.917761199999993E-2</v>
      </c>
      <c r="AH255" s="4" t="s">
        <v>3057</v>
      </c>
      <c r="AI255" s="10">
        <f t="shared" si="75"/>
        <v>4.8424328399999945E-2</v>
      </c>
      <c r="AJ255" s="4" t="s">
        <v>3057</v>
      </c>
      <c r="AK255" s="10">
        <f t="shared" si="76"/>
        <v>3.3897029879999957E-2</v>
      </c>
      <c r="AL255" s="4" t="s">
        <v>3057</v>
      </c>
      <c r="AM255" s="10">
        <f t="shared" si="77"/>
        <v>2.372792091599997E-2</v>
      </c>
      <c r="AN255" s="5">
        <f t="shared" si="78"/>
        <v>2.372792091599997E-2</v>
      </c>
      <c r="AO255" s="6" t="str">
        <f t="shared" si="79"/>
        <v>0</v>
      </c>
    </row>
    <row r="256" spans="1:41" x14ac:dyDescent="0.25">
      <c r="A256" t="s">
        <v>1705</v>
      </c>
      <c r="B256" t="s">
        <v>2911</v>
      </c>
      <c r="C256" t="str">
        <f>_xlfn.XLOOKUP(A256,Fore!A:A,Fore!AC:AC)</f>
        <v>CY</v>
      </c>
      <c r="D256" s="4" t="s">
        <v>3057</v>
      </c>
      <c r="E256" s="10" t="str">
        <f t="shared" si="60"/>
        <v>0</v>
      </c>
      <c r="F256" s="4" t="s">
        <v>3057</v>
      </c>
      <c r="G256" s="10">
        <f t="shared" si="61"/>
        <v>0</v>
      </c>
      <c r="H256" s="4" t="s">
        <v>3057</v>
      </c>
      <c r="I256" s="10">
        <f t="shared" si="62"/>
        <v>0</v>
      </c>
      <c r="J256" s="4" t="s">
        <v>3057</v>
      </c>
      <c r="K256" s="10">
        <f t="shared" si="63"/>
        <v>0</v>
      </c>
      <c r="L256" s="4" t="s">
        <v>3057</v>
      </c>
      <c r="M256" s="10">
        <f t="shared" si="64"/>
        <v>0</v>
      </c>
      <c r="N256" s="4" t="s">
        <v>3057</v>
      </c>
      <c r="O256" s="10">
        <f t="shared" si="65"/>
        <v>0</v>
      </c>
      <c r="P256" s="4" t="s">
        <v>3057</v>
      </c>
      <c r="Q256" s="10">
        <f t="shared" si="66"/>
        <v>0</v>
      </c>
      <c r="R256" s="4">
        <v>1</v>
      </c>
      <c r="S256" s="10">
        <f t="shared" si="67"/>
        <v>0</v>
      </c>
      <c r="T256" s="4" t="s">
        <v>3057</v>
      </c>
      <c r="U256" s="10">
        <f t="shared" si="68"/>
        <v>0.3</v>
      </c>
      <c r="V256" s="4" t="s">
        <v>3057</v>
      </c>
      <c r="W256" s="10">
        <f t="shared" si="69"/>
        <v>0.21</v>
      </c>
      <c r="X256" s="4">
        <v>0</v>
      </c>
      <c r="Y256" s="10">
        <f t="shared" si="70"/>
        <v>0.14699999999999999</v>
      </c>
      <c r="Z256" s="4" t="s">
        <v>3057</v>
      </c>
      <c r="AA256" s="10">
        <f t="shared" si="71"/>
        <v>0.10289999999999999</v>
      </c>
      <c r="AB256" s="4" t="s">
        <v>3057</v>
      </c>
      <c r="AC256" s="10">
        <f t="shared" si="72"/>
        <v>7.2029999999999983E-2</v>
      </c>
      <c r="AD256" s="4">
        <v>2.0000000000000009</v>
      </c>
      <c r="AE256" s="10">
        <f t="shared" si="73"/>
        <v>5.0420999999999987E-2</v>
      </c>
      <c r="AF256" s="4" t="s">
        <v>3057</v>
      </c>
      <c r="AG256" s="10">
        <f t="shared" si="74"/>
        <v>0.63529470000000021</v>
      </c>
      <c r="AH256" s="4" t="s">
        <v>3057</v>
      </c>
      <c r="AI256" s="10">
        <f t="shared" si="75"/>
        <v>0.44470629000000012</v>
      </c>
      <c r="AJ256" s="4" t="s">
        <v>3057</v>
      </c>
      <c r="AK256" s="10">
        <f t="shared" si="76"/>
        <v>0.31129440300000005</v>
      </c>
      <c r="AL256" s="4" t="s">
        <v>3057</v>
      </c>
      <c r="AM256" s="10">
        <f t="shared" si="77"/>
        <v>0.21790608210000004</v>
      </c>
      <c r="AN256" s="5">
        <f t="shared" si="78"/>
        <v>0.21790608210000004</v>
      </c>
      <c r="AO256" s="6" t="str">
        <f t="shared" si="79"/>
        <v>0</v>
      </c>
    </row>
    <row r="257" spans="1:41" x14ac:dyDescent="0.25">
      <c r="A257" t="s">
        <v>2517</v>
      </c>
      <c r="B257" t="s">
        <v>2801</v>
      </c>
      <c r="C257" t="str">
        <f>_xlfn.XLOOKUP(A257,Fore!A:A,Fore!AC:AC)</f>
        <v>CY</v>
      </c>
      <c r="D257" s="4" t="s">
        <v>3057</v>
      </c>
      <c r="E257" s="10" t="str">
        <f t="shared" si="60"/>
        <v>0</v>
      </c>
      <c r="F257" s="4" t="s">
        <v>3057</v>
      </c>
      <c r="G257" s="10">
        <f t="shared" si="61"/>
        <v>0</v>
      </c>
      <c r="H257" s="4" t="s">
        <v>3057</v>
      </c>
      <c r="I257" s="10">
        <f t="shared" si="62"/>
        <v>0</v>
      </c>
      <c r="J257" s="4" t="s">
        <v>3057</v>
      </c>
      <c r="K257" s="10">
        <f t="shared" si="63"/>
        <v>0</v>
      </c>
      <c r="L257" s="4" t="s">
        <v>3057</v>
      </c>
      <c r="M257" s="10">
        <f t="shared" si="64"/>
        <v>0</v>
      </c>
      <c r="N257" s="4" t="s">
        <v>3057</v>
      </c>
      <c r="O257" s="10">
        <f t="shared" si="65"/>
        <v>0</v>
      </c>
      <c r="P257" s="4" t="s">
        <v>3057</v>
      </c>
      <c r="Q257" s="10">
        <f t="shared" si="66"/>
        <v>0</v>
      </c>
      <c r="R257" s="4" t="s">
        <v>3057</v>
      </c>
      <c r="S257" s="10">
        <f t="shared" si="67"/>
        <v>0</v>
      </c>
      <c r="T257" s="4" t="s">
        <v>3057</v>
      </c>
      <c r="U257" s="10">
        <f t="shared" si="68"/>
        <v>0</v>
      </c>
      <c r="V257" s="4" t="s">
        <v>3057</v>
      </c>
      <c r="W257" s="10">
        <f t="shared" si="69"/>
        <v>0</v>
      </c>
      <c r="X257" s="4">
        <v>0</v>
      </c>
      <c r="Y257" s="10">
        <f t="shared" si="70"/>
        <v>0</v>
      </c>
      <c r="Z257" s="4" t="s">
        <v>3057</v>
      </c>
      <c r="AA257" s="10">
        <f t="shared" si="71"/>
        <v>0</v>
      </c>
      <c r="AB257" s="4" t="s">
        <v>3057</v>
      </c>
      <c r="AC257" s="10">
        <f t="shared" si="72"/>
        <v>0</v>
      </c>
      <c r="AD257" s="4" t="s">
        <v>3057</v>
      </c>
      <c r="AE257" s="10">
        <f t="shared" si="73"/>
        <v>0</v>
      </c>
      <c r="AF257" s="4" t="s">
        <v>3057</v>
      </c>
      <c r="AG257" s="10">
        <f t="shared" si="74"/>
        <v>0</v>
      </c>
      <c r="AH257" s="4" t="s">
        <v>3057</v>
      </c>
      <c r="AI257" s="10">
        <f t="shared" si="75"/>
        <v>0</v>
      </c>
      <c r="AJ257" s="4" t="s">
        <v>3057</v>
      </c>
      <c r="AK257" s="10">
        <f t="shared" si="76"/>
        <v>0</v>
      </c>
      <c r="AL257" s="4">
        <v>2</v>
      </c>
      <c r="AM257" s="10">
        <f t="shared" si="77"/>
        <v>0</v>
      </c>
      <c r="AN257" s="5">
        <f t="shared" si="78"/>
        <v>2</v>
      </c>
      <c r="AO257" s="6">
        <f t="shared" si="79"/>
        <v>1</v>
      </c>
    </row>
    <row r="258" spans="1:41" x14ac:dyDescent="0.25">
      <c r="A258" t="s">
        <v>1931</v>
      </c>
      <c r="B258" t="s">
        <v>2807</v>
      </c>
      <c r="C258" t="str">
        <f>_xlfn.XLOOKUP(A258,Fore!A:A,Fore!AC:AC)</f>
        <v>CX</v>
      </c>
      <c r="D258" s="4" t="s">
        <v>3057</v>
      </c>
      <c r="E258" s="10" t="str">
        <f t="shared" si="60"/>
        <v>0</v>
      </c>
      <c r="F258" s="4" t="s">
        <v>3057</v>
      </c>
      <c r="G258" s="10">
        <f t="shared" si="61"/>
        <v>0</v>
      </c>
      <c r="H258" s="4" t="s">
        <v>3057</v>
      </c>
      <c r="I258" s="10">
        <f t="shared" si="62"/>
        <v>0</v>
      </c>
      <c r="J258" s="4" t="s">
        <v>3057</v>
      </c>
      <c r="K258" s="10">
        <f t="shared" si="63"/>
        <v>0</v>
      </c>
      <c r="L258" s="4" t="s">
        <v>3057</v>
      </c>
      <c r="M258" s="10">
        <f t="shared" si="64"/>
        <v>0</v>
      </c>
      <c r="N258" s="4" t="s">
        <v>3057</v>
      </c>
      <c r="O258" s="10">
        <f t="shared" si="65"/>
        <v>0</v>
      </c>
      <c r="P258" s="4" t="s">
        <v>3057</v>
      </c>
      <c r="Q258" s="10">
        <f t="shared" si="66"/>
        <v>0</v>
      </c>
      <c r="R258" s="4" t="s">
        <v>3057</v>
      </c>
      <c r="S258" s="10">
        <f t="shared" si="67"/>
        <v>0</v>
      </c>
      <c r="T258" s="4" t="s">
        <v>3057</v>
      </c>
      <c r="U258" s="10">
        <f t="shared" si="68"/>
        <v>0</v>
      </c>
      <c r="V258" s="4" t="s">
        <v>3057</v>
      </c>
      <c r="W258" s="10">
        <f t="shared" si="69"/>
        <v>0</v>
      </c>
      <c r="X258" s="4">
        <v>1</v>
      </c>
      <c r="Y258" s="10">
        <f t="shared" si="70"/>
        <v>0</v>
      </c>
      <c r="Z258" s="4" t="s">
        <v>3057</v>
      </c>
      <c r="AA258" s="10">
        <f t="shared" si="71"/>
        <v>0.3</v>
      </c>
      <c r="AB258" s="4" t="s">
        <v>3057</v>
      </c>
      <c r="AC258" s="10">
        <f t="shared" si="72"/>
        <v>0.21</v>
      </c>
      <c r="AD258" s="4" t="s">
        <v>3057</v>
      </c>
      <c r="AE258" s="10">
        <f t="shared" si="73"/>
        <v>0.14699999999999999</v>
      </c>
      <c r="AF258" s="4" t="s">
        <v>3057</v>
      </c>
      <c r="AG258" s="10">
        <f t="shared" si="74"/>
        <v>0.10289999999999999</v>
      </c>
      <c r="AH258" s="4" t="s">
        <v>3057</v>
      </c>
      <c r="AI258" s="10">
        <f t="shared" si="75"/>
        <v>7.2029999999999983E-2</v>
      </c>
      <c r="AJ258" s="4" t="s">
        <v>3057</v>
      </c>
      <c r="AK258" s="10">
        <f t="shared" si="76"/>
        <v>5.0420999999999987E-2</v>
      </c>
      <c r="AL258" s="4">
        <v>1</v>
      </c>
      <c r="AM258" s="10">
        <f t="shared" si="77"/>
        <v>3.5294699999999991E-2</v>
      </c>
      <c r="AN258" s="5">
        <f t="shared" si="78"/>
        <v>0.96470529999999999</v>
      </c>
      <c r="AO258" s="6">
        <f t="shared" si="79"/>
        <v>0.96470529999999999</v>
      </c>
    </row>
    <row r="259" spans="1:41" x14ac:dyDescent="0.25">
      <c r="A259" t="s">
        <v>1972</v>
      </c>
      <c r="B259" t="s">
        <v>2889</v>
      </c>
      <c r="C259" t="str">
        <f>_xlfn.XLOOKUP(A259,Fore!A:A,Fore!AC:AC)</f>
        <v>CY</v>
      </c>
      <c r="D259" s="4" t="s">
        <v>3057</v>
      </c>
      <c r="E259" s="10" t="str">
        <f t="shared" si="60"/>
        <v>0</v>
      </c>
      <c r="F259" s="4" t="s">
        <v>3057</v>
      </c>
      <c r="G259" s="10">
        <f t="shared" si="61"/>
        <v>0</v>
      </c>
      <c r="H259" s="4" t="s">
        <v>3057</v>
      </c>
      <c r="I259" s="10">
        <f t="shared" si="62"/>
        <v>0</v>
      </c>
      <c r="J259" s="4" t="s">
        <v>3057</v>
      </c>
      <c r="K259" s="10">
        <f t="shared" si="63"/>
        <v>0</v>
      </c>
      <c r="L259" s="4" t="s">
        <v>3057</v>
      </c>
      <c r="M259" s="10">
        <f t="shared" si="64"/>
        <v>0</v>
      </c>
      <c r="N259" s="4" t="s">
        <v>3057</v>
      </c>
      <c r="O259" s="10">
        <f t="shared" si="65"/>
        <v>0</v>
      </c>
      <c r="P259" s="4" t="s">
        <v>3057</v>
      </c>
      <c r="Q259" s="10">
        <f t="shared" si="66"/>
        <v>0</v>
      </c>
      <c r="R259" s="4" t="s">
        <v>3057</v>
      </c>
      <c r="S259" s="10">
        <f t="shared" si="67"/>
        <v>0</v>
      </c>
      <c r="T259" s="4" t="s">
        <v>3057</v>
      </c>
      <c r="U259" s="10">
        <f t="shared" si="68"/>
        <v>0</v>
      </c>
      <c r="V259" s="4" t="s">
        <v>3057</v>
      </c>
      <c r="W259" s="10">
        <f t="shared" si="69"/>
        <v>0</v>
      </c>
      <c r="X259" s="4">
        <v>0</v>
      </c>
      <c r="Y259" s="10">
        <f t="shared" si="70"/>
        <v>0</v>
      </c>
      <c r="Z259" s="4">
        <v>2</v>
      </c>
      <c r="AA259" s="10">
        <f t="shared" si="71"/>
        <v>0</v>
      </c>
      <c r="AB259" s="4" t="s">
        <v>3057</v>
      </c>
      <c r="AC259" s="10">
        <f t="shared" si="72"/>
        <v>0.6</v>
      </c>
      <c r="AD259" s="4" t="s">
        <v>3057</v>
      </c>
      <c r="AE259" s="10">
        <f t="shared" si="73"/>
        <v>0.42</v>
      </c>
      <c r="AF259" s="4" t="s">
        <v>3057</v>
      </c>
      <c r="AG259" s="10">
        <f t="shared" si="74"/>
        <v>0.29399999999999998</v>
      </c>
      <c r="AH259" s="4" t="s">
        <v>3057</v>
      </c>
      <c r="AI259" s="10">
        <f t="shared" si="75"/>
        <v>0.20579999999999998</v>
      </c>
      <c r="AJ259" s="4" t="s">
        <v>3057</v>
      </c>
      <c r="AK259" s="10">
        <f t="shared" si="76"/>
        <v>0.14405999999999997</v>
      </c>
      <c r="AL259" s="4" t="s">
        <v>3057</v>
      </c>
      <c r="AM259" s="10">
        <f t="shared" si="77"/>
        <v>0.10084199999999997</v>
      </c>
      <c r="AN259" s="5">
        <f t="shared" si="78"/>
        <v>0.10084199999999997</v>
      </c>
      <c r="AO259" s="6" t="str">
        <f t="shared" si="79"/>
        <v>0</v>
      </c>
    </row>
    <row r="260" spans="1:41" x14ac:dyDescent="0.25">
      <c r="A260" t="s">
        <v>1701</v>
      </c>
      <c r="B260" t="s">
        <v>2921</v>
      </c>
      <c r="C260" t="str">
        <f>_xlfn.XLOOKUP(A260,Fore!A:A,Fore!AC:AC)</f>
        <v>CY</v>
      </c>
      <c r="D260" s="4" t="s">
        <v>3057</v>
      </c>
      <c r="E260" s="10" t="str">
        <f t="shared" ref="E260:E323" si="80">D260</f>
        <v>0</v>
      </c>
      <c r="F260" s="4" t="s">
        <v>3057</v>
      </c>
      <c r="G260" s="10">
        <f t="shared" ref="G260:G323" si="81">$C$1*D260+(1-$C$1)*E260</f>
        <v>0</v>
      </c>
      <c r="H260" s="4" t="s">
        <v>3057</v>
      </c>
      <c r="I260" s="10">
        <f t="shared" ref="I260:I323" si="82">$C$1*F260+(1-$C$1)*G260</f>
        <v>0</v>
      </c>
      <c r="J260" s="4" t="s">
        <v>3057</v>
      </c>
      <c r="K260" s="10">
        <f t="shared" ref="K260:K323" si="83">$C$1*H260+(1-$C$1)*I260</f>
        <v>0</v>
      </c>
      <c r="L260" s="4" t="s">
        <v>3057</v>
      </c>
      <c r="M260" s="10">
        <f t="shared" ref="M260:M323" si="84">$C$1*J260+(1-$C$1)*K260</f>
        <v>0</v>
      </c>
      <c r="N260" s="4" t="s">
        <v>3057</v>
      </c>
      <c r="O260" s="10">
        <f t="shared" ref="O260:O323" si="85">$C$1*M260+(1-$C$1)*L260</f>
        <v>0</v>
      </c>
      <c r="P260" s="4" t="s">
        <v>3057</v>
      </c>
      <c r="Q260" s="10">
        <f t="shared" ref="Q260:Q323" si="86">$C$1*N260+(1-$C$1)*O260</f>
        <v>0</v>
      </c>
      <c r="R260" s="4">
        <v>1</v>
      </c>
      <c r="S260" s="10">
        <f t="shared" ref="S260:S323" si="87">$C$1*P260+(1-$C$1)*Q260</f>
        <v>0</v>
      </c>
      <c r="T260" s="4" t="s">
        <v>3057</v>
      </c>
      <c r="U260" s="10">
        <f t="shared" ref="U260:U323" si="88">$C$1*R260+(1-$C$1)*S260</f>
        <v>0.3</v>
      </c>
      <c r="V260" s="4" t="s">
        <v>3057</v>
      </c>
      <c r="W260" s="10">
        <f t="shared" ref="W260:W323" si="89">$C$1*T260+(1-$C$1)*U260</f>
        <v>0.21</v>
      </c>
      <c r="X260" s="4">
        <v>0</v>
      </c>
      <c r="Y260" s="10">
        <f t="shared" ref="Y260:Y323" si="90">$C$1*V260+(1-$C$1)*W260</f>
        <v>0.14699999999999999</v>
      </c>
      <c r="Z260" s="4" t="s">
        <v>3057</v>
      </c>
      <c r="AA260" s="10">
        <f t="shared" ref="AA260:AA323" si="91">$C$1*X260+(1-$C$1)*Y260</f>
        <v>0.10289999999999999</v>
      </c>
      <c r="AB260" s="4" t="s">
        <v>3057</v>
      </c>
      <c r="AC260" s="10">
        <f t="shared" ref="AC260:AC323" si="92">$C$1*Z260+(1-$C$1)*AA260</f>
        <v>7.2029999999999983E-2</v>
      </c>
      <c r="AD260" s="4">
        <v>1</v>
      </c>
      <c r="AE260" s="10">
        <f t="shared" ref="AE260:AE323" si="93">$C$1*AB260+(1-$C$1)*AC260</f>
        <v>5.0420999999999987E-2</v>
      </c>
      <c r="AF260" s="4" t="s">
        <v>3057</v>
      </c>
      <c r="AG260" s="10">
        <f t="shared" ref="AG260:AG323" si="94">$C$1*AD260+(1-$C$1)*AE260</f>
        <v>0.3352947</v>
      </c>
      <c r="AH260" s="4" t="s">
        <v>3057</v>
      </c>
      <c r="AI260" s="10">
        <f t="shared" ref="AI260:AI323" si="95">$C$1*AF260+(1-$C$1)*AG260</f>
        <v>0.23470628999999998</v>
      </c>
      <c r="AJ260" s="4" t="s">
        <v>3057</v>
      </c>
      <c r="AK260" s="10">
        <f t="shared" ref="AK260:AK323" si="96">$C$1*AH260+(1-$C$1)*AI260</f>
        <v>0.16429440299999998</v>
      </c>
      <c r="AL260" s="4" t="s">
        <v>3057</v>
      </c>
      <c r="AM260" s="10">
        <f t="shared" ref="AM260:AM323" si="97">$C$1*AJ260+(1-$C$1)*AK260</f>
        <v>0.11500608209999998</v>
      </c>
      <c r="AN260" s="5">
        <f t="shared" ref="AN260:AN323" si="98">ABS(AL260-AM260)</f>
        <v>0.11500608209999998</v>
      </c>
      <c r="AO260" s="6" t="str">
        <f t="shared" ref="AO260:AO323" si="99">IFERROR(ABS((AL260-AM260)/AL260),"0")</f>
        <v>0</v>
      </c>
    </row>
    <row r="261" spans="1:41" x14ac:dyDescent="0.25">
      <c r="A261" t="s">
        <v>2182</v>
      </c>
      <c r="B261" t="s">
        <v>2977</v>
      </c>
      <c r="C261" t="str">
        <f>_xlfn.XLOOKUP(A261,Fore!A:A,Fore!AC:AC)</f>
        <v>CY</v>
      </c>
      <c r="D261" s="4" t="s">
        <v>3057</v>
      </c>
      <c r="E261" s="10" t="str">
        <f t="shared" si="80"/>
        <v>0</v>
      </c>
      <c r="F261" s="4" t="s">
        <v>3057</v>
      </c>
      <c r="G261" s="10">
        <f t="shared" si="81"/>
        <v>0</v>
      </c>
      <c r="H261" s="4" t="s">
        <v>3057</v>
      </c>
      <c r="I261" s="10">
        <f t="shared" si="82"/>
        <v>0</v>
      </c>
      <c r="J261" s="4" t="s">
        <v>3057</v>
      </c>
      <c r="K261" s="10">
        <f t="shared" si="83"/>
        <v>0</v>
      </c>
      <c r="L261" s="4" t="s">
        <v>3057</v>
      </c>
      <c r="M261" s="10">
        <f t="shared" si="84"/>
        <v>0</v>
      </c>
      <c r="N261" s="4" t="s">
        <v>3057</v>
      </c>
      <c r="O261" s="10">
        <f t="shared" si="85"/>
        <v>0</v>
      </c>
      <c r="P261" s="4" t="s">
        <v>3057</v>
      </c>
      <c r="Q261" s="10">
        <f t="shared" si="86"/>
        <v>0</v>
      </c>
      <c r="R261" s="4" t="s">
        <v>3057</v>
      </c>
      <c r="S261" s="10">
        <f t="shared" si="87"/>
        <v>0</v>
      </c>
      <c r="T261" s="4" t="s">
        <v>3057</v>
      </c>
      <c r="U261" s="10">
        <f t="shared" si="88"/>
        <v>0</v>
      </c>
      <c r="V261" s="4" t="s">
        <v>3057</v>
      </c>
      <c r="W261" s="10">
        <f t="shared" si="89"/>
        <v>0</v>
      </c>
      <c r="X261" s="4">
        <v>0</v>
      </c>
      <c r="Y261" s="10">
        <f t="shared" si="90"/>
        <v>0</v>
      </c>
      <c r="Z261" s="4" t="s">
        <v>3057</v>
      </c>
      <c r="AA261" s="10">
        <f t="shared" si="91"/>
        <v>0</v>
      </c>
      <c r="AB261" s="4" t="s">
        <v>3057</v>
      </c>
      <c r="AC261" s="10">
        <f t="shared" si="92"/>
        <v>0</v>
      </c>
      <c r="AD261" s="4" t="s">
        <v>3057</v>
      </c>
      <c r="AE261" s="10">
        <f t="shared" si="93"/>
        <v>0</v>
      </c>
      <c r="AF261" s="4">
        <v>2</v>
      </c>
      <c r="AG261" s="10">
        <f t="shared" si="94"/>
        <v>0</v>
      </c>
      <c r="AH261" s="4" t="s">
        <v>3057</v>
      </c>
      <c r="AI261" s="10">
        <f t="shared" si="95"/>
        <v>0.6</v>
      </c>
      <c r="AJ261" s="4" t="s">
        <v>3057</v>
      </c>
      <c r="AK261" s="10">
        <f t="shared" si="96"/>
        <v>0.42</v>
      </c>
      <c r="AL261" s="4" t="s">
        <v>3057</v>
      </c>
      <c r="AM261" s="10">
        <f t="shared" si="97"/>
        <v>0.29399999999999998</v>
      </c>
      <c r="AN261" s="5">
        <f t="shared" si="98"/>
        <v>0.29399999999999998</v>
      </c>
      <c r="AO261" s="6" t="str">
        <f t="shared" si="99"/>
        <v>0</v>
      </c>
    </row>
    <row r="262" spans="1:41" x14ac:dyDescent="0.25">
      <c r="A262" t="s">
        <v>941</v>
      </c>
      <c r="B262" t="s">
        <v>2993</v>
      </c>
      <c r="C262" t="str">
        <f>_xlfn.XLOOKUP(A262,Fore!A:A,Fore!AC:AC)</f>
        <v>CY</v>
      </c>
      <c r="D262" s="4" t="s">
        <v>3057</v>
      </c>
      <c r="E262" s="10" t="str">
        <f t="shared" si="80"/>
        <v>0</v>
      </c>
      <c r="F262" s="4" t="s">
        <v>3057</v>
      </c>
      <c r="G262" s="10">
        <f t="shared" si="81"/>
        <v>0</v>
      </c>
      <c r="H262" s="4" t="s">
        <v>3057</v>
      </c>
      <c r="I262" s="10">
        <f t="shared" si="82"/>
        <v>0</v>
      </c>
      <c r="J262" s="4">
        <v>2</v>
      </c>
      <c r="K262" s="10">
        <f t="shared" si="83"/>
        <v>0</v>
      </c>
      <c r="L262" s="4" t="s">
        <v>3057</v>
      </c>
      <c r="M262" s="10">
        <f t="shared" si="84"/>
        <v>0.6</v>
      </c>
      <c r="N262" s="4" t="s">
        <v>3057</v>
      </c>
      <c r="O262" s="10">
        <f t="shared" si="85"/>
        <v>0.18</v>
      </c>
      <c r="P262" s="4" t="s">
        <v>3057</v>
      </c>
      <c r="Q262" s="10">
        <f t="shared" si="86"/>
        <v>0.126</v>
      </c>
      <c r="R262" s="4" t="s">
        <v>3057</v>
      </c>
      <c r="S262" s="10">
        <f t="shared" si="87"/>
        <v>8.8200000000000001E-2</v>
      </c>
      <c r="T262" s="4" t="s">
        <v>3057</v>
      </c>
      <c r="U262" s="10">
        <f t="shared" si="88"/>
        <v>6.1739999999999996E-2</v>
      </c>
      <c r="V262" s="4" t="s">
        <v>3057</v>
      </c>
      <c r="W262" s="10">
        <f t="shared" si="89"/>
        <v>4.3217999999999993E-2</v>
      </c>
      <c r="X262" s="4">
        <v>0</v>
      </c>
      <c r="Y262" s="10">
        <f t="shared" si="90"/>
        <v>3.0252599999999994E-2</v>
      </c>
      <c r="Z262" s="4" t="s">
        <v>3057</v>
      </c>
      <c r="AA262" s="10">
        <f t="shared" si="91"/>
        <v>2.1176819999999996E-2</v>
      </c>
      <c r="AB262" s="4" t="s">
        <v>3057</v>
      </c>
      <c r="AC262" s="10">
        <f t="shared" si="92"/>
        <v>1.4823773999999996E-2</v>
      </c>
      <c r="AD262" s="4" t="s">
        <v>3057</v>
      </c>
      <c r="AE262" s="10">
        <f t="shared" si="93"/>
        <v>1.0376641799999997E-2</v>
      </c>
      <c r="AF262" s="4" t="s">
        <v>3057</v>
      </c>
      <c r="AG262" s="10">
        <f t="shared" si="94"/>
        <v>7.2636492599999977E-3</v>
      </c>
      <c r="AH262" s="4" t="s">
        <v>3057</v>
      </c>
      <c r="AI262" s="10">
        <f t="shared" si="95"/>
        <v>5.0845544819999979E-3</v>
      </c>
      <c r="AJ262" s="4" t="s">
        <v>3057</v>
      </c>
      <c r="AK262" s="10">
        <f t="shared" si="96"/>
        <v>3.5591881373999981E-3</v>
      </c>
      <c r="AL262" s="4" t="s">
        <v>3057</v>
      </c>
      <c r="AM262" s="10">
        <f t="shared" si="97"/>
        <v>2.4914316961799983E-3</v>
      </c>
      <c r="AN262" s="5">
        <f t="shared" si="98"/>
        <v>2.4914316961799983E-3</v>
      </c>
      <c r="AO262" s="6" t="str">
        <f t="shared" si="99"/>
        <v>0</v>
      </c>
    </row>
    <row r="263" spans="1:41" x14ac:dyDescent="0.25">
      <c r="A263" t="s">
        <v>2026</v>
      </c>
      <c r="B263" t="s">
        <v>3034</v>
      </c>
      <c r="C263" t="str">
        <f>_xlfn.XLOOKUP(A263,Fore!A:A,Fore!AC:AC)</f>
        <v>CY</v>
      </c>
      <c r="D263" s="4" t="s">
        <v>3057</v>
      </c>
      <c r="E263" s="10" t="str">
        <f t="shared" si="80"/>
        <v>0</v>
      </c>
      <c r="F263" s="4" t="s">
        <v>3057</v>
      </c>
      <c r="G263" s="10">
        <f t="shared" si="81"/>
        <v>0</v>
      </c>
      <c r="H263" s="4" t="s">
        <v>3057</v>
      </c>
      <c r="I263" s="10">
        <f t="shared" si="82"/>
        <v>0</v>
      </c>
      <c r="J263" s="4" t="s">
        <v>3057</v>
      </c>
      <c r="K263" s="10">
        <f t="shared" si="83"/>
        <v>0</v>
      </c>
      <c r="L263" s="4" t="s">
        <v>3057</v>
      </c>
      <c r="M263" s="10">
        <f t="shared" si="84"/>
        <v>0</v>
      </c>
      <c r="N263" s="4" t="s">
        <v>3057</v>
      </c>
      <c r="O263" s="10">
        <f t="shared" si="85"/>
        <v>0</v>
      </c>
      <c r="P263" s="4" t="s">
        <v>3057</v>
      </c>
      <c r="Q263" s="10">
        <f t="shared" si="86"/>
        <v>0</v>
      </c>
      <c r="R263" s="4" t="s">
        <v>3057</v>
      </c>
      <c r="S263" s="10">
        <f t="shared" si="87"/>
        <v>0</v>
      </c>
      <c r="T263" s="4" t="s">
        <v>3057</v>
      </c>
      <c r="U263" s="10">
        <f t="shared" si="88"/>
        <v>0</v>
      </c>
      <c r="V263" s="4" t="s">
        <v>3057</v>
      </c>
      <c r="W263" s="10">
        <f t="shared" si="89"/>
        <v>0</v>
      </c>
      <c r="X263" s="4">
        <v>0</v>
      </c>
      <c r="Y263" s="10">
        <f t="shared" si="90"/>
        <v>0</v>
      </c>
      <c r="Z263" s="4" t="s">
        <v>3057</v>
      </c>
      <c r="AA263" s="10">
        <f t="shared" si="91"/>
        <v>0</v>
      </c>
      <c r="AB263" s="4">
        <v>2</v>
      </c>
      <c r="AC263" s="10">
        <f t="shared" si="92"/>
        <v>0</v>
      </c>
      <c r="AD263" s="4" t="s">
        <v>3057</v>
      </c>
      <c r="AE263" s="10">
        <f t="shared" si="93"/>
        <v>0.6</v>
      </c>
      <c r="AF263" s="4" t="s">
        <v>3057</v>
      </c>
      <c r="AG263" s="10">
        <f t="shared" si="94"/>
        <v>0.42</v>
      </c>
      <c r="AH263" s="4" t="s">
        <v>3057</v>
      </c>
      <c r="AI263" s="10">
        <f t="shared" si="95"/>
        <v>0.29399999999999998</v>
      </c>
      <c r="AJ263" s="4" t="s">
        <v>3057</v>
      </c>
      <c r="AK263" s="10">
        <f t="shared" si="96"/>
        <v>0.20579999999999998</v>
      </c>
      <c r="AL263" s="4" t="s">
        <v>3057</v>
      </c>
      <c r="AM263" s="10">
        <f t="shared" si="97"/>
        <v>0.14405999999999997</v>
      </c>
      <c r="AN263" s="5">
        <f t="shared" si="98"/>
        <v>0.14405999999999997</v>
      </c>
      <c r="AO263" s="6" t="str">
        <f t="shared" si="99"/>
        <v>0</v>
      </c>
    </row>
    <row r="264" spans="1:41" x14ac:dyDescent="0.25">
      <c r="A264" t="s">
        <v>928</v>
      </c>
      <c r="B264" t="s">
        <v>2868</v>
      </c>
      <c r="C264" t="str">
        <f>_xlfn.XLOOKUP(A264,Fore!A:A,Fore!AC:AC)</f>
        <v>CY</v>
      </c>
      <c r="D264" s="4" t="s">
        <v>3057</v>
      </c>
      <c r="E264" s="10" t="str">
        <f t="shared" si="80"/>
        <v>0</v>
      </c>
      <c r="F264" s="4" t="s">
        <v>3057</v>
      </c>
      <c r="G264" s="10">
        <f t="shared" si="81"/>
        <v>0</v>
      </c>
      <c r="H264" s="4" t="s">
        <v>3057</v>
      </c>
      <c r="I264" s="10">
        <f t="shared" si="82"/>
        <v>0</v>
      </c>
      <c r="J264" s="4">
        <v>0.99999999999999978</v>
      </c>
      <c r="K264" s="10">
        <f t="shared" si="83"/>
        <v>0</v>
      </c>
      <c r="L264" s="4" t="s">
        <v>3057</v>
      </c>
      <c r="M264" s="10">
        <f t="shared" si="84"/>
        <v>0.29999999999999993</v>
      </c>
      <c r="N264" s="4" t="s">
        <v>3057</v>
      </c>
      <c r="O264" s="10">
        <f t="shared" si="85"/>
        <v>8.9999999999999983E-2</v>
      </c>
      <c r="P264" s="4" t="s">
        <v>3057</v>
      </c>
      <c r="Q264" s="10">
        <f t="shared" si="86"/>
        <v>6.2999999999999987E-2</v>
      </c>
      <c r="R264" s="4" t="s">
        <v>3057</v>
      </c>
      <c r="S264" s="10">
        <f t="shared" si="87"/>
        <v>4.4099999999999986E-2</v>
      </c>
      <c r="T264" s="4" t="s">
        <v>3057</v>
      </c>
      <c r="U264" s="10">
        <f t="shared" si="88"/>
        <v>3.0869999999999988E-2</v>
      </c>
      <c r="V264" s="4" t="s">
        <v>3057</v>
      </c>
      <c r="W264" s="10">
        <f t="shared" si="89"/>
        <v>2.1608999999999989E-2</v>
      </c>
      <c r="X264" s="4">
        <v>0</v>
      </c>
      <c r="Y264" s="10">
        <f t="shared" si="90"/>
        <v>1.5126299999999992E-2</v>
      </c>
      <c r="Z264" s="4" t="s">
        <v>3057</v>
      </c>
      <c r="AA264" s="10">
        <f t="shared" si="91"/>
        <v>1.0588409999999994E-2</v>
      </c>
      <c r="AB264" s="4" t="s">
        <v>3057</v>
      </c>
      <c r="AC264" s="10">
        <f t="shared" si="92"/>
        <v>7.4118869999999955E-3</v>
      </c>
      <c r="AD264" s="4" t="s">
        <v>3057</v>
      </c>
      <c r="AE264" s="10">
        <f t="shared" si="93"/>
        <v>5.1883208999999961E-3</v>
      </c>
      <c r="AF264" s="4">
        <v>1</v>
      </c>
      <c r="AG264" s="10">
        <f t="shared" si="94"/>
        <v>3.6318246299999971E-3</v>
      </c>
      <c r="AH264" s="4" t="s">
        <v>3057</v>
      </c>
      <c r="AI264" s="10">
        <f t="shared" si="95"/>
        <v>0.30254227724099997</v>
      </c>
      <c r="AJ264" s="4" t="s">
        <v>3057</v>
      </c>
      <c r="AK264" s="10">
        <f t="shared" si="96"/>
        <v>0.21177959406869998</v>
      </c>
      <c r="AL264" s="4" t="s">
        <v>3057</v>
      </c>
      <c r="AM264" s="10">
        <f t="shared" si="97"/>
        <v>0.14824571584808999</v>
      </c>
      <c r="AN264" s="5">
        <f t="shared" si="98"/>
        <v>0.14824571584808999</v>
      </c>
      <c r="AO264" s="6" t="str">
        <f t="shared" si="99"/>
        <v>0</v>
      </c>
    </row>
    <row r="265" spans="1:41" x14ac:dyDescent="0.25">
      <c r="A265" t="s">
        <v>2183</v>
      </c>
      <c r="B265" t="s">
        <v>2978</v>
      </c>
      <c r="C265" t="str">
        <f>_xlfn.XLOOKUP(A265,Fore!A:A,Fore!AC:AC)</f>
        <v>CY</v>
      </c>
      <c r="D265" s="4" t="s">
        <v>3057</v>
      </c>
      <c r="E265" s="10" t="str">
        <f t="shared" si="80"/>
        <v>0</v>
      </c>
      <c r="F265" s="4" t="s">
        <v>3057</v>
      </c>
      <c r="G265" s="10">
        <f t="shared" si="81"/>
        <v>0</v>
      </c>
      <c r="H265" s="4" t="s">
        <v>3057</v>
      </c>
      <c r="I265" s="10">
        <f t="shared" si="82"/>
        <v>0</v>
      </c>
      <c r="J265" s="4" t="s">
        <v>3057</v>
      </c>
      <c r="K265" s="10">
        <f t="shared" si="83"/>
        <v>0</v>
      </c>
      <c r="L265" s="4" t="s">
        <v>3057</v>
      </c>
      <c r="M265" s="10">
        <f t="shared" si="84"/>
        <v>0</v>
      </c>
      <c r="N265" s="4" t="s">
        <v>3057</v>
      </c>
      <c r="O265" s="10">
        <f t="shared" si="85"/>
        <v>0</v>
      </c>
      <c r="P265" s="4" t="s">
        <v>3057</v>
      </c>
      <c r="Q265" s="10">
        <f t="shared" si="86"/>
        <v>0</v>
      </c>
      <c r="R265" s="4" t="s">
        <v>3057</v>
      </c>
      <c r="S265" s="10">
        <f t="shared" si="87"/>
        <v>0</v>
      </c>
      <c r="T265" s="4" t="s">
        <v>3057</v>
      </c>
      <c r="U265" s="10">
        <f t="shared" si="88"/>
        <v>0</v>
      </c>
      <c r="V265" s="4" t="s">
        <v>3057</v>
      </c>
      <c r="W265" s="10">
        <f t="shared" si="89"/>
        <v>0</v>
      </c>
      <c r="X265" s="4">
        <v>0</v>
      </c>
      <c r="Y265" s="10">
        <f t="shared" si="90"/>
        <v>0</v>
      </c>
      <c r="Z265" s="4" t="s">
        <v>3057</v>
      </c>
      <c r="AA265" s="10">
        <f t="shared" si="91"/>
        <v>0</v>
      </c>
      <c r="AB265" s="4" t="s">
        <v>3057</v>
      </c>
      <c r="AC265" s="10">
        <f t="shared" si="92"/>
        <v>0</v>
      </c>
      <c r="AD265" s="4" t="s">
        <v>3057</v>
      </c>
      <c r="AE265" s="10">
        <f t="shared" si="93"/>
        <v>0</v>
      </c>
      <c r="AF265" s="4">
        <v>1.9999999999999998</v>
      </c>
      <c r="AG265" s="10">
        <f t="shared" si="94"/>
        <v>0</v>
      </c>
      <c r="AH265" s="4" t="s">
        <v>3057</v>
      </c>
      <c r="AI265" s="10">
        <f t="shared" si="95"/>
        <v>0.59999999999999987</v>
      </c>
      <c r="AJ265" s="4" t="s">
        <v>3057</v>
      </c>
      <c r="AK265" s="10">
        <f t="shared" si="96"/>
        <v>0.41999999999999987</v>
      </c>
      <c r="AL265" s="4" t="s">
        <v>3057</v>
      </c>
      <c r="AM265" s="10">
        <f t="shared" si="97"/>
        <v>0.29399999999999987</v>
      </c>
      <c r="AN265" s="5">
        <f t="shared" si="98"/>
        <v>0.29399999999999987</v>
      </c>
      <c r="AO265" s="6" t="str">
        <f t="shared" si="99"/>
        <v>0</v>
      </c>
    </row>
    <row r="266" spans="1:41" x14ac:dyDescent="0.25">
      <c r="A266" t="s">
        <v>2184</v>
      </c>
      <c r="B266" t="s">
        <v>2979</v>
      </c>
      <c r="C266" t="str">
        <f>_xlfn.XLOOKUP(A266,Fore!A:A,Fore!AC:AC)</f>
        <v>CY</v>
      </c>
      <c r="D266" s="4" t="s">
        <v>3057</v>
      </c>
      <c r="E266" s="10" t="str">
        <f t="shared" si="80"/>
        <v>0</v>
      </c>
      <c r="F266" s="4" t="s">
        <v>3057</v>
      </c>
      <c r="G266" s="10">
        <f t="shared" si="81"/>
        <v>0</v>
      </c>
      <c r="H266" s="4" t="s">
        <v>3057</v>
      </c>
      <c r="I266" s="10">
        <f t="shared" si="82"/>
        <v>0</v>
      </c>
      <c r="J266" s="4" t="s">
        <v>3057</v>
      </c>
      <c r="K266" s="10">
        <f t="shared" si="83"/>
        <v>0</v>
      </c>
      <c r="L266" s="4" t="s">
        <v>3057</v>
      </c>
      <c r="M266" s="10">
        <f t="shared" si="84"/>
        <v>0</v>
      </c>
      <c r="N266" s="4" t="s">
        <v>3057</v>
      </c>
      <c r="O266" s="10">
        <f t="shared" si="85"/>
        <v>0</v>
      </c>
      <c r="P266" s="4" t="s">
        <v>3057</v>
      </c>
      <c r="Q266" s="10">
        <f t="shared" si="86"/>
        <v>0</v>
      </c>
      <c r="R266" s="4" t="s">
        <v>3057</v>
      </c>
      <c r="S266" s="10">
        <f t="shared" si="87"/>
        <v>0</v>
      </c>
      <c r="T266" s="4" t="s">
        <v>3057</v>
      </c>
      <c r="U266" s="10">
        <f t="shared" si="88"/>
        <v>0</v>
      </c>
      <c r="V266" s="4" t="s">
        <v>3057</v>
      </c>
      <c r="W266" s="10">
        <f t="shared" si="89"/>
        <v>0</v>
      </c>
      <c r="X266" s="4">
        <v>0</v>
      </c>
      <c r="Y266" s="10">
        <f t="shared" si="90"/>
        <v>0</v>
      </c>
      <c r="Z266" s="4" t="s">
        <v>3057</v>
      </c>
      <c r="AA266" s="10">
        <f t="shared" si="91"/>
        <v>0</v>
      </c>
      <c r="AB266" s="4" t="s">
        <v>3057</v>
      </c>
      <c r="AC266" s="10">
        <f t="shared" si="92"/>
        <v>0</v>
      </c>
      <c r="AD266" s="4" t="s">
        <v>3057</v>
      </c>
      <c r="AE266" s="10">
        <f t="shared" si="93"/>
        <v>0</v>
      </c>
      <c r="AF266" s="4">
        <v>1.9999999999999998</v>
      </c>
      <c r="AG266" s="10">
        <f t="shared" si="94"/>
        <v>0</v>
      </c>
      <c r="AH266" s="4" t="s">
        <v>3057</v>
      </c>
      <c r="AI266" s="10">
        <f t="shared" si="95"/>
        <v>0.59999999999999987</v>
      </c>
      <c r="AJ266" s="4" t="s">
        <v>3057</v>
      </c>
      <c r="AK266" s="10">
        <f t="shared" si="96"/>
        <v>0.41999999999999987</v>
      </c>
      <c r="AL266" s="4" t="s">
        <v>3057</v>
      </c>
      <c r="AM266" s="10">
        <f t="shared" si="97"/>
        <v>0.29399999999999987</v>
      </c>
      <c r="AN266" s="5">
        <f t="shared" si="98"/>
        <v>0.29399999999999987</v>
      </c>
      <c r="AO266" s="6" t="str">
        <f t="shared" si="99"/>
        <v>0</v>
      </c>
    </row>
    <row r="267" spans="1:41" x14ac:dyDescent="0.25">
      <c r="A267" t="s">
        <v>2129</v>
      </c>
      <c r="B267" t="s">
        <v>2992</v>
      </c>
      <c r="C267" t="str">
        <f>_xlfn.XLOOKUP(A267,Fore!A:A,Fore!AC:AC)</f>
        <v>CY</v>
      </c>
      <c r="D267" s="4" t="s">
        <v>3057</v>
      </c>
      <c r="E267" s="10" t="str">
        <f t="shared" si="80"/>
        <v>0</v>
      </c>
      <c r="F267" s="4" t="s">
        <v>3057</v>
      </c>
      <c r="G267" s="10">
        <f t="shared" si="81"/>
        <v>0</v>
      </c>
      <c r="H267" s="4" t="s">
        <v>3057</v>
      </c>
      <c r="I267" s="10">
        <f t="shared" si="82"/>
        <v>0</v>
      </c>
      <c r="J267" s="4" t="s">
        <v>3057</v>
      </c>
      <c r="K267" s="10">
        <f t="shared" si="83"/>
        <v>0</v>
      </c>
      <c r="L267" s="4" t="s">
        <v>3057</v>
      </c>
      <c r="M267" s="10">
        <f t="shared" si="84"/>
        <v>0</v>
      </c>
      <c r="N267" s="4" t="s">
        <v>3057</v>
      </c>
      <c r="O267" s="10">
        <f t="shared" si="85"/>
        <v>0</v>
      </c>
      <c r="P267" s="4" t="s">
        <v>3057</v>
      </c>
      <c r="Q267" s="10">
        <f t="shared" si="86"/>
        <v>0</v>
      </c>
      <c r="R267" s="4" t="s">
        <v>3057</v>
      </c>
      <c r="S267" s="10">
        <f t="shared" si="87"/>
        <v>0</v>
      </c>
      <c r="T267" s="4" t="s">
        <v>3057</v>
      </c>
      <c r="U267" s="10">
        <f t="shared" si="88"/>
        <v>0</v>
      </c>
      <c r="V267" s="4" t="s">
        <v>3057</v>
      </c>
      <c r="W267" s="10">
        <f t="shared" si="89"/>
        <v>0</v>
      </c>
      <c r="X267" s="4">
        <v>0</v>
      </c>
      <c r="Y267" s="10">
        <f t="shared" si="90"/>
        <v>0</v>
      </c>
      <c r="Z267" s="4" t="s">
        <v>3057</v>
      </c>
      <c r="AA267" s="10">
        <f t="shared" si="91"/>
        <v>0</v>
      </c>
      <c r="AB267" s="4" t="s">
        <v>3057</v>
      </c>
      <c r="AC267" s="10">
        <f t="shared" si="92"/>
        <v>0</v>
      </c>
      <c r="AD267" s="4">
        <v>1.0000000000000004</v>
      </c>
      <c r="AE267" s="10">
        <f t="shared" si="93"/>
        <v>0</v>
      </c>
      <c r="AF267" s="4" t="s">
        <v>3057</v>
      </c>
      <c r="AG267" s="10">
        <f t="shared" si="94"/>
        <v>0.3000000000000001</v>
      </c>
      <c r="AH267" s="4" t="s">
        <v>3057</v>
      </c>
      <c r="AI267" s="10">
        <f t="shared" si="95"/>
        <v>0.21000000000000005</v>
      </c>
      <c r="AJ267" s="4" t="s">
        <v>3057</v>
      </c>
      <c r="AK267" s="10">
        <f t="shared" si="96"/>
        <v>0.14700000000000002</v>
      </c>
      <c r="AL267" s="4" t="s">
        <v>3057</v>
      </c>
      <c r="AM267" s="10">
        <f t="shared" si="97"/>
        <v>0.10290000000000001</v>
      </c>
      <c r="AN267" s="5">
        <f t="shared" si="98"/>
        <v>0.10290000000000001</v>
      </c>
      <c r="AO267" s="6" t="str">
        <f t="shared" si="99"/>
        <v>0</v>
      </c>
    </row>
    <row r="268" spans="1:41" x14ac:dyDescent="0.25">
      <c r="A268" t="s">
        <v>2130</v>
      </c>
      <c r="B268" t="s">
        <v>2893</v>
      </c>
      <c r="C268" t="str">
        <f>_xlfn.XLOOKUP(A268,Fore!A:A,Fore!AC:AC)</f>
        <v>CY</v>
      </c>
      <c r="D268" s="4" t="s">
        <v>3057</v>
      </c>
      <c r="E268" s="10" t="str">
        <f t="shared" si="80"/>
        <v>0</v>
      </c>
      <c r="F268" s="4" t="s">
        <v>3057</v>
      </c>
      <c r="G268" s="10">
        <f t="shared" si="81"/>
        <v>0</v>
      </c>
      <c r="H268" s="4" t="s">
        <v>3057</v>
      </c>
      <c r="I268" s="10">
        <f t="shared" si="82"/>
        <v>0</v>
      </c>
      <c r="J268" s="4" t="s">
        <v>3057</v>
      </c>
      <c r="K268" s="10">
        <f t="shared" si="83"/>
        <v>0</v>
      </c>
      <c r="L268" s="4" t="s">
        <v>3057</v>
      </c>
      <c r="M268" s="10">
        <f t="shared" si="84"/>
        <v>0</v>
      </c>
      <c r="N268" s="4" t="s">
        <v>3057</v>
      </c>
      <c r="O268" s="10">
        <f t="shared" si="85"/>
        <v>0</v>
      </c>
      <c r="P268" s="4" t="s">
        <v>3057</v>
      </c>
      <c r="Q268" s="10">
        <f t="shared" si="86"/>
        <v>0</v>
      </c>
      <c r="R268" s="4" t="s">
        <v>3057</v>
      </c>
      <c r="S268" s="10">
        <f t="shared" si="87"/>
        <v>0</v>
      </c>
      <c r="T268" s="4" t="s">
        <v>3057</v>
      </c>
      <c r="U268" s="10">
        <f t="shared" si="88"/>
        <v>0</v>
      </c>
      <c r="V268" s="4" t="s">
        <v>3057</v>
      </c>
      <c r="W268" s="10">
        <f t="shared" si="89"/>
        <v>0</v>
      </c>
      <c r="X268" s="4">
        <v>0</v>
      </c>
      <c r="Y268" s="10">
        <f t="shared" si="90"/>
        <v>0</v>
      </c>
      <c r="Z268" s="4" t="s">
        <v>3057</v>
      </c>
      <c r="AA268" s="10">
        <f t="shared" si="91"/>
        <v>0</v>
      </c>
      <c r="AB268" s="4" t="s">
        <v>3057</v>
      </c>
      <c r="AC268" s="10">
        <f t="shared" si="92"/>
        <v>0</v>
      </c>
      <c r="AD268" s="4">
        <v>1</v>
      </c>
      <c r="AE268" s="10">
        <f t="shared" si="93"/>
        <v>0</v>
      </c>
      <c r="AF268" s="4" t="s">
        <v>3057</v>
      </c>
      <c r="AG268" s="10">
        <f t="shared" si="94"/>
        <v>0.3</v>
      </c>
      <c r="AH268" s="4" t="s">
        <v>3057</v>
      </c>
      <c r="AI268" s="10">
        <f t="shared" si="95"/>
        <v>0.21</v>
      </c>
      <c r="AJ268" s="4" t="s">
        <v>3057</v>
      </c>
      <c r="AK268" s="10">
        <f t="shared" si="96"/>
        <v>0.14699999999999999</v>
      </c>
      <c r="AL268" s="4" t="s">
        <v>3057</v>
      </c>
      <c r="AM268" s="10">
        <f t="shared" si="97"/>
        <v>0.10289999999999999</v>
      </c>
      <c r="AN268" s="5">
        <f t="shared" si="98"/>
        <v>0.10289999999999999</v>
      </c>
      <c r="AO268" s="6" t="str">
        <f t="shared" si="99"/>
        <v>0</v>
      </c>
    </row>
    <row r="269" spans="1:41" x14ac:dyDescent="0.25">
      <c r="A269" t="s">
        <v>2127</v>
      </c>
      <c r="B269" t="s">
        <v>2935</v>
      </c>
      <c r="C269" t="str">
        <f>_xlfn.XLOOKUP(A269,Fore!A:A,Fore!AC:AC)</f>
        <v>CY</v>
      </c>
      <c r="D269" s="4" t="s">
        <v>3057</v>
      </c>
      <c r="E269" s="10" t="str">
        <f t="shared" si="80"/>
        <v>0</v>
      </c>
      <c r="F269" s="4" t="s">
        <v>3057</v>
      </c>
      <c r="G269" s="10">
        <f t="shared" si="81"/>
        <v>0</v>
      </c>
      <c r="H269" s="4" t="s">
        <v>3057</v>
      </c>
      <c r="I269" s="10">
        <f t="shared" si="82"/>
        <v>0</v>
      </c>
      <c r="J269" s="4" t="s">
        <v>3057</v>
      </c>
      <c r="K269" s="10">
        <f t="shared" si="83"/>
        <v>0</v>
      </c>
      <c r="L269" s="4" t="s">
        <v>3057</v>
      </c>
      <c r="M269" s="10">
        <f t="shared" si="84"/>
        <v>0</v>
      </c>
      <c r="N269" s="4" t="s">
        <v>3057</v>
      </c>
      <c r="O269" s="10">
        <f t="shared" si="85"/>
        <v>0</v>
      </c>
      <c r="P269" s="4" t="s">
        <v>3057</v>
      </c>
      <c r="Q269" s="10">
        <f t="shared" si="86"/>
        <v>0</v>
      </c>
      <c r="R269" s="4" t="s">
        <v>3057</v>
      </c>
      <c r="S269" s="10">
        <f t="shared" si="87"/>
        <v>0</v>
      </c>
      <c r="T269" s="4" t="s">
        <v>3057</v>
      </c>
      <c r="U269" s="10">
        <f t="shared" si="88"/>
        <v>0</v>
      </c>
      <c r="V269" s="4" t="s">
        <v>3057</v>
      </c>
      <c r="W269" s="10">
        <f t="shared" si="89"/>
        <v>0</v>
      </c>
      <c r="X269" s="4">
        <v>0</v>
      </c>
      <c r="Y269" s="10">
        <f t="shared" si="90"/>
        <v>0</v>
      </c>
      <c r="Z269" s="4" t="s">
        <v>3057</v>
      </c>
      <c r="AA269" s="10">
        <f t="shared" si="91"/>
        <v>0</v>
      </c>
      <c r="AB269" s="4" t="s">
        <v>3057</v>
      </c>
      <c r="AC269" s="10">
        <f t="shared" si="92"/>
        <v>0</v>
      </c>
      <c r="AD269" s="4">
        <v>1</v>
      </c>
      <c r="AE269" s="10">
        <f t="shared" si="93"/>
        <v>0</v>
      </c>
      <c r="AF269" s="4" t="s">
        <v>3057</v>
      </c>
      <c r="AG269" s="10">
        <f t="shared" si="94"/>
        <v>0.3</v>
      </c>
      <c r="AH269" s="4" t="s">
        <v>3057</v>
      </c>
      <c r="AI269" s="10">
        <f t="shared" si="95"/>
        <v>0.21</v>
      </c>
      <c r="AJ269" s="4" t="s">
        <v>3057</v>
      </c>
      <c r="AK269" s="10">
        <f t="shared" si="96"/>
        <v>0.14699999999999999</v>
      </c>
      <c r="AL269" s="4" t="s">
        <v>3057</v>
      </c>
      <c r="AM269" s="10">
        <f t="shared" si="97"/>
        <v>0.10289999999999999</v>
      </c>
      <c r="AN269" s="5">
        <f t="shared" si="98"/>
        <v>0.10289999999999999</v>
      </c>
      <c r="AO269" s="6" t="str">
        <f t="shared" si="99"/>
        <v>0</v>
      </c>
    </row>
    <row r="270" spans="1:41" x14ac:dyDescent="0.25">
      <c r="A270" t="s">
        <v>2185</v>
      </c>
      <c r="B270" t="s">
        <v>2980</v>
      </c>
      <c r="C270" t="str">
        <f>_xlfn.XLOOKUP(A270,Fore!A:A,Fore!AC:AC)</f>
        <v>CY</v>
      </c>
      <c r="D270" s="4" t="s">
        <v>3057</v>
      </c>
      <c r="E270" s="10" t="str">
        <f t="shared" si="80"/>
        <v>0</v>
      </c>
      <c r="F270" s="4" t="s">
        <v>3057</v>
      </c>
      <c r="G270" s="10">
        <f t="shared" si="81"/>
        <v>0</v>
      </c>
      <c r="H270" s="4" t="s">
        <v>3057</v>
      </c>
      <c r="I270" s="10">
        <f t="shared" si="82"/>
        <v>0</v>
      </c>
      <c r="J270" s="4" t="s">
        <v>3057</v>
      </c>
      <c r="K270" s="10">
        <f t="shared" si="83"/>
        <v>0</v>
      </c>
      <c r="L270" s="4" t="s">
        <v>3057</v>
      </c>
      <c r="M270" s="10">
        <f t="shared" si="84"/>
        <v>0</v>
      </c>
      <c r="N270" s="4" t="s">
        <v>3057</v>
      </c>
      <c r="O270" s="10">
        <f t="shared" si="85"/>
        <v>0</v>
      </c>
      <c r="P270" s="4" t="s">
        <v>3057</v>
      </c>
      <c r="Q270" s="10">
        <f t="shared" si="86"/>
        <v>0</v>
      </c>
      <c r="R270" s="4" t="s">
        <v>3057</v>
      </c>
      <c r="S270" s="10">
        <f t="shared" si="87"/>
        <v>0</v>
      </c>
      <c r="T270" s="4" t="s">
        <v>3057</v>
      </c>
      <c r="U270" s="10">
        <f t="shared" si="88"/>
        <v>0</v>
      </c>
      <c r="V270" s="4" t="s">
        <v>3057</v>
      </c>
      <c r="W270" s="10">
        <f t="shared" si="89"/>
        <v>0</v>
      </c>
      <c r="X270" s="4">
        <v>0</v>
      </c>
      <c r="Y270" s="10">
        <f t="shared" si="90"/>
        <v>0</v>
      </c>
      <c r="Z270" s="4" t="s">
        <v>3057</v>
      </c>
      <c r="AA270" s="10">
        <f t="shared" si="91"/>
        <v>0</v>
      </c>
      <c r="AB270" s="4" t="s">
        <v>3057</v>
      </c>
      <c r="AC270" s="10">
        <f t="shared" si="92"/>
        <v>0</v>
      </c>
      <c r="AD270" s="4" t="s">
        <v>3057</v>
      </c>
      <c r="AE270" s="10">
        <f t="shared" si="93"/>
        <v>0</v>
      </c>
      <c r="AF270" s="4">
        <v>1</v>
      </c>
      <c r="AG270" s="10">
        <f t="shared" si="94"/>
        <v>0</v>
      </c>
      <c r="AH270" s="4" t="s">
        <v>3057</v>
      </c>
      <c r="AI270" s="10">
        <f t="shared" si="95"/>
        <v>0.3</v>
      </c>
      <c r="AJ270" s="4" t="s">
        <v>3057</v>
      </c>
      <c r="AK270" s="10">
        <f t="shared" si="96"/>
        <v>0.21</v>
      </c>
      <c r="AL270" s="4" t="s">
        <v>3057</v>
      </c>
      <c r="AM270" s="10">
        <f t="shared" si="97"/>
        <v>0.14699999999999999</v>
      </c>
      <c r="AN270" s="5">
        <f t="shared" si="98"/>
        <v>0.14699999999999999</v>
      </c>
      <c r="AO270" s="6" t="str">
        <f t="shared" si="99"/>
        <v>0</v>
      </c>
    </row>
    <row r="271" spans="1:41" x14ac:dyDescent="0.25">
      <c r="A271" t="s">
        <v>942</v>
      </c>
      <c r="B271" t="s">
        <v>2994</v>
      </c>
      <c r="C271" t="str">
        <f>_xlfn.XLOOKUP(A271,Fore!A:A,Fore!AC:AC)</f>
        <v>CY</v>
      </c>
      <c r="D271" s="4" t="s">
        <v>3057</v>
      </c>
      <c r="E271" s="10" t="str">
        <f t="shared" si="80"/>
        <v>0</v>
      </c>
      <c r="F271" s="4" t="s">
        <v>3057</v>
      </c>
      <c r="G271" s="10">
        <f t="shared" si="81"/>
        <v>0</v>
      </c>
      <c r="H271" s="4" t="s">
        <v>3057</v>
      </c>
      <c r="I271" s="10">
        <f t="shared" si="82"/>
        <v>0</v>
      </c>
      <c r="J271" s="4">
        <v>1</v>
      </c>
      <c r="K271" s="10">
        <f t="shared" si="83"/>
        <v>0</v>
      </c>
      <c r="L271" s="4" t="s">
        <v>3057</v>
      </c>
      <c r="M271" s="10">
        <f t="shared" si="84"/>
        <v>0.3</v>
      </c>
      <c r="N271" s="4" t="s">
        <v>3057</v>
      </c>
      <c r="O271" s="10">
        <f t="shared" si="85"/>
        <v>0.09</v>
      </c>
      <c r="P271" s="4" t="s">
        <v>3057</v>
      </c>
      <c r="Q271" s="10">
        <f t="shared" si="86"/>
        <v>6.3E-2</v>
      </c>
      <c r="R271" s="4" t="s">
        <v>3057</v>
      </c>
      <c r="S271" s="10">
        <f t="shared" si="87"/>
        <v>4.41E-2</v>
      </c>
      <c r="T271" s="4" t="s">
        <v>3057</v>
      </c>
      <c r="U271" s="10">
        <f t="shared" si="88"/>
        <v>3.0869999999999998E-2</v>
      </c>
      <c r="V271" s="4" t="s">
        <v>3057</v>
      </c>
      <c r="W271" s="10">
        <f t="shared" si="89"/>
        <v>2.1608999999999996E-2</v>
      </c>
      <c r="X271" s="4">
        <v>0</v>
      </c>
      <c r="Y271" s="10">
        <f t="shared" si="90"/>
        <v>1.5126299999999997E-2</v>
      </c>
      <c r="Z271" s="4" t="s">
        <v>3057</v>
      </c>
      <c r="AA271" s="10">
        <f t="shared" si="91"/>
        <v>1.0588409999999998E-2</v>
      </c>
      <c r="AB271" s="4" t="s">
        <v>3057</v>
      </c>
      <c r="AC271" s="10">
        <f t="shared" si="92"/>
        <v>7.4118869999999981E-3</v>
      </c>
      <c r="AD271" s="4" t="s">
        <v>3057</v>
      </c>
      <c r="AE271" s="10">
        <f t="shared" si="93"/>
        <v>5.1883208999999987E-3</v>
      </c>
      <c r="AF271" s="4" t="s">
        <v>3057</v>
      </c>
      <c r="AG271" s="10">
        <f t="shared" si="94"/>
        <v>3.6318246299999989E-3</v>
      </c>
      <c r="AH271" s="4" t="s">
        <v>3057</v>
      </c>
      <c r="AI271" s="10">
        <f t="shared" si="95"/>
        <v>2.5422772409999989E-3</v>
      </c>
      <c r="AJ271" s="4" t="s">
        <v>3057</v>
      </c>
      <c r="AK271" s="10">
        <f t="shared" si="96"/>
        <v>1.779594068699999E-3</v>
      </c>
      <c r="AL271" s="4" t="s">
        <v>3057</v>
      </c>
      <c r="AM271" s="10">
        <f t="shared" si="97"/>
        <v>1.2457158480899992E-3</v>
      </c>
      <c r="AN271" s="5">
        <f t="shared" si="98"/>
        <v>1.2457158480899992E-3</v>
      </c>
      <c r="AO271" s="6" t="str">
        <f t="shared" si="99"/>
        <v>0</v>
      </c>
    </row>
    <row r="272" spans="1:41" x14ac:dyDescent="0.25">
      <c r="A272" t="s">
        <v>1782</v>
      </c>
      <c r="B272" t="s">
        <v>3031</v>
      </c>
      <c r="C272" t="str">
        <f>_xlfn.XLOOKUP(A272,Fore!A:A,Fore!AC:AC)</f>
        <v>CY</v>
      </c>
      <c r="D272" s="4" t="s">
        <v>3057</v>
      </c>
      <c r="E272" s="10" t="str">
        <f t="shared" si="80"/>
        <v>0</v>
      </c>
      <c r="F272" s="4" t="s">
        <v>3057</v>
      </c>
      <c r="G272" s="10">
        <f t="shared" si="81"/>
        <v>0</v>
      </c>
      <c r="H272" s="4" t="s">
        <v>3057</v>
      </c>
      <c r="I272" s="10">
        <f t="shared" si="82"/>
        <v>0</v>
      </c>
      <c r="J272" s="4" t="s">
        <v>3057</v>
      </c>
      <c r="K272" s="10">
        <f t="shared" si="83"/>
        <v>0</v>
      </c>
      <c r="L272" s="4" t="s">
        <v>3057</v>
      </c>
      <c r="M272" s="10">
        <f t="shared" si="84"/>
        <v>0</v>
      </c>
      <c r="N272" s="4" t="s">
        <v>3057</v>
      </c>
      <c r="O272" s="10">
        <f t="shared" si="85"/>
        <v>0</v>
      </c>
      <c r="P272" s="4" t="s">
        <v>3057</v>
      </c>
      <c r="Q272" s="10">
        <f t="shared" si="86"/>
        <v>0</v>
      </c>
      <c r="R272" s="4" t="s">
        <v>3057</v>
      </c>
      <c r="S272" s="10">
        <f t="shared" si="87"/>
        <v>0</v>
      </c>
      <c r="T272" s="4">
        <v>1</v>
      </c>
      <c r="U272" s="10">
        <f t="shared" si="88"/>
        <v>0</v>
      </c>
      <c r="V272" s="4" t="s">
        <v>3057</v>
      </c>
      <c r="W272" s="10">
        <f t="shared" si="89"/>
        <v>0.3</v>
      </c>
      <c r="X272" s="4">
        <v>0</v>
      </c>
      <c r="Y272" s="10">
        <f t="shared" si="90"/>
        <v>0.21</v>
      </c>
      <c r="Z272" s="4" t="s">
        <v>3057</v>
      </c>
      <c r="AA272" s="10">
        <f t="shared" si="91"/>
        <v>0.14699999999999999</v>
      </c>
      <c r="AB272" s="4" t="s">
        <v>3057</v>
      </c>
      <c r="AC272" s="10">
        <f t="shared" si="92"/>
        <v>0.10289999999999999</v>
      </c>
      <c r="AD272" s="4" t="s">
        <v>3057</v>
      </c>
      <c r="AE272" s="10">
        <f t="shared" si="93"/>
        <v>7.2029999999999983E-2</v>
      </c>
      <c r="AF272" s="4" t="s">
        <v>3057</v>
      </c>
      <c r="AG272" s="10">
        <f t="shared" si="94"/>
        <v>5.0420999999999987E-2</v>
      </c>
      <c r="AH272" s="4" t="s">
        <v>3057</v>
      </c>
      <c r="AI272" s="10">
        <f t="shared" si="95"/>
        <v>3.5294699999999991E-2</v>
      </c>
      <c r="AJ272" s="4" t="s">
        <v>3057</v>
      </c>
      <c r="AK272" s="10">
        <f t="shared" si="96"/>
        <v>2.4706289999999992E-2</v>
      </c>
      <c r="AL272" s="4" t="s">
        <v>3057</v>
      </c>
      <c r="AM272" s="10">
        <f t="shared" si="97"/>
        <v>1.7294402999999993E-2</v>
      </c>
      <c r="AN272" s="5">
        <f t="shared" si="98"/>
        <v>1.7294402999999993E-2</v>
      </c>
      <c r="AO272" s="6" t="str">
        <f t="shared" si="99"/>
        <v>0</v>
      </c>
    </row>
    <row r="273" spans="1:41" x14ac:dyDescent="0.25">
      <c r="A273" t="s">
        <v>2566</v>
      </c>
      <c r="B273" t="s">
        <v>2567</v>
      </c>
      <c r="C273" t="e">
        <f>_xlfn.XLOOKUP(A273,Fore!A:A,Fore!AC:AC)</f>
        <v>#DIV/0!</v>
      </c>
      <c r="D273" s="4" t="s">
        <v>3057</v>
      </c>
      <c r="E273" s="10" t="str">
        <f t="shared" si="80"/>
        <v>0</v>
      </c>
      <c r="F273" s="4" t="s">
        <v>3057</v>
      </c>
      <c r="G273" s="10">
        <f t="shared" si="81"/>
        <v>0</v>
      </c>
      <c r="H273" s="4" t="s">
        <v>3057</v>
      </c>
      <c r="I273" s="10">
        <f t="shared" si="82"/>
        <v>0</v>
      </c>
      <c r="J273" s="4" t="s">
        <v>3057</v>
      </c>
      <c r="K273" s="10">
        <f t="shared" si="83"/>
        <v>0</v>
      </c>
      <c r="L273" s="4" t="s">
        <v>3057</v>
      </c>
      <c r="M273" s="10">
        <f t="shared" si="84"/>
        <v>0</v>
      </c>
      <c r="N273" s="4" t="s">
        <v>3057</v>
      </c>
      <c r="O273" s="10">
        <f t="shared" si="85"/>
        <v>0</v>
      </c>
      <c r="P273" s="4" t="s">
        <v>3057</v>
      </c>
      <c r="Q273" s="10">
        <f t="shared" si="86"/>
        <v>0</v>
      </c>
      <c r="R273" s="4" t="s">
        <v>3057</v>
      </c>
      <c r="S273" s="10">
        <f t="shared" si="87"/>
        <v>0</v>
      </c>
      <c r="T273" s="4" t="s">
        <v>3057</v>
      </c>
      <c r="U273" s="10">
        <f t="shared" si="88"/>
        <v>0</v>
      </c>
      <c r="V273" s="4" t="s">
        <v>3057</v>
      </c>
      <c r="W273" s="10">
        <f t="shared" si="89"/>
        <v>0</v>
      </c>
      <c r="X273" s="4">
        <v>0</v>
      </c>
      <c r="Y273" s="10">
        <f t="shared" si="90"/>
        <v>0</v>
      </c>
      <c r="Z273" s="4" t="s">
        <v>3057</v>
      </c>
      <c r="AA273" s="10">
        <f t="shared" si="91"/>
        <v>0</v>
      </c>
      <c r="AB273" s="4" t="s">
        <v>3057</v>
      </c>
      <c r="AC273" s="10">
        <f t="shared" si="92"/>
        <v>0</v>
      </c>
      <c r="AD273" s="4" t="s">
        <v>3057</v>
      </c>
      <c r="AE273" s="10">
        <f t="shared" si="93"/>
        <v>0</v>
      </c>
      <c r="AF273" s="4" t="s">
        <v>3057</v>
      </c>
      <c r="AG273" s="10">
        <f t="shared" si="94"/>
        <v>0</v>
      </c>
      <c r="AH273" s="4" t="s">
        <v>3057</v>
      </c>
      <c r="AI273" s="10">
        <f t="shared" si="95"/>
        <v>0</v>
      </c>
      <c r="AJ273" s="4" t="s">
        <v>3057</v>
      </c>
      <c r="AK273" s="10">
        <f t="shared" si="96"/>
        <v>0</v>
      </c>
      <c r="AL273" s="4" t="s">
        <v>3057</v>
      </c>
      <c r="AM273" s="10">
        <f t="shared" si="97"/>
        <v>0</v>
      </c>
      <c r="AN273" s="5">
        <f t="shared" si="98"/>
        <v>0</v>
      </c>
      <c r="AO273" s="6" t="str">
        <f t="shared" si="99"/>
        <v>0</v>
      </c>
    </row>
    <row r="274" spans="1:41" x14ac:dyDescent="0.25">
      <c r="A274" t="s">
        <v>2572</v>
      </c>
      <c r="B274" t="s">
        <v>2573</v>
      </c>
      <c r="C274" t="e">
        <f>_xlfn.XLOOKUP(A274,Fore!A:A,Fore!AC:AC)</f>
        <v>#DIV/0!</v>
      </c>
      <c r="D274" s="4" t="s">
        <v>3057</v>
      </c>
      <c r="E274" s="10" t="str">
        <f t="shared" si="80"/>
        <v>0</v>
      </c>
      <c r="F274" s="4" t="s">
        <v>3057</v>
      </c>
      <c r="G274" s="10">
        <f t="shared" si="81"/>
        <v>0</v>
      </c>
      <c r="H274" s="4" t="s">
        <v>3057</v>
      </c>
      <c r="I274" s="10">
        <f t="shared" si="82"/>
        <v>0</v>
      </c>
      <c r="J274" s="4" t="s">
        <v>3057</v>
      </c>
      <c r="K274" s="10">
        <f t="shared" si="83"/>
        <v>0</v>
      </c>
      <c r="L274" s="4" t="s">
        <v>3057</v>
      </c>
      <c r="M274" s="10">
        <f t="shared" si="84"/>
        <v>0</v>
      </c>
      <c r="N274" s="4" t="s">
        <v>3057</v>
      </c>
      <c r="O274" s="10">
        <f t="shared" si="85"/>
        <v>0</v>
      </c>
      <c r="P274" s="4" t="s">
        <v>3057</v>
      </c>
      <c r="Q274" s="10">
        <f t="shared" si="86"/>
        <v>0</v>
      </c>
      <c r="R274" s="4" t="s">
        <v>3057</v>
      </c>
      <c r="S274" s="10">
        <f t="shared" si="87"/>
        <v>0</v>
      </c>
      <c r="T274" s="4" t="s">
        <v>3057</v>
      </c>
      <c r="U274" s="10">
        <f t="shared" si="88"/>
        <v>0</v>
      </c>
      <c r="V274" s="4" t="s">
        <v>3057</v>
      </c>
      <c r="W274" s="10">
        <f t="shared" si="89"/>
        <v>0</v>
      </c>
      <c r="X274" s="4">
        <v>0</v>
      </c>
      <c r="Y274" s="10">
        <f t="shared" si="90"/>
        <v>0</v>
      </c>
      <c r="Z274" s="4" t="s">
        <v>3057</v>
      </c>
      <c r="AA274" s="10">
        <f t="shared" si="91"/>
        <v>0</v>
      </c>
      <c r="AB274" s="4" t="s">
        <v>3057</v>
      </c>
      <c r="AC274" s="10">
        <f t="shared" si="92"/>
        <v>0</v>
      </c>
      <c r="AD274" s="4" t="s">
        <v>3057</v>
      </c>
      <c r="AE274" s="10">
        <f t="shared" si="93"/>
        <v>0</v>
      </c>
      <c r="AF274" s="4" t="s">
        <v>3057</v>
      </c>
      <c r="AG274" s="10">
        <f t="shared" si="94"/>
        <v>0</v>
      </c>
      <c r="AH274" s="4" t="s">
        <v>3057</v>
      </c>
      <c r="AI274" s="10">
        <f t="shared" si="95"/>
        <v>0</v>
      </c>
      <c r="AJ274" s="4" t="s">
        <v>3057</v>
      </c>
      <c r="AK274" s="10">
        <f t="shared" si="96"/>
        <v>0</v>
      </c>
      <c r="AL274" s="4" t="s">
        <v>3057</v>
      </c>
      <c r="AM274" s="10">
        <f t="shared" si="97"/>
        <v>0</v>
      </c>
      <c r="AN274" s="5">
        <f t="shared" si="98"/>
        <v>0</v>
      </c>
      <c r="AO274" s="6" t="str">
        <f t="shared" si="99"/>
        <v>0</v>
      </c>
    </row>
    <row r="275" spans="1:41" x14ac:dyDescent="0.25">
      <c r="A275" t="s">
        <v>2575</v>
      </c>
      <c r="B275" t="s">
        <v>2576</v>
      </c>
      <c r="C275" t="e">
        <f>_xlfn.XLOOKUP(A275,Fore!A:A,Fore!AC:AC)</f>
        <v>#DIV/0!</v>
      </c>
      <c r="D275" s="4" t="s">
        <v>3057</v>
      </c>
      <c r="E275" s="10" t="str">
        <f t="shared" si="80"/>
        <v>0</v>
      </c>
      <c r="F275" s="4" t="s">
        <v>3057</v>
      </c>
      <c r="G275" s="10">
        <f t="shared" si="81"/>
        <v>0</v>
      </c>
      <c r="H275" s="4" t="s">
        <v>3057</v>
      </c>
      <c r="I275" s="10">
        <f t="shared" si="82"/>
        <v>0</v>
      </c>
      <c r="J275" s="4" t="s">
        <v>3057</v>
      </c>
      <c r="K275" s="10">
        <f t="shared" si="83"/>
        <v>0</v>
      </c>
      <c r="L275" s="4" t="s">
        <v>3057</v>
      </c>
      <c r="M275" s="10">
        <f t="shared" si="84"/>
        <v>0</v>
      </c>
      <c r="N275" s="4" t="s">
        <v>3057</v>
      </c>
      <c r="O275" s="10">
        <f t="shared" si="85"/>
        <v>0</v>
      </c>
      <c r="P275" s="4" t="s">
        <v>3057</v>
      </c>
      <c r="Q275" s="10">
        <f t="shared" si="86"/>
        <v>0</v>
      </c>
      <c r="R275" s="4" t="s">
        <v>3057</v>
      </c>
      <c r="S275" s="10">
        <f t="shared" si="87"/>
        <v>0</v>
      </c>
      <c r="T275" s="4" t="s">
        <v>3057</v>
      </c>
      <c r="U275" s="10">
        <f t="shared" si="88"/>
        <v>0</v>
      </c>
      <c r="V275" s="4" t="s">
        <v>3057</v>
      </c>
      <c r="W275" s="10">
        <f t="shared" si="89"/>
        <v>0</v>
      </c>
      <c r="X275" s="4">
        <v>0</v>
      </c>
      <c r="Y275" s="10">
        <f t="shared" si="90"/>
        <v>0</v>
      </c>
      <c r="Z275" s="4" t="s">
        <v>3057</v>
      </c>
      <c r="AA275" s="10">
        <f t="shared" si="91"/>
        <v>0</v>
      </c>
      <c r="AB275" s="4" t="s">
        <v>3057</v>
      </c>
      <c r="AC275" s="10">
        <f t="shared" si="92"/>
        <v>0</v>
      </c>
      <c r="AD275" s="4" t="s">
        <v>3057</v>
      </c>
      <c r="AE275" s="10">
        <f t="shared" si="93"/>
        <v>0</v>
      </c>
      <c r="AF275" s="4" t="s">
        <v>3057</v>
      </c>
      <c r="AG275" s="10">
        <f t="shared" si="94"/>
        <v>0</v>
      </c>
      <c r="AH275" s="4" t="s">
        <v>3057</v>
      </c>
      <c r="AI275" s="10">
        <f t="shared" si="95"/>
        <v>0</v>
      </c>
      <c r="AJ275" s="4" t="s">
        <v>3057</v>
      </c>
      <c r="AK275" s="10">
        <f t="shared" si="96"/>
        <v>0</v>
      </c>
      <c r="AL275" s="4" t="s">
        <v>3057</v>
      </c>
      <c r="AM275" s="10">
        <f t="shared" si="97"/>
        <v>0</v>
      </c>
      <c r="AN275" s="5">
        <f t="shared" si="98"/>
        <v>0</v>
      </c>
      <c r="AO275" s="6" t="str">
        <f t="shared" si="99"/>
        <v>0</v>
      </c>
    </row>
    <row r="276" spans="1:41" x14ac:dyDescent="0.25">
      <c r="A276" t="s">
        <v>2604</v>
      </c>
      <c r="B276" t="s">
        <v>2605</v>
      </c>
      <c r="C276" t="e">
        <f>_xlfn.XLOOKUP(A276,Fore!A:A,Fore!AC:AC)</f>
        <v>#DIV/0!</v>
      </c>
      <c r="D276" s="4" t="s">
        <v>3057</v>
      </c>
      <c r="E276" s="10" t="str">
        <f t="shared" si="80"/>
        <v>0</v>
      </c>
      <c r="F276" s="4" t="s">
        <v>3057</v>
      </c>
      <c r="G276" s="10">
        <f t="shared" si="81"/>
        <v>0</v>
      </c>
      <c r="H276" s="4" t="s">
        <v>3057</v>
      </c>
      <c r="I276" s="10">
        <f t="shared" si="82"/>
        <v>0</v>
      </c>
      <c r="J276" s="4" t="s">
        <v>3057</v>
      </c>
      <c r="K276" s="10">
        <f t="shared" si="83"/>
        <v>0</v>
      </c>
      <c r="L276" s="4" t="s">
        <v>3057</v>
      </c>
      <c r="M276" s="10">
        <f t="shared" si="84"/>
        <v>0</v>
      </c>
      <c r="N276" s="4" t="s">
        <v>3057</v>
      </c>
      <c r="O276" s="10">
        <f t="shared" si="85"/>
        <v>0</v>
      </c>
      <c r="P276" s="4" t="s">
        <v>3057</v>
      </c>
      <c r="Q276" s="10">
        <f t="shared" si="86"/>
        <v>0</v>
      </c>
      <c r="R276" s="4" t="s">
        <v>3057</v>
      </c>
      <c r="S276" s="10">
        <f t="shared" si="87"/>
        <v>0</v>
      </c>
      <c r="T276" s="4" t="s">
        <v>3057</v>
      </c>
      <c r="U276" s="10">
        <f t="shared" si="88"/>
        <v>0</v>
      </c>
      <c r="V276" s="4" t="s">
        <v>3057</v>
      </c>
      <c r="W276" s="10">
        <f t="shared" si="89"/>
        <v>0</v>
      </c>
      <c r="X276" s="4">
        <v>0</v>
      </c>
      <c r="Y276" s="10">
        <f t="shared" si="90"/>
        <v>0</v>
      </c>
      <c r="Z276" s="4" t="s">
        <v>3057</v>
      </c>
      <c r="AA276" s="10">
        <f t="shared" si="91"/>
        <v>0</v>
      </c>
      <c r="AB276" s="4" t="s">
        <v>3057</v>
      </c>
      <c r="AC276" s="10">
        <f t="shared" si="92"/>
        <v>0</v>
      </c>
      <c r="AD276" s="4" t="s">
        <v>3057</v>
      </c>
      <c r="AE276" s="10">
        <f t="shared" si="93"/>
        <v>0</v>
      </c>
      <c r="AF276" s="4" t="s">
        <v>3057</v>
      </c>
      <c r="AG276" s="10">
        <f t="shared" si="94"/>
        <v>0</v>
      </c>
      <c r="AH276" s="4" t="s">
        <v>3057</v>
      </c>
      <c r="AI276" s="10">
        <f t="shared" si="95"/>
        <v>0</v>
      </c>
      <c r="AJ276" s="4" t="s">
        <v>3057</v>
      </c>
      <c r="AK276" s="10">
        <f t="shared" si="96"/>
        <v>0</v>
      </c>
      <c r="AL276" s="4" t="s">
        <v>3057</v>
      </c>
      <c r="AM276" s="10">
        <f t="shared" si="97"/>
        <v>0</v>
      </c>
      <c r="AN276" s="5">
        <f t="shared" si="98"/>
        <v>0</v>
      </c>
      <c r="AO276" s="6" t="str">
        <f t="shared" si="99"/>
        <v>0</v>
      </c>
    </row>
    <row r="277" spans="1:41" x14ac:dyDescent="0.25">
      <c r="A277" t="s">
        <v>2623</v>
      </c>
      <c r="B277" t="s">
        <v>2624</v>
      </c>
      <c r="C277" t="e">
        <f>_xlfn.XLOOKUP(A277,Fore!A:A,Fore!AC:AC)</f>
        <v>#DIV/0!</v>
      </c>
      <c r="D277" s="4" t="s">
        <v>3057</v>
      </c>
      <c r="E277" s="10" t="str">
        <f t="shared" si="80"/>
        <v>0</v>
      </c>
      <c r="F277" s="4" t="s">
        <v>3057</v>
      </c>
      <c r="G277" s="10">
        <f t="shared" si="81"/>
        <v>0</v>
      </c>
      <c r="H277" s="4" t="s">
        <v>3057</v>
      </c>
      <c r="I277" s="10">
        <f t="shared" si="82"/>
        <v>0</v>
      </c>
      <c r="J277" s="4" t="s">
        <v>3057</v>
      </c>
      <c r="K277" s="10">
        <f t="shared" si="83"/>
        <v>0</v>
      </c>
      <c r="L277" s="4" t="s">
        <v>3057</v>
      </c>
      <c r="M277" s="10">
        <f t="shared" si="84"/>
        <v>0</v>
      </c>
      <c r="N277" s="4" t="s">
        <v>3057</v>
      </c>
      <c r="O277" s="10">
        <f t="shared" si="85"/>
        <v>0</v>
      </c>
      <c r="P277" s="4" t="s">
        <v>3057</v>
      </c>
      <c r="Q277" s="10">
        <f t="shared" si="86"/>
        <v>0</v>
      </c>
      <c r="R277" s="4" t="s">
        <v>3057</v>
      </c>
      <c r="S277" s="10">
        <f t="shared" si="87"/>
        <v>0</v>
      </c>
      <c r="T277" s="4" t="s">
        <v>3057</v>
      </c>
      <c r="U277" s="10">
        <f t="shared" si="88"/>
        <v>0</v>
      </c>
      <c r="V277" s="4" t="s">
        <v>3057</v>
      </c>
      <c r="W277" s="10">
        <f t="shared" si="89"/>
        <v>0</v>
      </c>
      <c r="X277" s="4">
        <v>0</v>
      </c>
      <c r="Y277" s="10">
        <f t="shared" si="90"/>
        <v>0</v>
      </c>
      <c r="Z277" s="4" t="s">
        <v>3057</v>
      </c>
      <c r="AA277" s="10">
        <f t="shared" si="91"/>
        <v>0</v>
      </c>
      <c r="AB277" s="4" t="s">
        <v>3057</v>
      </c>
      <c r="AC277" s="10">
        <f t="shared" si="92"/>
        <v>0</v>
      </c>
      <c r="AD277" s="4" t="s">
        <v>3057</v>
      </c>
      <c r="AE277" s="10">
        <f t="shared" si="93"/>
        <v>0</v>
      </c>
      <c r="AF277" s="4" t="s">
        <v>3057</v>
      </c>
      <c r="AG277" s="10">
        <f t="shared" si="94"/>
        <v>0</v>
      </c>
      <c r="AH277" s="4" t="s">
        <v>3057</v>
      </c>
      <c r="AI277" s="10">
        <f t="shared" si="95"/>
        <v>0</v>
      </c>
      <c r="AJ277" s="4" t="s">
        <v>3057</v>
      </c>
      <c r="AK277" s="10">
        <f t="shared" si="96"/>
        <v>0</v>
      </c>
      <c r="AL277" s="4" t="s">
        <v>3057</v>
      </c>
      <c r="AM277" s="10">
        <f t="shared" si="97"/>
        <v>0</v>
      </c>
      <c r="AN277" s="5">
        <f t="shared" si="98"/>
        <v>0</v>
      </c>
      <c r="AO277" s="6" t="str">
        <f t="shared" si="99"/>
        <v>0</v>
      </c>
    </row>
    <row r="278" spans="1:41" x14ac:dyDescent="0.25">
      <c r="A278" t="s">
        <v>2625</v>
      </c>
      <c r="B278" t="s">
        <v>2626</v>
      </c>
      <c r="C278" t="e">
        <f>_xlfn.XLOOKUP(A278,Fore!A:A,Fore!AC:AC)</f>
        <v>#DIV/0!</v>
      </c>
      <c r="D278" s="4" t="s">
        <v>3057</v>
      </c>
      <c r="E278" s="10" t="str">
        <f t="shared" si="80"/>
        <v>0</v>
      </c>
      <c r="F278" s="4" t="s">
        <v>3057</v>
      </c>
      <c r="G278" s="10">
        <f t="shared" si="81"/>
        <v>0</v>
      </c>
      <c r="H278" s="4" t="s">
        <v>3057</v>
      </c>
      <c r="I278" s="10">
        <f t="shared" si="82"/>
        <v>0</v>
      </c>
      <c r="J278" s="4" t="s">
        <v>3057</v>
      </c>
      <c r="K278" s="10">
        <f t="shared" si="83"/>
        <v>0</v>
      </c>
      <c r="L278" s="4" t="s">
        <v>3057</v>
      </c>
      <c r="M278" s="10">
        <f t="shared" si="84"/>
        <v>0</v>
      </c>
      <c r="N278" s="4" t="s">
        <v>3057</v>
      </c>
      <c r="O278" s="10">
        <f t="shared" si="85"/>
        <v>0</v>
      </c>
      <c r="P278" s="4" t="s">
        <v>3057</v>
      </c>
      <c r="Q278" s="10">
        <f t="shared" si="86"/>
        <v>0</v>
      </c>
      <c r="R278" s="4" t="s">
        <v>3057</v>
      </c>
      <c r="S278" s="10">
        <f t="shared" si="87"/>
        <v>0</v>
      </c>
      <c r="T278" s="4" t="s">
        <v>3057</v>
      </c>
      <c r="U278" s="10">
        <f t="shared" si="88"/>
        <v>0</v>
      </c>
      <c r="V278" s="4" t="s">
        <v>3057</v>
      </c>
      <c r="W278" s="10">
        <f t="shared" si="89"/>
        <v>0</v>
      </c>
      <c r="X278" s="4">
        <v>0</v>
      </c>
      <c r="Y278" s="10">
        <f t="shared" si="90"/>
        <v>0</v>
      </c>
      <c r="Z278" s="4" t="s">
        <v>3057</v>
      </c>
      <c r="AA278" s="10">
        <f t="shared" si="91"/>
        <v>0</v>
      </c>
      <c r="AB278" s="4" t="s">
        <v>3057</v>
      </c>
      <c r="AC278" s="10">
        <f t="shared" si="92"/>
        <v>0</v>
      </c>
      <c r="AD278" s="4" t="s">
        <v>3057</v>
      </c>
      <c r="AE278" s="10">
        <f t="shared" si="93"/>
        <v>0</v>
      </c>
      <c r="AF278" s="4" t="s">
        <v>3057</v>
      </c>
      <c r="AG278" s="10">
        <f t="shared" si="94"/>
        <v>0</v>
      </c>
      <c r="AH278" s="4" t="s">
        <v>3057</v>
      </c>
      <c r="AI278" s="10">
        <f t="shared" si="95"/>
        <v>0</v>
      </c>
      <c r="AJ278" s="4" t="s">
        <v>3057</v>
      </c>
      <c r="AK278" s="10">
        <f t="shared" si="96"/>
        <v>0</v>
      </c>
      <c r="AL278" s="4" t="s">
        <v>3057</v>
      </c>
      <c r="AM278" s="10">
        <f t="shared" si="97"/>
        <v>0</v>
      </c>
      <c r="AN278" s="5">
        <f t="shared" si="98"/>
        <v>0</v>
      </c>
      <c r="AO278" s="6" t="str">
        <f t="shared" si="99"/>
        <v>0</v>
      </c>
    </row>
    <row r="279" spans="1:41" x14ac:dyDescent="0.25">
      <c r="A279" t="s">
        <v>2627</v>
      </c>
      <c r="B279" t="s">
        <v>2628</v>
      </c>
      <c r="C279" t="e">
        <f>_xlfn.XLOOKUP(A279,Fore!A:A,Fore!AC:AC)</f>
        <v>#DIV/0!</v>
      </c>
      <c r="D279" s="4" t="s">
        <v>3057</v>
      </c>
      <c r="E279" s="10" t="str">
        <f t="shared" si="80"/>
        <v>0</v>
      </c>
      <c r="F279" s="4" t="s">
        <v>3057</v>
      </c>
      <c r="G279" s="10">
        <f t="shared" si="81"/>
        <v>0</v>
      </c>
      <c r="H279" s="4" t="s">
        <v>3057</v>
      </c>
      <c r="I279" s="10">
        <f t="shared" si="82"/>
        <v>0</v>
      </c>
      <c r="J279" s="4" t="s">
        <v>3057</v>
      </c>
      <c r="K279" s="10">
        <f t="shared" si="83"/>
        <v>0</v>
      </c>
      <c r="L279" s="4" t="s">
        <v>3057</v>
      </c>
      <c r="M279" s="10">
        <f t="shared" si="84"/>
        <v>0</v>
      </c>
      <c r="N279" s="4" t="s">
        <v>3057</v>
      </c>
      <c r="O279" s="10">
        <f t="shared" si="85"/>
        <v>0</v>
      </c>
      <c r="P279" s="4" t="s">
        <v>3057</v>
      </c>
      <c r="Q279" s="10">
        <f t="shared" si="86"/>
        <v>0</v>
      </c>
      <c r="R279" s="4" t="s">
        <v>3057</v>
      </c>
      <c r="S279" s="10">
        <f t="shared" si="87"/>
        <v>0</v>
      </c>
      <c r="T279" s="4" t="s">
        <v>3057</v>
      </c>
      <c r="U279" s="10">
        <f t="shared" si="88"/>
        <v>0</v>
      </c>
      <c r="V279" s="4" t="s">
        <v>3057</v>
      </c>
      <c r="W279" s="10">
        <f t="shared" si="89"/>
        <v>0</v>
      </c>
      <c r="X279" s="4">
        <v>0</v>
      </c>
      <c r="Y279" s="10">
        <f t="shared" si="90"/>
        <v>0</v>
      </c>
      <c r="Z279" s="4" t="s">
        <v>3057</v>
      </c>
      <c r="AA279" s="10">
        <f t="shared" si="91"/>
        <v>0</v>
      </c>
      <c r="AB279" s="4" t="s">
        <v>3057</v>
      </c>
      <c r="AC279" s="10">
        <f t="shared" si="92"/>
        <v>0</v>
      </c>
      <c r="AD279" s="4" t="s">
        <v>3057</v>
      </c>
      <c r="AE279" s="10">
        <f t="shared" si="93"/>
        <v>0</v>
      </c>
      <c r="AF279" s="4" t="s">
        <v>3057</v>
      </c>
      <c r="AG279" s="10">
        <f t="shared" si="94"/>
        <v>0</v>
      </c>
      <c r="AH279" s="4" t="s">
        <v>3057</v>
      </c>
      <c r="AI279" s="10">
        <f t="shared" si="95"/>
        <v>0</v>
      </c>
      <c r="AJ279" s="4" t="s">
        <v>3057</v>
      </c>
      <c r="AK279" s="10">
        <f t="shared" si="96"/>
        <v>0</v>
      </c>
      <c r="AL279" s="4" t="s">
        <v>3057</v>
      </c>
      <c r="AM279" s="10">
        <f t="shared" si="97"/>
        <v>0</v>
      </c>
      <c r="AN279" s="5">
        <f t="shared" si="98"/>
        <v>0</v>
      </c>
      <c r="AO279" s="6" t="str">
        <f t="shared" si="99"/>
        <v>0</v>
      </c>
    </row>
    <row r="280" spans="1:41" x14ac:dyDescent="0.25">
      <c r="A280" t="s">
        <v>2629</v>
      </c>
      <c r="B280" t="s">
        <v>2630</v>
      </c>
      <c r="C280" t="e">
        <f>_xlfn.XLOOKUP(A280,Fore!A:A,Fore!AC:AC)</f>
        <v>#DIV/0!</v>
      </c>
      <c r="D280" s="4" t="s">
        <v>3057</v>
      </c>
      <c r="E280" s="10" t="str">
        <f t="shared" si="80"/>
        <v>0</v>
      </c>
      <c r="F280" s="4" t="s">
        <v>3057</v>
      </c>
      <c r="G280" s="10">
        <f t="shared" si="81"/>
        <v>0</v>
      </c>
      <c r="H280" s="4" t="s">
        <v>3057</v>
      </c>
      <c r="I280" s="10">
        <f t="shared" si="82"/>
        <v>0</v>
      </c>
      <c r="J280" s="4" t="s">
        <v>3057</v>
      </c>
      <c r="K280" s="10">
        <f t="shared" si="83"/>
        <v>0</v>
      </c>
      <c r="L280" s="4" t="s">
        <v>3057</v>
      </c>
      <c r="M280" s="10">
        <f t="shared" si="84"/>
        <v>0</v>
      </c>
      <c r="N280" s="4" t="s">
        <v>3057</v>
      </c>
      <c r="O280" s="10">
        <f t="shared" si="85"/>
        <v>0</v>
      </c>
      <c r="P280" s="4" t="s">
        <v>3057</v>
      </c>
      <c r="Q280" s="10">
        <f t="shared" si="86"/>
        <v>0</v>
      </c>
      <c r="R280" s="4" t="s">
        <v>3057</v>
      </c>
      <c r="S280" s="10">
        <f t="shared" si="87"/>
        <v>0</v>
      </c>
      <c r="T280" s="4" t="s">
        <v>3057</v>
      </c>
      <c r="U280" s="10">
        <f t="shared" si="88"/>
        <v>0</v>
      </c>
      <c r="V280" s="4" t="s">
        <v>3057</v>
      </c>
      <c r="W280" s="10">
        <f t="shared" si="89"/>
        <v>0</v>
      </c>
      <c r="X280" s="4">
        <v>0</v>
      </c>
      <c r="Y280" s="10">
        <f t="shared" si="90"/>
        <v>0</v>
      </c>
      <c r="Z280" s="4" t="s">
        <v>3057</v>
      </c>
      <c r="AA280" s="10">
        <f t="shared" si="91"/>
        <v>0</v>
      </c>
      <c r="AB280" s="4" t="s">
        <v>3057</v>
      </c>
      <c r="AC280" s="10">
        <f t="shared" si="92"/>
        <v>0</v>
      </c>
      <c r="AD280" s="4" t="s">
        <v>3057</v>
      </c>
      <c r="AE280" s="10">
        <f t="shared" si="93"/>
        <v>0</v>
      </c>
      <c r="AF280" s="4" t="s">
        <v>3057</v>
      </c>
      <c r="AG280" s="10">
        <f t="shared" si="94"/>
        <v>0</v>
      </c>
      <c r="AH280" s="4" t="s">
        <v>3057</v>
      </c>
      <c r="AI280" s="10">
        <f t="shared" si="95"/>
        <v>0</v>
      </c>
      <c r="AJ280" s="4" t="s">
        <v>3057</v>
      </c>
      <c r="AK280" s="10">
        <f t="shared" si="96"/>
        <v>0</v>
      </c>
      <c r="AL280" s="4" t="s">
        <v>3057</v>
      </c>
      <c r="AM280" s="10">
        <f t="shared" si="97"/>
        <v>0</v>
      </c>
      <c r="AN280" s="5">
        <f t="shared" si="98"/>
        <v>0</v>
      </c>
      <c r="AO280" s="6" t="str">
        <f t="shared" si="99"/>
        <v>0</v>
      </c>
    </row>
    <row r="281" spans="1:41" x14ac:dyDescent="0.25">
      <c r="A281" t="s">
        <v>2632</v>
      </c>
      <c r="B281" t="s">
        <v>2633</v>
      </c>
      <c r="C281" t="e">
        <f>_xlfn.XLOOKUP(A281,Fore!A:A,Fore!AC:AC)</f>
        <v>#DIV/0!</v>
      </c>
      <c r="D281" s="4" t="s">
        <v>3057</v>
      </c>
      <c r="E281" s="10" t="str">
        <f t="shared" si="80"/>
        <v>0</v>
      </c>
      <c r="F281" s="4" t="s">
        <v>3057</v>
      </c>
      <c r="G281" s="10">
        <f t="shared" si="81"/>
        <v>0</v>
      </c>
      <c r="H281" s="4" t="s">
        <v>3057</v>
      </c>
      <c r="I281" s="10">
        <f t="shared" si="82"/>
        <v>0</v>
      </c>
      <c r="J281" s="4" t="s">
        <v>3057</v>
      </c>
      <c r="K281" s="10">
        <f t="shared" si="83"/>
        <v>0</v>
      </c>
      <c r="L281" s="4" t="s">
        <v>3057</v>
      </c>
      <c r="M281" s="10">
        <f t="shared" si="84"/>
        <v>0</v>
      </c>
      <c r="N281" s="4" t="s">
        <v>3057</v>
      </c>
      <c r="O281" s="10">
        <f t="shared" si="85"/>
        <v>0</v>
      </c>
      <c r="P281" s="4" t="s">
        <v>3057</v>
      </c>
      <c r="Q281" s="10">
        <f t="shared" si="86"/>
        <v>0</v>
      </c>
      <c r="R281" s="4" t="s">
        <v>3057</v>
      </c>
      <c r="S281" s="10">
        <f t="shared" si="87"/>
        <v>0</v>
      </c>
      <c r="T281" s="4" t="s">
        <v>3057</v>
      </c>
      <c r="U281" s="10">
        <f t="shared" si="88"/>
        <v>0</v>
      </c>
      <c r="V281" s="4" t="s">
        <v>3057</v>
      </c>
      <c r="W281" s="10">
        <f t="shared" si="89"/>
        <v>0</v>
      </c>
      <c r="X281" s="4">
        <v>0</v>
      </c>
      <c r="Y281" s="10">
        <f t="shared" si="90"/>
        <v>0</v>
      </c>
      <c r="Z281" s="4" t="s">
        <v>3057</v>
      </c>
      <c r="AA281" s="10">
        <f t="shared" si="91"/>
        <v>0</v>
      </c>
      <c r="AB281" s="4" t="s">
        <v>3057</v>
      </c>
      <c r="AC281" s="10">
        <f t="shared" si="92"/>
        <v>0</v>
      </c>
      <c r="AD281" s="4" t="s">
        <v>3057</v>
      </c>
      <c r="AE281" s="10">
        <f t="shared" si="93"/>
        <v>0</v>
      </c>
      <c r="AF281" s="4" t="s">
        <v>3057</v>
      </c>
      <c r="AG281" s="10">
        <f t="shared" si="94"/>
        <v>0</v>
      </c>
      <c r="AH281" s="4" t="s">
        <v>3057</v>
      </c>
      <c r="AI281" s="10">
        <f t="shared" si="95"/>
        <v>0</v>
      </c>
      <c r="AJ281" s="4" t="s">
        <v>3057</v>
      </c>
      <c r="AK281" s="10">
        <f t="shared" si="96"/>
        <v>0</v>
      </c>
      <c r="AL281" s="4" t="s">
        <v>3057</v>
      </c>
      <c r="AM281" s="10">
        <f t="shared" si="97"/>
        <v>0</v>
      </c>
      <c r="AN281" s="5">
        <f t="shared" si="98"/>
        <v>0</v>
      </c>
      <c r="AO281" s="6" t="str">
        <f t="shared" si="99"/>
        <v>0</v>
      </c>
    </row>
    <row r="282" spans="1:41" x14ac:dyDescent="0.25">
      <c r="A282" t="s">
        <v>2635</v>
      </c>
      <c r="B282" t="s">
        <v>2636</v>
      </c>
      <c r="C282" t="e">
        <f>_xlfn.XLOOKUP(A282,Fore!A:A,Fore!AC:AC)</f>
        <v>#DIV/0!</v>
      </c>
      <c r="D282" s="4" t="s">
        <v>3057</v>
      </c>
      <c r="E282" s="10" t="str">
        <f t="shared" si="80"/>
        <v>0</v>
      </c>
      <c r="F282" s="4" t="s">
        <v>3057</v>
      </c>
      <c r="G282" s="10">
        <f t="shared" si="81"/>
        <v>0</v>
      </c>
      <c r="H282" s="4" t="s">
        <v>3057</v>
      </c>
      <c r="I282" s="10">
        <f t="shared" si="82"/>
        <v>0</v>
      </c>
      <c r="J282" s="4" t="s">
        <v>3057</v>
      </c>
      <c r="K282" s="10">
        <f t="shared" si="83"/>
        <v>0</v>
      </c>
      <c r="L282" s="4" t="s">
        <v>3057</v>
      </c>
      <c r="M282" s="10">
        <f t="shared" si="84"/>
        <v>0</v>
      </c>
      <c r="N282" s="4" t="s">
        <v>3057</v>
      </c>
      <c r="O282" s="10">
        <f t="shared" si="85"/>
        <v>0</v>
      </c>
      <c r="P282" s="4" t="s">
        <v>3057</v>
      </c>
      <c r="Q282" s="10">
        <f t="shared" si="86"/>
        <v>0</v>
      </c>
      <c r="R282" s="4" t="s">
        <v>3057</v>
      </c>
      <c r="S282" s="10">
        <f t="shared" si="87"/>
        <v>0</v>
      </c>
      <c r="T282" s="4" t="s">
        <v>3057</v>
      </c>
      <c r="U282" s="10">
        <f t="shared" si="88"/>
        <v>0</v>
      </c>
      <c r="V282" s="4" t="s">
        <v>3057</v>
      </c>
      <c r="W282" s="10">
        <f t="shared" si="89"/>
        <v>0</v>
      </c>
      <c r="X282" s="4">
        <v>0</v>
      </c>
      <c r="Y282" s="10">
        <f t="shared" si="90"/>
        <v>0</v>
      </c>
      <c r="Z282" s="4" t="s">
        <v>3057</v>
      </c>
      <c r="AA282" s="10">
        <f t="shared" si="91"/>
        <v>0</v>
      </c>
      <c r="AB282" s="4" t="s">
        <v>3057</v>
      </c>
      <c r="AC282" s="10">
        <f t="shared" si="92"/>
        <v>0</v>
      </c>
      <c r="AD282" s="4" t="s">
        <v>3057</v>
      </c>
      <c r="AE282" s="10">
        <f t="shared" si="93"/>
        <v>0</v>
      </c>
      <c r="AF282" s="4" t="s">
        <v>3057</v>
      </c>
      <c r="AG282" s="10">
        <f t="shared" si="94"/>
        <v>0</v>
      </c>
      <c r="AH282" s="4" t="s">
        <v>3057</v>
      </c>
      <c r="AI282" s="10">
        <f t="shared" si="95"/>
        <v>0</v>
      </c>
      <c r="AJ282" s="4" t="s">
        <v>3057</v>
      </c>
      <c r="AK282" s="10">
        <f t="shared" si="96"/>
        <v>0</v>
      </c>
      <c r="AL282" s="4" t="s">
        <v>3057</v>
      </c>
      <c r="AM282" s="10">
        <f t="shared" si="97"/>
        <v>0</v>
      </c>
      <c r="AN282" s="5">
        <f t="shared" si="98"/>
        <v>0</v>
      </c>
      <c r="AO282" s="6" t="str">
        <f t="shared" si="99"/>
        <v>0</v>
      </c>
    </row>
    <row r="283" spans="1:41" x14ac:dyDescent="0.25">
      <c r="A283" t="s">
        <v>2638</v>
      </c>
      <c r="B283" t="s">
        <v>2639</v>
      </c>
      <c r="C283" t="e">
        <f>_xlfn.XLOOKUP(A283,Fore!A:A,Fore!AC:AC)</f>
        <v>#DIV/0!</v>
      </c>
      <c r="D283" s="4" t="s">
        <v>3057</v>
      </c>
      <c r="E283" s="10" t="str">
        <f t="shared" si="80"/>
        <v>0</v>
      </c>
      <c r="F283" s="4" t="s">
        <v>3057</v>
      </c>
      <c r="G283" s="10">
        <f t="shared" si="81"/>
        <v>0</v>
      </c>
      <c r="H283" s="4" t="s">
        <v>3057</v>
      </c>
      <c r="I283" s="10">
        <f t="shared" si="82"/>
        <v>0</v>
      </c>
      <c r="J283" s="4" t="s">
        <v>3057</v>
      </c>
      <c r="K283" s="10">
        <f t="shared" si="83"/>
        <v>0</v>
      </c>
      <c r="L283" s="4" t="s">
        <v>3057</v>
      </c>
      <c r="M283" s="10">
        <f t="shared" si="84"/>
        <v>0</v>
      </c>
      <c r="N283" s="4" t="s">
        <v>3057</v>
      </c>
      <c r="O283" s="10">
        <f t="shared" si="85"/>
        <v>0</v>
      </c>
      <c r="P283" s="4" t="s">
        <v>3057</v>
      </c>
      <c r="Q283" s="10">
        <f t="shared" si="86"/>
        <v>0</v>
      </c>
      <c r="R283" s="4" t="s">
        <v>3057</v>
      </c>
      <c r="S283" s="10">
        <f t="shared" si="87"/>
        <v>0</v>
      </c>
      <c r="T283" s="4" t="s">
        <v>3057</v>
      </c>
      <c r="U283" s="10">
        <f t="shared" si="88"/>
        <v>0</v>
      </c>
      <c r="V283" s="4" t="s">
        <v>3057</v>
      </c>
      <c r="W283" s="10">
        <f t="shared" si="89"/>
        <v>0</v>
      </c>
      <c r="X283" s="4">
        <v>0</v>
      </c>
      <c r="Y283" s="10">
        <f t="shared" si="90"/>
        <v>0</v>
      </c>
      <c r="Z283" s="4" t="s">
        <v>3057</v>
      </c>
      <c r="AA283" s="10">
        <f t="shared" si="91"/>
        <v>0</v>
      </c>
      <c r="AB283" s="4" t="s">
        <v>3057</v>
      </c>
      <c r="AC283" s="10">
        <f t="shared" si="92"/>
        <v>0</v>
      </c>
      <c r="AD283" s="4" t="s">
        <v>3057</v>
      </c>
      <c r="AE283" s="10">
        <f t="shared" si="93"/>
        <v>0</v>
      </c>
      <c r="AF283" s="4" t="s">
        <v>3057</v>
      </c>
      <c r="AG283" s="10">
        <f t="shared" si="94"/>
        <v>0</v>
      </c>
      <c r="AH283" s="4" t="s">
        <v>3057</v>
      </c>
      <c r="AI283" s="10">
        <f t="shared" si="95"/>
        <v>0</v>
      </c>
      <c r="AJ283" s="4" t="s">
        <v>3057</v>
      </c>
      <c r="AK283" s="10">
        <f t="shared" si="96"/>
        <v>0</v>
      </c>
      <c r="AL283" s="4" t="s">
        <v>3057</v>
      </c>
      <c r="AM283" s="10">
        <f t="shared" si="97"/>
        <v>0</v>
      </c>
      <c r="AN283" s="5">
        <f t="shared" si="98"/>
        <v>0</v>
      </c>
      <c r="AO283" s="6" t="str">
        <f t="shared" si="99"/>
        <v>0</v>
      </c>
    </row>
    <row r="284" spans="1:41" x14ac:dyDescent="0.25">
      <c r="A284" t="s">
        <v>2646</v>
      </c>
      <c r="B284" t="s">
        <v>2647</v>
      </c>
      <c r="C284" t="e">
        <f>_xlfn.XLOOKUP(A284,Fore!A:A,Fore!AC:AC)</f>
        <v>#DIV/0!</v>
      </c>
      <c r="D284" s="4" t="s">
        <v>3057</v>
      </c>
      <c r="E284" s="10" t="str">
        <f t="shared" si="80"/>
        <v>0</v>
      </c>
      <c r="F284" s="4" t="s">
        <v>3057</v>
      </c>
      <c r="G284" s="10">
        <f t="shared" si="81"/>
        <v>0</v>
      </c>
      <c r="H284" s="4" t="s">
        <v>3057</v>
      </c>
      <c r="I284" s="10">
        <f t="shared" si="82"/>
        <v>0</v>
      </c>
      <c r="J284" s="4" t="s">
        <v>3057</v>
      </c>
      <c r="K284" s="10">
        <f t="shared" si="83"/>
        <v>0</v>
      </c>
      <c r="L284" s="4" t="s">
        <v>3057</v>
      </c>
      <c r="M284" s="10">
        <f t="shared" si="84"/>
        <v>0</v>
      </c>
      <c r="N284" s="4" t="s">
        <v>3057</v>
      </c>
      <c r="O284" s="10">
        <f t="shared" si="85"/>
        <v>0</v>
      </c>
      <c r="P284" s="4" t="s">
        <v>3057</v>
      </c>
      <c r="Q284" s="10">
        <f t="shared" si="86"/>
        <v>0</v>
      </c>
      <c r="R284" s="4" t="s">
        <v>3057</v>
      </c>
      <c r="S284" s="10">
        <f t="shared" si="87"/>
        <v>0</v>
      </c>
      <c r="T284" s="4" t="s">
        <v>3057</v>
      </c>
      <c r="U284" s="10">
        <f t="shared" si="88"/>
        <v>0</v>
      </c>
      <c r="V284" s="4" t="s">
        <v>3057</v>
      </c>
      <c r="W284" s="10">
        <f t="shared" si="89"/>
        <v>0</v>
      </c>
      <c r="X284" s="4">
        <v>0</v>
      </c>
      <c r="Y284" s="10">
        <f t="shared" si="90"/>
        <v>0</v>
      </c>
      <c r="Z284" s="4" t="s">
        <v>3057</v>
      </c>
      <c r="AA284" s="10">
        <f t="shared" si="91"/>
        <v>0</v>
      </c>
      <c r="AB284" s="4" t="s">
        <v>3057</v>
      </c>
      <c r="AC284" s="10">
        <f t="shared" si="92"/>
        <v>0</v>
      </c>
      <c r="AD284" s="4" t="s">
        <v>3057</v>
      </c>
      <c r="AE284" s="10">
        <f t="shared" si="93"/>
        <v>0</v>
      </c>
      <c r="AF284" s="4" t="s">
        <v>3057</v>
      </c>
      <c r="AG284" s="10">
        <f t="shared" si="94"/>
        <v>0</v>
      </c>
      <c r="AH284" s="4" t="s">
        <v>3057</v>
      </c>
      <c r="AI284" s="10">
        <f t="shared" si="95"/>
        <v>0</v>
      </c>
      <c r="AJ284" s="4" t="s">
        <v>3057</v>
      </c>
      <c r="AK284" s="10">
        <f t="shared" si="96"/>
        <v>0</v>
      </c>
      <c r="AL284" s="4" t="s">
        <v>3057</v>
      </c>
      <c r="AM284" s="10">
        <f t="shared" si="97"/>
        <v>0</v>
      </c>
      <c r="AN284" s="5">
        <f t="shared" si="98"/>
        <v>0</v>
      </c>
      <c r="AO284" s="6" t="str">
        <f t="shared" si="99"/>
        <v>0</v>
      </c>
    </row>
    <row r="285" spans="1:41" x14ac:dyDescent="0.25">
      <c r="A285" t="s">
        <v>2648</v>
      </c>
      <c r="B285" t="s">
        <v>2649</v>
      </c>
      <c r="C285" t="e">
        <f>_xlfn.XLOOKUP(A285,Fore!A:A,Fore!AC:AC)</f>
        <v>#DIV/0!</v>
      </c>
      <c r="D285" s="4" t="s">
        <v>3057</v>
      </c>
      <c r="E285" s="10" t="str">
        <f t="shared" si="80"/>
        <v>0</v>
      </c>
      <c r="F285" s="4" t="s">
        <v>3057</v>
      </c>
      <c r="G285" s="10">
        <f t="shared" si="81"/>
        <v>0</v>
      </c>
      <c r="H285" s="4" t="s">
        <v>3057</v>
      </c>
      <c r="I285" s="10">
        <f t="shared" si="82"/>
        <v>0</v>
      </c>
      <c r="J285" s="4" t="s">
        <v>3057</v>
      </c>
      <c r="K285" s="10">
        <f t="shared" si="83"/>
        <v>0</v>
      </c>
      <c r="L285" s="4" t="s">
        <v>3057</v>
      </c>
      <c r="M285" s="10">
        <f t="shared" si="84"/>
        <v>0</v>
      </c>
      <c r="N285" s="4" t="s">
        <v>3057</v>
      </c>
      <c r="O285" s="10">
        <f t="shared" si="85"/>
        <v>0</v>
      </c>
      <c r="P285" s="4" t="s">
        <v>3057</v>
      </c>
      <c r="Q285" s="10">
        <f t="shared" si="86"/>
        <v>0</v>
      </c>
      <c r="R285" s="4" t="s">
        <v>3057</v>
      </c>
      <c r="S285" s="10">
        <f t="shared" si="87"/>
        <v>0</v>
      </c>
      <c r="T285" s="4" t="s">
        <v>3057</v>
      </c>
      <c r="U285" s="10">
        <f t="shared" si="88"/>
        <v>0</v>
      </c>
      <c r="V285" s="4" t="s">
        <v>3057</v>
      </c>
      <c r="W285" s="10">
        <f t="shared" si="89"/>
        <v>0</v>
      </c>
      <c r="X285" s="4">
        <v>0</v>
      </c>
      <c r="Y285" s="10">
        <f t="shared" si="90"/>
        <v>0</v>
      </c>
      <c r="Z285" s="4" t="s">
        <v>3057</v>
      </c>
      <c r="AA285" s="10">
        <f t="shared" si="91"/>
        <v>0</v>
      </c>
      <c r="AB285" s="4" t="s">
        <v>3057</v>
      </c>
      <c r="AC285" s="10">
        <f t="shared" si="92"/>
        <v>0</v>
      </c>
      <c r="AD285" s="4" t="s">
        <v>3057</v>
      </c>
      <c r="AE285" s="10">
        <f t="shared" si="93"/>
        <v>0</v>
      </c>
      <c r="AF285" s="4" t="s">
        <v>3057</v>
      </c>
      <c r="AG285" s="10">
        <f t="shared" si="94"/>
        <v>0</v>
      </c>
      <c r="AH285" s="4" t="s">
        <v>3057</v>
      </c>
      <c r="AI285" s="10">
        <f t="shared" si="95"/>
        <v>0</v>
      </c>
      <c r="AJ285" s="4" t="s">
        <v>3057</v>
      </c>
      <c r="AK285" s="10">
        <f t="shared" si="96"/>
        <v>0</v>
      </c>
      <c r="AL285" s="4" t="s">
        <v>3057</v>
      </c>
      <c r="AM285" s="10">
        <f t="shared" si="97"/>
        <v>0</v>
      </c>
      <c r="AN285" s="5">
        <f t="shared" si="98"/>
        <v>0</v>
      </c>
      <c r="AO285" s="6" t="str">
        <f t="shared" si="99"/>
        <v>0</v>
      </c>
    </row>
    <row r="286" spans="1:41" x14ac:dyDescent="0.25">
      <c r="A286" t="s">
        <v>2650</v>
      </c>
      <c r="B286" t="s">
        <v>2651</v>
      </c>
      <c r="C286" t="e">
        <f>_xlfn.XLOOKUP(A286,Fore!A:A,Fore!AC:AC)</f>
        <v>#DIV/0!</v>
      </c>
      <c r="D286" s="4" t="s">
        <v>3057</v>
      </c>
      <c r="E286" s="10" t="str">
        <f t="shared" si="80"/>
        <v>0</v>
      </c>
      <c r="F286" s="4" t="s">
        <v>3057</v>
      </c>
      <c r="G286" s="10">
        <f t="shared" si="81"/>
        <v>0</v>
      </c>
      <c r="H286" s="4" t="s">
        <v>3057</v>
      </c>
      <c r="I286" s="10">
        <f t="shared" si="82"/>
        <v>0</v>
      </c>
      <c r="J286" s="4" t="s">
        <v>3057</v>
      </c>
      <c r="K286" s="10">
        <f t="shared" si="83"/>
        <v>0</v>
      </c>
      <c r="L286" s="4" t="s">
        <v>3057</v>
      </c>
      <c r="M286" s="10">
        <f t="shared" si="84"/>
        <v>0</v>
      </c>
      <c r="N286" s="4" t="s">
        <v>3057</v>
      </c>
      <c r="O286" s="10">
        <f t="shared" si="85"/>
        <v>0</v>
      </c>
      <c r="P286" s="4" t="s">
        <v>3057</v>
      </c>
      <c r="Q286" s="10">
        <f t="shared" si="86"/>
        <v>0</v>
      </c>
      <c r="R286" s="4" t="s">
        <v>3057</v>
      </c>
      <c r="S286" s="10">
        <f t="shared" si="87"/>
        <v>0</v>
      </c>
      <c r="T286" s="4" t="s">
        <v>3057</v>
      </c>
      <c r="U286" s="10">
        <f t="shared" si="88"/>
        <v>0</v>
      </c>
      <c r="V286" s="4" t="s">
        <v>3057</v>
      </c>
      <c r="W286" s="10">
        <f t="shared" si="89"/>
        <v>0</v>
      </c>
      <c r="X286" s="4">
        <v>0</v>
      </c>
      <c r="Y286" s="10">
        <f t="shared" si="90"/>
        <v>0</v>
      </c>
      <c r="Z286" s="4" t="s">
        <v>3057</v>
      </c>
      <c r="AA286" s="10">
        <f t="shared" si="91"/>
        <v>0</v>
      </c>
      <c r="AB286" s="4" t="s">
        <v>3057</v>
      </c>
      <c r="AC286" s="10">
        <f t="shared" si="92"/>
        <v>0</v>
      </c>
      <c r="AD286" s="4" t="s">
        <v>3057</v>
      </c>
      <c r="AE286" s="10">
        <f t="shared" si="93"/>
        <v>0</v>
      </c>
      <c r="AF286" s="4" t="s">
        <v>3057</v>
      </c>
      <c r="AG286" s="10">
        <f t="shared" si="94"/>
        <v>0</v>
      </c>
      <c r="AH286" s="4" t="s">
        <v>3057</v>
      </c>
      <c r="AI286" s="10">
        <f t="shared" si="95"/>
        <v>0</v>
      </c>
      <c r="AJ286" s="4" t="s">
        <v>3057</v>
      </c>
      <c r="AK286" s="10">
        <f t="shared" si="96"/>
        <v>0</v>
      </c>
      <c r="AL286" s="4" t="s">
        <v>3057</v>
      </c>
      <c r="AM286" s="10">
        <f t="shared" si="97"/>
        <v>0</v>
      </c>
      <c r="AN286" s="5">
        <f t="shared" si="98"/>
        <v>0</v>
      </c>
      <c r="AO286" s="6" t="str">
        <f t="shared" si="99"/>
        <v>0</v>
      </c>
    </row>
    <row r="287" spans="1:41" x14ac:dyDescent="0.25">
      <c r="A287" t="s">
        <v>2652</v>
      </c>
      <c r="B287" t="s">
        <v>2653</v>
      </c>
      <c r="C287" t="e">
        <f>_xlfn.XLOOKUP(A287,Fore!A:A,Fore!AC:AC)</f>
        <v>#DIV/0!</v>
      </c>
      <c r="D287" s="4" t="s">
        <v>3057</v>
      </c>
      <c r="E287" s="10" t="str">
        <f t="shared" si="80"/>
        <v>0</v>
      </c>
      <c r="F287" s="4" t="s">
        <v>3057</v>
      </c>
      <c r="G287" s="10">
        <f t="shared" si="81"/>
        <v>0</v>
      </c>
      <c r="H287" s="4" t="s">
        <v>3057</v>
      </c>
      <c r="I287" s="10">
        <f t="shared" si="82"/>
        <v>0</v>
      </c>
      <c r="J287" s="4" t="s">
        <v>3057</v>
      </c>
      <c r="K287" s="10">
        <f t="shared" si="83"/>
        <v>0</v>
      </c>
      <c r="L287" s="4" t="s">
        <v>3057</v>
      </c>
      <c r="M287" s="10">
        <f t="shared" si="84"/>
        <v>0</v>
      </c>
      <c r="N287" s="4" t="s">
        <v>3057</v>
      </c>
      <c r="O287" s="10">
        <f t="shared" si="85"/>
        <v>0</v>
      </c>
      <c r="P287" s="4" t="s">
        <v>3057</v>
      </c>
      <c r="Q287" s="10">
        <f t="shared" si="86"/>
        <v>0</v>
      </c>
      <c r="R287" s="4" t="s">
        <v>3057</v>
      </c>
      <c r="S287" s="10">
        <f t="shared" si="87"/>
        <v>0</v>
      </c>
      <c r="T287" s="4" t="s">
        <v>3057</v>
      </c>
      <c r="U287" s="10">
        <f t="shared" si="88"/>
        <v>0</v>
      </c>
      <c r="V287" s="4" t="s">
        <v>3057</v>
      </c>
      <c r="W287" s="10">
        <f t="shared" si="89"/>
        <v>0</v>
      </c>
      <c r="X287" s="4">
        <v>0</v>
      </c>
      <c r="Y287" s="10">
        <f t="shared" si="90"/>
        <v>0</v>
      </c>
      <c r="Z287" s="4" t="s">
        <v>3057</v>
      </c>
      <c r="AA287" s="10">
        <f t="shared" si="91"/>
        <v>0</v>
      </c>
      <c r="AB287" s="4" t="s">
        <v>3057</v>
      </c>
      <c r="AC287" s="10">
        <f t="shared" si="92"/>
        <v>0</v>
      </c>
      <c r="AD287" s="4" t="s">
        <v>3057</v>
      </c>
      <c r="AE287" s="10">
        <f t="shared" si="93"/>
        <v>0</v>
      </c>
      <c r="AF287" s="4" t="s">
        <v>3057</v>
      </c>
      <c r="AG287" s="10">
        <f t="shared" si="94"/>
        <v>0</v>
      </c>
      <c r="AH287" s="4" t="s">
        <v>3057</v>
      </c>
      <c r="AI287" s="10">
        <f t="shared" si="95"/>
        <v>0</v>
      </c>
      <c r="AJ287" s="4" t="s">
        <v>3057</v>
      </c>
      <c r="AK287" s="10">
        <f t="shared" si="96"/>
        <v>0</v>
      </c>
      <c r="AL287" s="4" t="s">
        <v>3057</v>
      </c>
      <c r="AM287" s="10">
        <f t="shared" si="97"/>
        <v>0</v>
      </c>
      <c r="AN287" s="5">
        <f t="shared" si="98"/>
        <v>0</v>
      </c>
      <c r="AO287" s="6" t="str">
        <f t="shared" si="99"/>
        <v>0</v>
      </c>
    </row>
    <row r="288" spans="1:41" x14ac:dyDescent="0.25">
      <c r="A288" t="s">
        <v>2676</v>
      </c>
      <c r="B288" t="s">
        <v>2677</v>
      </c>
      <c r="C288" t="e">
        <f>_xlfn.XLOOKUP(A288,Fore!A:A,Fore!AC:AC)</f>
        <v>#DIV/0!</v>
      </c>
      <c r="D288" s="4" t="s">
        <v>3057</v>
      </c>
      <c r="E288" s="10" t="str">
        <f t="shared" si="80"/>
        <v>0</v>
      </c>
      <c r="F288" s="4" t="s">
        <v>3057</v>
      </c>
      <c r="G288" s="10">
        <f t="shared" si="81"/>
        <v>0</v>
      </c>
      <c r="H288" s="4" t="s">
        <v>3057</v>
      </c>
      <c r="I288" s="10">
        <f t="shared" si="82"/>
        <v>0</v>
      </c>
      <c r="J288" s="4" t="s">
        <v>3057</v>
      </c>
      <c r="K288" s="10">
        <f t="shared" si="83"/>
        <v>0</v>
      </c>
      <c r="L288" s="4" t="s">
        <v>3057</v>
      </c>
      <c r="M288" s="10">
        <f t="shared" si="84"/>
        <v>0</v>
      </c>
      <c r="N288" s="4" t="s">
        <v>3057</v>
      </c>
      <c r="O288" s="10">
        <f t="shared" si="85"/>
        <v>0</v>
      </c>
      <c r="P288" s="4" t="s">
        <v>3057</v>
      </c>
      <c r="Q288" s="10">
        <f t="shared" si="86"/>
        <v>0</v>
      </c>
      <c r="R288" s="4" t="s">
        <v>3057</v>
      </c>
      <c r="S288" s="10">
        <f t="shared" si="87"/>
        <v>0</v>
      </c>
      <c r="T288" s="4" t="s">
        <v>3057</v>
      </c>
      <c r="U288" s="10">
        <f t="shared" si="88"/>
        <v>0</v>
      </c>
      <c r="V288" s="4" t="s">
        <v>3057</v>
      </c>
      <c r="W288" s="10">
        <f t="shared" si="89"/>
        <v>0</v>
      </c>
      <c r="X288" s="4">
        <v>0</v>
      </c>
      <c r="Y288" s="10">
        <f t="shared" si="90"/>
        <v>0</v>
      </c>
      <c r="Z288" s="4" t="s">
        <v>3057</v>
      </c>
      <c r="AA288" s="10">
        <f t="shared" si="91"/>
        <v>0</v>
      </c>
      <c r="AB288" s="4" t="s">
        <v>3057</v>
      </c>
      <c r="AC288" s="10">
        <f t="shared" si="92"/>
        <v>0</v>
      </c>
      <c r="AD288" s="4" t="s">
        <v>3057</v>
      </c>
      <c r="AE288" s="10">
        <f t="shared" si="93"/>
        <v>0</v>
      </c>
      <c r="AF288" s="4" t="s">
        <v>3057</v>
      </c>
      <c r="AG288" s="10">
        <f t="shared" si="94"/>
        <v>0</v>
      </c>
      <c r="AH288" s="4" t="s">
        <v>3057</v>
      </c>
      <c r="AI288" s="10">
        <f t="shared" si="95"/>
        <v>0</v>
      </c>
      <c r="AJ288" s="4" t="s">
        <v>3057</v>
      </c>
      <c r="AK288" s="10">
        <f t="shared" si="96"/>
        <v>0</v>
      </c>
      <c r="AL288" s="4" t="s">
        <v>3057</v>
      </c>
      <c r="AM288" s="10">
        <f t="shared" si="97"/>
        <v>0</v>
      </c>
      <c r="AN288" s="5">
        <f t="shared" si="98"/>
        <v>0</v>
      </c>
      <c r="AO288" s="6" t="str">
        <f t="shared" si="99"/>
        <v>0</v>
      </c>
    </row>
    <row r="289" spans="1:41" x14ac:dyDescent="0.25">
      <c r="A289" t="s">
        <v>2678</v>
      </c>
      <c r="B289" t="s">
        <v>2679</v>
      </c>
      <c r="C289" t="e">
        <f>_xlfn.XLOOKUP(A289,Fore!A:A,Fore!AC:AC)</f>
        <v>#DIV/0!</v>
      </c>
      <c r="D289" s="4" t="s">
        <v>3057</v>
      </c>
      <c r="E289" s="10" t="str">
        <f t="shared" si="80"/>
        <v>0</v>
      </c>
      <c r="F289" s="4" t="s">
        <v>3057</v>
      </c>
      <c r="G289" s="10">
        <f t="shared" si="81"/>
        <v>0</v>
      </c>
      <c r="H289" s="4" t="s">
        <v>3057</v>
      </c>
      <c r="I289" s="10">
        <f t="shared" si="82"/>
        <v>0</v>
      </c>
      <c r="J289" s="4" t="s">
        <v>3057</v>
      </c>
      <c r="K289" s="10">
        <f t="shared" si="83"/>
        <v>0</v>
      </c>
      <c r="L289" s="4" t="s">
        <v>3057</v>
      </c>
      <c r="M289" s="10">
        <f t="shared" si="84"/>
        <v>0</v>
      </c>
      <c r="N289" s="4" t="s">
        <v>3057</v>
      </c>
      <c r="O289" s="10">
        <f t="shared" si="85"/>
        <v>0</v>
      </c>
      <c r="P289" s="4" t="s">
        <v>3057</v>
      </c>
      <c r="Q289" s="10">
        <f t="shared" si="86"/>
        <v>0</v>
      </c>
      <c r="R289" s="4" t="s">
        <v>3057</v>
      </c>
      <c r="S289" s="10">
        <f t="shared" si="87"/>
        <v>0</v>
      </c>
      <c r="T289" s="4" t="s">
        <v>3057</v>
      </c>
      <c r="U289" s="10">
        <f t="shared" si="88"/>
        <v>0</v>
      </c>
      <c r="V289" s="4" t="s">
        <v>3057</v>
      </c>
      <c r="W289" s="10">
        <f t="shared" si="89"/>
        <v>0</v>
      </c>
      <c r="X289" s="4">
        <v>0</v>
      </c>
      <c r="Y289" s="10">
        <f t="shared" si="90"/>
        <v>0</v>
      </c>
      <c r="Z289" s="4" t="s">
        <v>3057</v>
      </c>
      <c r="AA289" s="10">
        <f t="shared" si="91"/>
        <v>0</v>
      </c>
      <c r="AB289" s="4" t="s">
        <v>3057</v>
      </c>
      <c r="AC289" s="10">
        <f t="shared" si="92"/>
        <v>0</v>
      </c>
      <c r="AD289" s="4" t="s">
        <v>3057</v>
      </c>
      <c r="AE289" s="10">
        <f t="shared" si="93"/>
        <v>0</v>
      </c>
      <c r="AF289" s="4" t="s">
        <v>3057</v>
      </c>
      <c r="AG289" s="10">
        <f t="shared" si="94"/>
        <v>0</v>
      </c>
      <c r="AH289" s="4" t="s">
        <v>3057</v>
      </c>
      <c r="AI289" s="10">
        <f t="shared" si="95"/>
        <v>0</v>
      </c>
      <c r="AJ289" s="4" t="s">
        <v>3057</v>
      </c>
      <c r="AK289" s="10">
        <f t="shared" si="96"/>
        <v>0</v>
      </c>
      <c r="AL289" s="4" t="s">
        <v>3057</v>
      </c>
      <c r="AM289" s="10">
        <f t="shared" si="97"/>
        <v>0</v>
      </c>
      <c r="AN289" s="5">
        <f t="shared" si="98"/>
        <v>0</v>
      </c>
      <c r="AO289" s="6" t="str">
        <f t="shared" si="99"/>
        <v>0</v>
      </c>
    </row>
    <row r="290" spans="1:41" x14ac:dyDescent="0.25">
      <c r="A290" t="s">
        <v>2680</v>
      </c>
      <c r="B290" t="s">
        <v>2681</v>
      </c>
      <c r="C290" t="e">
        <f>_xlfn.XLOOKUP(A290,Fore!A:A,Fore!AC:AC)</f>
        <v>#DIV/0!</v>
      </c>
      <c r="D290" s="4" t="s">
        <v>3057</v>
      </c>
      <c r="E290" s="10" t="str">
        <f t="shared" si="80"/>
        <v>0</v>
      </c>
      <c r="F290" s="4" t="s">
        <v>3057</v>
      </c>
      <c r="G290" s="10">
        <f t="shared" si="81"/>
        <v>0</v>
      </c>
      <c r="H290" s="4" t="s">
        <v>3057</v>
      </c>
      <c r="I290" s="10">
        <f t="shared" si="82"/>
        <v>0</v>
      </c>
      <c r="J290" s="4" t="s">
        <v>3057</v>
      </c>
      <c r="K290" s="10">
        <f t="shared" si="83"/>
        <v>0</v>
      </c>
      <c r="L290" s="4" t="s">
        <v>3057</v>
      </c>
      <c r="M290" s="10">
        <f t="shared" si="84"/>
        <v>0</v>
      </c>
      <c r="N290" s="4" t="s">
        <v>3057</v>
      </c>
      <c r="O290" s="10">
        <f t="shared" si="85"/>
        <v>0</v>
      </c>
      <c r="P290" s="4" t="s">
        <v>3057</v>
      </c>
      <c r="Q290" s="10">
        <f t="shared" si="86"/>
        <v>0</v>
      </c>
      <c r="R290" s="4" t="s">
        <v>3057</v>
      </c>
      <c r="S290" s="10">
        <f t="shared" si="87"/>
        <v>0</v>
      </c>
      <c r="T290" s="4" t="s">
        <v>3057</v>
      </c>
      <c r="U290" s="10">
        <f t="shared" si="88"/>
        <v>0</v>
      </c>
      <c r="V290" s="4" t="s">
        <v>3057</v>
      </c>
      <c r="W290" s="10">
        <f t="shared" si="89"/>
        <v>0</v>
      </c>
      <c r="X290" s="4">
        <v>0</v>
      </c>
      <c r="Y290" s="10">
        <f t="shared" si="90"/>
        <v>0</v>
      </c>
      <c r="Z290" s="4" t="s">
        <v>3057</v>
      </c>
      <c r="AA290" s="10">
        <f t="shared" si="91"/>
        <v>0</v>
      </c>
      <c r="AB290" s="4" t="s">
        <v>3057</v>
      </c>
      <c r="AC290" s="10">
        <f t="shared" si="92"/>
        <v>0</v>
      </c>
      <c r="AD290" s="4" t="s">
        <v>3057</v>
      </c>
      <c r="AE290" s="10">
        <f t="shared" si="93"/>
        <v>0</v>
      </c>
      <c r="AF290" s="4" t="s">
        <v>3057</v>
      </c>
      <c r="AG290" s="10">
        <f t="shared" si="94"/>
        <v>0</v>
      </c>
      <c r="AH290" s="4" t="s">
        <v>3057</v>
      </c>
      <c r="AI290" s="10">
        <f t="shared" si="95"/>
        <v>0</v>
      </c>
      <c r="AJ290" s="4" t="s">
        <v>3057</v>
      </c>
      <c r="AK290" s="10">
        <f t="shared" si="96"/>
        <v>0</v>
      </c>
      <c r="AL290" s="4" t="s">
        <v>3057</v>
      </c>
      <c r="AM290" s="10">
        <f t="shared" si="97"/>
        <v>0</v>
      </c>
      <c r="AN290" s="5">
        <f t="shared" si="98"/>
        <v>0</v>
      </c>
      <c r="AO290" s="6" t="str">
        <f t="shared" si="99"/>
        <v>0</v>
      </c>
    </row>
    <row r="291" spans="1:41" x14ac:dyDescent="0.25">
      <c r="A291" t="s">
        <v>2682</v>
      </c>
      <c r="B291" t="s">
        <v>2683</v>
      </c>
      <c r="C291" t="e">
        <f>_xlfn.XLOOKUP(A291,Fore!A:A,Fore!AC:AC)</f>
        <v>#DIV/0!</v>
      </c>
      <c r="D291" s="4" t="s">
        <v>3057</v>
      </c>
      <c r="E291" s="10" t="str">
        <f t="shared" si="80"/>
        <v>0</v>
      </c>
      <c r="F291" s="4" t="s">
        <v>3057</v>
      </c>
      <c r="G291" s="10">
        <f t="shared" si="81"/>
        <v>0</v>
      </c>
      <c r="H291" s="4" t="s">
        <v>3057</v>
      </c>
      <c r="I291" s="10">
        <f t="shared" si="82"/>
        <v>0</v>
      </c>
      <c r="J291" s="4" t="s">
        <v>3057</v>
      </c>
      <c r="K291" s="10">
        <f t="shared" si="83"/>
        <v>0</v>
      </c>
      <c r="L291" s="4" t="s">
        <v>3057</v>
      </c>
      <c r="M291" s="10">
        <f t="shared" si="84"/>
        <v>0</v>
      </c>
      <c r="N291" s="4" t="s">
        <v>3057</v>
      </c>
      <c r="O291" s="10">
        <f t="shared" si="85"/>
        <v>0</v>
      </c>
      <c r="P291" s="4" t="s">
        <v>3057</v>
      </c>
      <c r="Q291" s="10">
        <f t="shared" si="86"/>
        <v>0</v>
      </c>
      <c r="R291" s="4" t="s">
        <v>3057</v>
      </c>
      <c r="S291" s="10">
        <f t="shared" si="87"/>
        <v>0</v>
      </c>
      <c r="T291" s="4" t="s">
        <v>3057</v>
      </c>
      <c r="U291" s="10">
        <f t="shared" si="88"/>
        <v>0</v>
      </c>
      <c r="V291" s="4" t="s">
        <v>3057</v>
      </c>
      <c r="W291" s="10">
        <f t="shared" si="89"/>
        <v>0</v>
      </c>
      <c r="X291" s="4">
        <v>0</v>
      </c>
      <c r="Y291" s="10">
        <f t="shared" si="90"/>
        <v>0</v>
      </c>
      <c r="Z291" s="4" t="s">
        <v>3057</v>
      </c>
      <c r="AA291" s="10">
        <f t="shared" si="91"/>
        <v>0</v>
      </c>
      <c r="AB291" s="4" t="s">
        <v>3057</v>
      </c>
      <c r="AC291" s="10">
        <f t="shared" si="92"/>
        <v>0</v>
      </c>
      <c r="AD291" s="4" t="s">
        <v>3057</v>
      </c>
      <c r="AE291" s="10">
        <f t="shared" si="93"/>
        <v>0</v>
      </c>
      <c r="AF291" s="4" t="s">
        <v>3057</v>
      </c>
      <c r="AG291" s="10">
        <f t="shared" si="94"/>
        <v>0</v>
      </c>
      <c r="AH291" s="4" t="s">
        <v>3057</v>
      </c>
      <c r="AI291" s="10">
        <f t="shared" si="95"/>
        <v>0</v>
      </c>
      <c r="AJ291" s="4" t="s">
        <v>3057</v>
      </c>
      <c r="AK291" s="10">
        <f t="shared" si="96"/>
        <v>0</v>
      </c>
      <c r="AL291" s="4" t="s">
        <v>3057</v>
      </c>
      <c r="AM291" s="10">
        <f t="shared" si="97"/>
        <v>0</v>
      </c>
      <c r="AN291" s="5">
        <f t="shared" si="98"/>
        <v>0</v>
      </c>
      <c r="AO291" s="6" t="str">
        <f t="shared" si="99"/>
        <v>0</v>
      </c>
    </row>
    <row r="292" spans="1:41" x14ac:dyDescent="0.25">
      <c r="A292" t="s">
        <v>2687</v>
      </c>
      <c r="B292" t="s">
        <v>2688</v>
      </c>
      <c r="C292" t="e">
        <f>_xlfn.XLOOKUP(A292,Fore!A:A,Fore!AC:AC)</f>
        <v>#DIV/0!</v>
      </c>
      <c r="D292" s="4" t="s">
        <v>3057</v>
      </c>
      <c r="E292" s="10" t="str">
        <f t="shared" si="80"/>
        <v>0</v>
      </c>
      <c r="F292" s="4" t="s">
        <v>3057</v>
      </c>
      <c r="G292" s="10">
        <f t="shared" si="81"/>
        <v>0</v>
      </c>
      <c r="H292" s="4" t="s">
        <v>3057</v>
      </c>
      <c r="I292" s="10">
        <f t="shared" si="82"/>
        <v>0</v>
      </c>
      <c r="J292" s="4" t="s">
        <v>3057</v>
      </c>
      <c r="K292" s="10">
        <f t="shared" si="83"/>
        <v>0</v>
      </c>
      <c r="L292" s="4" t="s">
        <v>3057</v>
      </c>
      <c r="M292" s="10">
        <f t="shared" si="84"/>
        <v>0</v>
      </c>
      <c r="N292" s="4" t="s">
        <v>3057</v>
      </c>
      <c r="O292" s="10">
        <f t="shared" si="85"/>
        <v>0</v>
      </c>
      <c r="P292" s="4" t="s">
        <v>3057</v>
      </c>
      <c r="Q292" s="10">
        <f t="shared" si="86"/>
        <v>0</v>
      </c>
      <c r="R292" s="4" t="s">
        <v>3057</v>
      </c>
      <c r="S292" s="10">
        <f t="shared" si="87"/>
        <v>0</v>
      </c>
      <c r="T292" s="4" t="s">
        <v>3057</v>
      </c>
      <c r="U292" s="10">
        <f t="shared" si="88"/>
        <v>0</v>
      </c>
      <c r="V292" s="4" t="s">
        <v>3057</v>
      </c>
      <c r="W292" s="10">
        <f t="shared" si="89"/>
        <v>0</v>
      </c>
      <c r="X292" s="4">
        <v>0</v>
      </c>
      <c r="Y292" s="10">
        <f t="shared" si="90"/>
        <v>0</v>
      </c>
      <c r="Z292" s="4" t="s">
        <v>3057</v>
      </c>
      <c r="AA292" s="10">
        <f t="shared" si="91"/>
        <v>0</v>
      </c>
      <c r="AB292" s="4" t="s">
        <v>3057</v>
      </c>
      <c r="AC292" s="10">
        <f t="shared" si="92"/>
        <v>0</v>
      </c>
      <c r="AD292" s="4" t="s">
        <v>3057</v>
      </c>
      <c r="AE292" s="10">
        <f t="shared" si="93"/>
        <v>0</v>
      </c>
      <c r="AF292" s="4" t="s">
        <v>3057</v>
      </c>
      <c r="AG292" s="10">
        <f t="shared" si="94"/>
        <v>0</v>
      </c>
      <c r="AH292" s="4" t="s">
        <v>3057</v>
      </c>
      <c r="AI292" s="10">
        <f t="shared" si="95"/>
        <v>0</v>
      </c>
      <c r="AJ292" s="4" t="s">
        <v>3057</v>
      </c>
      <c r="AK292" s="10">
        <f t="shared" si="96"/>
        <v>0</v>
      </c>
      <c r="AL292" s="4" t="s">
        <v>3057</v>
      </c>
      <c r="AM292" s="10">
        <f t="shared" si="97"/>
        <v>0</v>
      </c>
      <c r="AN292" s="5">
        <f t="shared" si="98"/>
        <v>0</v>
      </c>
      <c r="AO292" s="6" t="str">
        <f t="shared" si="99"/>
        <v>0</v>
      </c>
    </row>
    <row r="293" spans="1:41" x14ac:dyDescent="0.25">
      <c r="A293" t="s">
        <v>2701</v>
      </c>
      <c r="B293" t="s">
        <v>2702</v>
      </c>
      <c r="C293" t="e">
        <f>_xlfn.XLOOKUP(A293,Fore!A:A,Fore!AC:AC)</f>
        <v>#DIV/0!</v>
      </c>
      <c r="D293" s="4" t="s">
        <v>3057</v>
      </c>
      <c r="E293" s="10" t="str">
        <f t="shared" si="80"/>
        <v>0</v>
      </c>
      <c r="F293" s="4" t="s">
        <v>3057</v>
      </c>
      <c r="G293" s="10">
        <f t="shared" si="81"/>
        <v>0</v>
      </c>
      <c r="H293" s="4" t="s">
        <v>3057</v>
      </c>
      <c r="I293" s="10">
        <f t="shared" si="82"/>
        <v>0</v>
      </c>
      <c r="J293" s="4" t="s">
        <v>3057</v>
      </c>
      <c r="K293" s="10">
        <f t="shared" si="83"/>
        <v>0</v>
      </c>
      <c r="L293" s="4" t="s">
        <v>3057</v>
      </c>
      <c r="M293" s="10">
        <f t="shared" si="84"/>
        <v>0</v>
      </c>
      <c r="N293" s="4" t="s">
        <v>3057</v>
      </c>
      <c r="O293" s="10">
        <f t="shared" si="85"/>
        <v>0</v>
      </c>
      <c r="P293" s="4" t="s">
        <v>3057</v>
      </c>
      <c r="Q293" s="10">
        <f t="shared" si="86"/>
        <v>0</v>
      </c>
      <c r="R293" s="4" t="s">
        <v>3057</v>
      </c>
      <c r="S293" s="10">
        <f t="shared" si="87"/>
        <v>0</v>
      </c>
      <c r="T293" s="4" t="s">
        <v>3057</v>
      </c>
      <c r="U293" s="10">
        <f t="shared" si="88"/>
        <v>0</v>
      </c>
      <c r="V293" s="4" t="s">
        <v>3057</v>
      </c>
      <c r="W293" s="10">
        <f t="shared" si="89"/>
        <v>0</v>
      </c>
      <c r="X293" s="4">
        <v>0</v>
      </c>
      <c r="Y293" s="10">
        <f t="shared" si="90"/>
        <v>0</v>
      </c>
      <c r="Z293" s="4" t="s">
        <v>3057</v>
      </c>
      <c r="AA293" s="10">
        <f t="shared" si="91"/>
        <v>0</v>
      </c>
      <c r="AB293" s="4" t="s">
        <v>3057</v>
      </c>
      <c r="AC293" s="10">
        <f t="shared" si="92"/>
        <v>0</v>
      </c>
      <c r="AD293" s="4" t="s">
        <v>3057</v>
      </c>
      <c r="AE293" s="10">
        <f t="shared" si="93"/>
        <v>0</v>
      </c>
      <c r="AF293" s="4" t="s">
        <v>3057</v>
      </c>
      <c r="AG293" s="10">
        <f t="shared" si="94"/>
        <v>0</v>
      </c>
      <c r="AH293" s="4" t="s">
        <v>3057</v>
      </c>
      <c r="AI293" s="10">
        <f t="shared" si="95"/>
        <v>0</v>
      </c>
      <c r="AJ293" s="4" t="s">
        <v>3057</v>
      </c>
      <c r="AK293" s="10">
        <f t="shared" si="96"/>
        <v>0</v>
      </c>
      <c r="AL293" s="4" t="s">
        <v>3057</v>
      </c>
      <c r="AM293" s="10">
        <f t="shared" si="97"/>
        <v>0</v>
      </c>
      <c r="AN293" s="5">
        <f t="shared" si="98"/>
        <v>0</v>
      </c>
      <c r="AO293" s="6" t="str">
        <f t="shared" si="99"/>
        <v>0</v>
      </c>
    </row>
    <row r="294" spans="1:41" x14ac:dyDescent="0.25">
      <c r="A294" t="s">
        <v>2703</v>
      </c>
      <c r="B294" t="s">
        <v>2704</v>
      </c>
      <c r="C294" t="e">
        <f>_xlfn.XLOOKUP(A294,Fore!A:A,Fore!AC:AC)</f>
        <v>#DIV/0!</v>
      </c>
      <c r="D294" s="4" t="s">
        <v>3057</v>
      </c>
      <c r="E294" s="10" t="str">
        <f t="shared" si="80"/>
        <v>0</v>
      </c>
      <c r="F294" s="4" t="s">
        <v>3057</v>
      </c>
      <c r="G294" s="10">
        <f t="shared" si="81"/>
        <v>0</v>
      </c>
      <c r="H294" s="4" t="s">
        <v>3057</v>
      </c>
      <c r="I294" s="10">
        <f t="shared" si="82"/>
        <v>0</v>
      </c>
      <c r="J294" s="4" t="s">
        <v>3057</v>
      </c>
      <c r="K294" s="10">
        <f t="shared" si="83"/>
        <v>0</v>
      </c>
      <c r="L294" s="4" t="s">
        <v>3057</v>
      </c>
      <c r="M294" s="10">
        <f t="shared" si="84"/>
        <v>0</v>
      </c>
      <c r="N294" s="4" t="s">
        <v>3057</v>
      </c>
      <c r="O294" s="10">
        <f t="shared" si="85"/>
        <v>0</v>
      </c>
      <c r="P294" s="4" t="s">
        <v>3057</v>
      </c>
      <c r="Q294" s="10">
        <f t="shared" si="86"/>
        <v>0</v>
      </c>
      <c r="R294" s="4" t="s">
        <v>3057</v>
      </c>
      <c r="S294" s="10">
        <f t="shared" si="87"/>
        <v>0</v>
      </c>
      <c r="T294" s="4" t="s">
        <v>3057</v>
      </c>
      <c r="U294" s="10">
        <f t="shared" si="88"/>
        <v>0</v>
      </c>
      <c r="V294" s="4" t="s">
        <v>3057</v>
      </c>
      <c r="W294" s="10">
        <f t="shared" si="89"/>
        <v>0</v>
      </c>
      <c r="X294" s="4">
        <v>0</v>
      </c>
      <c r="Y294" s="10">
        <f t="shared" si="90"/>
        <v>0</v>
      </c>
      <c r="Z294" s="4" t="s">
        <v>3057</v>
      </c>
      <c r="AA294" s="10">
        <f t="shared" si="91"/>
        <v>0</v>
      </c>
      <c r="AB294" s="4" t="s">
        <v>3057</v>
      </c>
      <c r="AC294" s="10">
        <f t="shared" si="92"/>
        <v>0</v>
      </c>
      <c r="AD294" s="4" t="s">
        <v>3057</v>
      </c>
      <c r="AE294" s="10">
        <f t="shared" si="93"/>
        <v>0</v>
      </c>
      <c r="AF294" s="4" t="s">
        <v>3057</v>
      </c>
      <c r="AG294" s="10">
        <f t="shared" si="94"/>
        <v>0</v>
      </c>
      <c r="AH294" s="4" t="s">
        <v>3057</v>
      </c>
      <c r="AI294" s="10">
        <f t="shared" si="95"/>
        <v>0</v>
      </c>
      <c r="AJ294" s="4" t="s">
        <v>3057</v>
      </c>
      <c r="AK294" s="10">
        <f t="shared" si="96"/>
        <v>0</v>
      </c>
      <c r="AL294" s="4" t="s">
        <v>3057</v>
      </c>
      <c r="AM294" s="10">
        <f t="shared" si="97"/>
        <v>0</v>
      </c>
      <c r="AN294" s="5">
        <f t="shared" si="98"/>
        <v>0</v>
      </c>
      <c r="AO294" s="6" t="str">
        <f t="shared" si="99"/>
        <v>0</v>
      </c>
    </row>
    <row r="295" spans="1:41" x14ac:dyDescent="0.25">
      <c r="A295" t="s">
        <v>2705</v>
      </c>
      <c r="B295" t="s">
        <v>2706</v>
      </c>
      <c r="C295" t="e">
        <f>_xlfn.XLOOKUP(A295,Fore!A:A,Fore!AC:AC)</f>
        <v>#DIV/0!</v>
      </c>
      <c r="D295" s="4" t="s">
        <v>3057</v>
      </c>
      <c r="E295" s="10" t="str">
        <f t="shared" si="80"/>
        <v>0</v>
      </c>
      <c r="F295" s="4" t="s">
        <v>3057</v>
      </c>
      <c r="G295" s="10">
        <f t="shared" si="81"/>
        <v>0</v>
      </c>
      <c r="H295" s="4" t="s">
        <v>3057</v>
      </c>
      <c r="I295" s="10">
        <f t="shared" si="82"/>
        <v>0</v>
      </c>
      <c r="J295" s="4" t="s">
        <v>3057</v>
      </c>
      <c r="K295" s="10">
        <f t="shared" si="83"/>
        <v>0</v>
      </c>
      <c r="L295" s="4" t="s">
        <v>3057</v>
      </c>
      <c r="M295" s="10">
        <f t="shared" si="84"/>
        <v>0</v>
      </c>
      <c r="N295" s="4" t="s">
        <v>3057</v>
      </c>
      <c r="O295" s="10">
        <f t="shared" si="85"/>
        <v>0</v>
      </c>
      <c r="P295" s="4" t="s">
        <v>3057</v>
      </c>
      <c r="Q295" s="10">
        <f t="shared" si="86"/>
        <v>0</v>
      </c>
      <c r="R295" s="4" t="s">
        <v>3057</v>
      </c>
      <c r="S295" s="10">
        <f t="shared" si="87"/>
        <v>0</v>
      </c>
      <c r="T295" s="4" t="s">
        <v>3057</v>
      </c>
      <c r="U295" s="10">
        <f t="shared" si="88"/>
        <v>0</v>
      </c>
      <c r="V295" s="4" t="s">
        <v>3057</v>
      </c>
      <c r="W295" s="10">
        <f t="shared" si="89"/>
        <v>0</v>
      </c>
      <c r="X295" s="4">
        <v>0</v>
      </c>
      <c r="Y295" s="10">
        <f t="shared" si="90"/>
        <v>0</v>
      </c>
      <c r="Z295" s="4" t="s">
        <v>3057</v>
      </c>
      <c r="AA295" s="10">
        <f t="shared" si="91"/>
        <v>0</v>
      </c>
      <c r="AB295" s="4" t="s">
        <v>3057</v>
      </c>
      <c r="AC295" s="10">
        <f t="shared" si="92"/>
        <v>0</v>
      </c>
      <c r="AD295" s="4" t="s">
        <v>3057</v>
      </c>
      <c r="AE295" s="10">
        <f t="shared" si="93"/>
        <v>0</v>
      </c>
      <c r="AF295" s="4" t="s">
        <v>3057</v>
      </c>
      <c r="AG295" s="10">
        <f t="shared" si="94"/>
        <v>0</v>
      </c>
      <c r="AH295" s="4" t="s">
        <v>3057</v>
      </c>
      <c r="AI295" s="10">
        <f t="shared" si="95"/>
        <v>0</v>
      </c>
      <c r="AJ295" s="4" t="s">
        <v>3057</v>
      </c>
      <c r="AK295" s="10">
        <f t="shared" si="96"/>
        <v>0</v>
      </c>
      <c r="AL295" s="4" t="s">
        <v>3057</v>
      </c>
      <c r="AM295" s="10">
        <f t="shared" si="97"/>
        <v>0</v>
      </c>
      <c r="AN295" s="5">
        <f t="shared" si="98"/>
        <v>0</v>
      </c>
      <c r="AO295" s="6" t="str">
        <f t="shared" si="99"/>
        <v>0</v>
      </c>
    </row>
    <row r="296" spans="1:41" x14ac:dyDescent="0.25">
      <c r="A296" t="s">
        <v>2720</v>
      </c>
      <c r="B296" t="s">
        <v>2721</v>
      </c>
      <c r="C296" t="e">
        <f>_xlfn.XLOOKUP(A296,Fore!A:A,Fore!AC:AC)</f>
        <v>#DIV/0!</v>
      </c>
      <c r="D296" s="4" t="s">
        <v>3057</v>
      </c>
      <c r="E296" s="10" t="str">
        <f t="shared" si="80"/>
        <v>0</v>
      </c>
      <c r="F296" s="4" t="s">
        <v>3057</v>
      </c>
      <c r="G296" s="10">
        <f t="shared" si="81"/>
        <v>0</v>
      </c>
      <c r="H296" s="4" t="s">
        <v>3057</v>
      </c>
      <c r="I296" s="10">
        <f t="shared" si="82"/>
        <v>0</v>
      </c>
      <c r="J296" s="4" t="s">
        <v>3057</v>
      </c>
      <c r="K296" s="10">
        <f t="shared" si="83"/>
        <v>0</v>
      </c>
      <c r="L296" s="4" t="s">
        <v>3057</v>
      </c>
      <c r="M296" s="10">
        <f t="shared" si="84"/>
        <v>0</v>
      </c>
      <c r="N296" s="4" t="s">
        <v>3057</v>
      </c>
      <c r="O296" s="10">
        <f t="shared" si="85"/>
        <v>0</v>
      </c>
      <c r="P296" s="4" t="s">
        <v>3057</v>
      </c>
      <c r="Q296" s="10">
        <f t="shared" si="86"/>
        <v>0</v>
      </c>
      <c r="R296" s="4" t="s">
        <v>3057</v>
      </c>
      <c r="S296" s="10">
        <f t="shared" si="87"/>
        <v>0</v>
      </c>
      <c r="T296" s="4" t="s">
        <v>3057</v>
      </c>
      <c r="U296" s="10">
        <f t="shared" si="88"/>
        <v>0</v>
      </c>
      <c r="V296" s="4" t="s">
        <v>3057</v>
      </c>
      <c r="W296" s="10">
        <f t="shared" si="89"/>
        <v>0</v>
      </c>
      <c r="X296" s="4">
        <v>0</v>
      </c>
      <c r="Y296" s="10">
        <f t="shared" si="90"/>
        <v>0</v>
      </c>
      <c r="Z296" s="4" t="s">
        <v>3057</v>
      </c>
      <c r="AA296" s="10">
        <f t="shared" si="91"/>
        <v>0</v>
      </c>
      <c r="AB296" s="4" t="s">
        <v>3057</v>
      </c>
      <c r="AC296" s="10">
        <f t="shared" si="92"/>
        <v>0</v>
      </c>
      <c r="AD296" s="4" t="s">
        <v>3057</v>
      </c>
      <c r="AE296" s="10">
        <f t="shared" si="93"/>
        <v>0</v>
      </c>
      <c r="AF296" s="4" t="s">
        <v>3057</v>
      </c>
      <c r="AG296" s="10">
        <f t="shared" si="94"/>
        <v>0</v>
      </c>
      <c r="AH296" s="4" t="s">
        <v>3057</v>
      </c>
      <c r="AI296" s="10">
        <f t="shared" si="95"/>
        <v>0</v>
      </c>
      <c r="AJ296" s="4" t="s">
        <v>3057</v>
      </c>
      <c r="AK296" s="10">
        <f t="shared" si="96"/>
        <v>0</v>
      </c>
      <c r="AL296" s="4" t="s">
        <v>3057</v>
      </c>
      <c r="AM296" s="10">
        <f t="shared" si="97"/>
        <v>0</v>
      </c>
      <c r="AN296" s="5">
        <f t="shared" si="98"/>
        <v>0</v>
      </c>
      <c r="AO296" s="6" t="str">
        <f t="shared" si="99"/>
        <v>0</v>
      </c>
    </row>
    <row r="297" spans="1:41" x14ac:dyDescent="0.25">
      <c r="A297" t="s">
        <v>2722</v>
      </c>
      <c r="B297" t="s">
        <v>2723</v>
      </c>
      <c r="C297" t="e">
        <f>_xlfn.XLOOKUP(A297,Fore!A:A,Fore!AC:AC)</f>
        <v>#DIV/0!</v>
      </c>
      <c r="D297" s="4" t="s">
        <v>3057</v>
      </c>
      <c r="E297" s="10" t="str">
        <f t="shared" si="80"/>
        <v>0</v>
      </c>
      <c r="F297" s="4" t="s">
        <v>3057</v>
      </c>
      <c r="G297" s="10">
        <f t="shared" si="81"/>
        <v>0</v>
      </c>
      <c r="H297" s="4" t="s">
        <v>3057</v>
      </c>
      <c r="I297" s="10">
        <f t="shared" si="82"/>
        <v>0</v>
      </c>
      <c r="J297" s="4" t="s">
        <v>3057</v>
      </c>
      <c r="K297" s="10">
        <f t="shared" si="83"/>
        <v>0</v>
      </c>
      <c r="L297" s="4" t="s">
        <v>3057</v>
      </c>
      <c r="M297" s="10">
        <f t="shared" si="84"/>
        <v>0</v>
      </c>
      <c r="N297" s="4" t="s">
        <v>3057</v>
      </c>
      <c r="O297" s="10">
        <f t="shared" si="85"/>
        <v>0</v>
      </c>
      <c r="P297" s="4" t="s">
        <v>3057</v>
      </c>
      <c r="Q297" s="10">
        <f t="shared" si="86"/>
        <v>0</v>
      </c>
      <c r="R297" s="4" t="s">
        <v>3057</v>
      </c>
      <c r="S297" s="10">
        <f t="shared" si="87"/>
        <v>0</v>
      </c>
      <c r="T297" s="4" t="s">
        <v>3057</v>
      </c>
      <c r="U297" s="10">
        <f t="shared" si="88"/>
        <v>0</v>
      </c>
      <c r="V297" s="4" t="s">
        <v>3057</v>
      </c>
      <c r="W297" s="10">
        <f t="shared" si="89"/>
        <v>0</v>
      </c>
      <c r="X297" s="4">
        <v>0</v>
      </c>
      <c r="Y297" s="10">
        <f t="shared" si="90"/>
        <v>0</v>
      </c>
      <c r="Z297" s="4" t="s">
        <v>3057</v>
      </c>
      <c r="AA297" s="10">
        <f t="shared" si="91"/>
        <v>0</v>
      </c>
      <c r="AB297" s="4" t="s">
        <v>3057</v>
      </c>
      <c r="AC297" s="10">
        <f t="shared" si="92"/>
        <v>0</v>
      </c>
      <c r="AD297" s="4" t="s">
        <v>3057</v>
      </c>
      <c r="AE297" s="10">
        <f t="shared" si="93"/>
        <v>0</v>
      </c>
      <c r="AF297" s="4" t="s">
        <v>3057</v>
      </c>
      <c r="AG297" s="10">
        <f t="shared" si="94"/>
        <v>0</v>
      </c>
      <c r="AH297" s="4" t="s">
        <v>3057</v>
      </c>
      <c r="AI297" s="10">
        <f t="shared" si="95"/>
        <v>0</v>
      </c>
      <c r="AJ297" s="4" t="s">
        <v>3057</v>
      </c>
      <c r="AK297" s="10">
        <f t="shared" si="96"/>
        <v>0</v>
      </c>
      <c r="AL297" s="4" t="s">
        <v>3057</v>
      </c>
      <c r="AM297" s="10">
        <f t="shared" si="97"/>
        <v>0</v>
      </c>
      <c r="AN297" s="5">
        <f t="shared" si="98"/>
        <v>0</v>
      </c>
      <c r="AO297" s="6" t="str">
        <f t="shared" si="99"/>
        <v>0</v>
      </c>
    </row>
    <row r="298" spans="1:41" x14ac:dyDescent="0.25">
      <c r="A298" t="s">
        <v>2724</v>
      </c>
      <c r="B298" t="s">
        <v>2725</v>
      </c>
      <c r="C298" t="e">
        <f>_xlfn.XLOOKUP(A298,Fore!A:A,Fore!AC:AC)</f>
        <v>#DIV/0!</v>
      </c>
      <c r="D298" s="4" t="s">
        <v>3057</v>
      </c>
      <c r="E298" s="10" t="str">
        <f t="shared" si="80"/>
        <v>0</v>
      </c>
      <c r="F298" s="4" t="s">
        <v>3057</v>
      </c>
      <c r="G298" s="10">
        <f t="shared" si="81"/>
        <v>0</v>
      </c>
      <c r="H298" s="4" t="s">
        <v>3057</v>
      </c>
      <c r="I298" s="10">
        <f t="shared" si="82"/>
        <v>0</v>
      </c>
      <c r="J298" s="4" t="s">
        <v>3057</v>
      </c>
      <c r="K298" s="10">
        <f t="shared" si="83"/>
        <v>0</v>
      </c>
      <c r="L298" s="4" t="s">
        <v>3057</v>
      </c>
      <c r="M298" s="10">
        <f t="shared" si="84"/>
        <v>0</v>
      </c>
      <c r="N298" s="4" t="s">
        <v>3057</v>
      </c>
      <c r="O298" s="10">
        <f t="shared" si="85"/>
        <v>0</v>
      </c>
      <c r="P298" s="4" t="s">
        <v>3057</v>
      </c>
      <c r="Q298" s="10">
        <f t="shared" si="86"/>
        <v>0</v>
      </c>
      <c r="R298" s="4" t="s">
        <v>3057</v>
      </c>
      <c r="S298" s="10">
        <f t="shared" si="87"/>
        <v>0</v>
      </c>
      <c r="T298" s="4" t="s">
        <v>3057</v>
      </c>
      <c r="U298" s="10">
        <f t="shared" si="88"/>
        <v>0</v>
      </c>
      <c r="V298" s="4" t="s">
        <v>3057</v>
      </c>
      <c r="W298" s="10">
        <f t="shared" si="89"/>
        <v>0</v>
      </c>
      <c r="X298" s="4">
        <v>0</v>
      </c>
      <c r="Y298" s="10">
        <f t="shared" si="90"/>
        <v>0</v>
      </c>
      <c r="Z298" s="4" t="s">
        <v>3057</v>
      </c>
      <c r="AA298" s="10">
        <f t="shared" si="91"/>
        <v>0</v>
      </c>
      <c r="AB298" s="4" t="s">
        <v>3057</v>
      </c>
      <c r="AC298" s="10">
        <f t="shared" si="92"/>
        <v>0</v>
      </c>
      <c r="AD298" s="4" t="s">
        <v>3057</v>
      </c>
      <c r="AE298" s="10">
        <f t="shared" si="93"/>
        <v>0</v>
      </c>
      <c r="AF298" s="4" t="s">
        <v>3057</v>
      </c>
      <c r="AG298" s="10">
        <f t="shared" si="94"/>
        <v>0</v>
      </c>
      <c r="AH298" s="4" t="s">
        <v>3057</v>
      </c>
      <c r="AI298" s="10">
        <f t="shared" si="95"/>
        <v>0</v>
      </c>
      <c r="AJ298" s="4" t="s">
        <v>3057</v>
      </c>
      <c r="AK298" s="10">
        <f t="shared" si="96"/>
        <v>0</v>
      </c>
      <c r="AL298" s="4" t="s">
        <v>3057</v>
      </c>
      <c r="AM298" s="10">
        <f t="shared" si="97"/>
        <v>0</v>
      </c>
      <c r="AN298" s="5">
        <f t="shared" si="98"/>
        <v>0</v>
      </c>
      <c r="AO298" s="6" t="str">
        <f t="shared" si="99"/>
        <v>0</v>
      </c>
    </row>
    <row r="299" spans="1:41" x14ac:dyDescent="0.25">
      <c r="A299" t="s">
        <v>2726</v>
      </c>
      <c r="B299" t="s">
        <v>2727</v>
      </c>
      <c r="C299" t="e">
        <f>_xlfn.XLOOKUP(A299,Fore!A:A,Fore!AC:AC)</f>
        <v>#DIV/0!</v>
      </c>
      <c r="D299" s="4" t="s">
        <v>3057</v>
      </c>
      <c r="E299" s="10" t="str">
        <f t="shared" si="80"/>
        <v>0</v>
      </c>
      <c r="F299" s="4" t="s">
        <v>3057</v>
      </c>
      <c r="G299" s="10">
        <f t="shared" si="81"/>
        <v>0</v>
      </c>
      <c r="H299" s="4" t="s">
        <v>3057</v>
      </c>
      <c r="I299" s="10">
        <f t="shared" si="82"/>
        <v>0</v>
      </c>
      <c r="J299" s="4" t="s">
        <v>3057</v>
      </c>
      <c r="K299" s="10">
        <f t="shared" si="83"/>
        <v>0</v>
      </c>
      <c r="L299" s="4" t="s">
        <v>3057</v>
      </c>
      <c r="M299" s="10">
        <f t="shared" si="84"/>
        <v>0</v>
      </c>
      <c r="N299" s="4" t="s">
        <v>3057</v>
      </c>
      <c r="O299" s="10">
        <f t="shared" si="85"/>
        <v>0</v>
      </c>
      <c r="P299" s="4" t="s">
        <v>3057</v>
      </c>
      <c r="Q299" s="10">
        <f t="shared" si="86"/>
        <v>0</v>
      </c>
      <c r="R299" s="4" t="s">
        <v>3057</v>
      </c>
      <c r="S299" s="10">
        <f t="shared" si="87"/>
        <v>0</v>
      </c>
      <c r="T299" s="4" t="s">
        <v>3057</v>
      </c>
      <c r="U299" s="10">
        <f t="shared" si="88"/>
        <v>0</v>
      </c>
      <c r="V299" s="4" t="s">
        <v>3057</v>
      </c>
      <c r="W299" s="10">
        <f t="shared" si="89"/>
        <v>0</v>
      </c>
      <c r="X299" s="4">
        <v>0</v>
      </c>
      <c r="Y299" s="10">
        <f t="shared" si="90"/>
        <v>0</v>
      </c>
      <c r="Z299" s="4" t="s">
        <v>3057</v>
      </c>
      <c r="AA299" s="10">
        <f t="shared" si="91"/>
        <v>0</v>
      </c>
      <c r="AB299" s="4" t="s">
        <v>3057</v>
      </c>
      <c r="AC299" s="10">
        <f t="shared" si="92"/>
        <v>0</v>
      </c>
      <c r="AD299" s="4" t="s">
        <v>3057</v>
      </c>
      <c r="AE299" s="10">
        <f t="shared" si="93"/>
        <v>0</v>
      </c>
      <c r="AF299" s="4" t="s">
        <v>3057</v>
      </c>
      <c r="AG299" s="10">
        <f t="shared" si="94"/>
        <v>0</v>
      </c>
      <c r="AH299" s="4" t="s">
        <v>3057</v>
      </c>
      <c r="AI299" s="10">
        <f t="shared" si="95"/>
        <v>0</v>
      </c>
      <c r="AJ299" s="4" t="s">
        <v>3057</v>
      </c>
      <c r="AK299" s="10">
        <f t="shared" si="96"/>
        <v>0</v>
      </c>
      <c r="AL299" s="4" t="s">
        <v>3057</v>
      </c>
      <c r="AM299" s="10">
        <f t="shared" si="97"/>
        <v>0</v>
      </c>
      <c r="AN299" s="5">
        <f t="shared" si="98"/>
        <v>0</v>
      </c>
      <c r="AO299" s="6" t="str">
        <f t="shared" si="99"/>
        <v>0</v>
      </c>
    </row>
    <row r="300" spans="1:41" x14ac:dyDescent="0.25">
      <c r="A300" t="s">
        <v>2728</v>
      </c>
      <c r="B300" t="s">
        <v>2729</v>
      </c>
      <c r="C300" t="e">
        <f>_xlfn.XLOOKUP(A300,Fore!A:A,Fore!AC:AC)</f>
        <v>#DIV/0!</v>
      </c>
      <c r="D300" s="4" t="s">
        <v>3057</v>
      </c>
      <c r="E300" s="10" t="str">
        <f t="shared" si="80"/>
        <v>0</v>
      </c>
      <c r="F300" s="4" t="s">
        <v>3057</v>
      </c>
      <c r="G300" s="10">
        <f t="shared" si="81"/>
        <v>0</v>
      </c>
      <c r="H300" s="4" t="s">
        <v>3057</v>
      </c>
      <c r="I300" s="10">
        <f t="shared" si="82"/>
        <v>0</v>
      </c>
      <c r="J300" s="4" t="s">
        <v>3057</v>
      </c>
      <c r="K300" s="10">
        <f t="shared" si="83"/>
        <v>0</v>
      </c>
      <c r="L300" s="4" t="s">
        <v>3057</v>
      </c>
      <c r="M300" s="10">
        <f t="shared" si="84"/>
        <v>0</v>
      </c>
      <c r="N300" s="4" t="s">
        <v>3057</v>
      </c>
      <c r="O300" s="10">
        <f t="shared" si="85"/>
        <v>0</v>
      </c>
      <c r="P300" s="4" t="s">
        <v>3057</v>
      </c>
      <c r="Q300" s="10">
        <f t="shared" si="86"/>
        <v>0</v>
      </c>
      <c r="R300" s="4" t="s">
        <v>3057</v>
      </c>
      <c r="S300" s="10">
        <f t="shared" si="87"/>
        <v>0</v>
      </c>
      <c r="T300" s="4" t="s">
        <v>3057</v>
      </c>
      <c r="U300" s="10">
        <f t="shared" si="88"/>
        <v>0</v>
      </c>
      <c r="V300" s="4" t="s">
        <v>3057</v>
      </c>
      <c r="W300" s="10">
        <f t="shared" si="89"/>
        <v>0</v>
      </c>
      <c r="X300" s="4">
        <v>0</v>
      </c>
      <c r="Y300" s="10">
        <f t="shared" si="90"/>
        <v>0</v>
      </c>
      <c r="Z300" s="4" t="s">
        <v>3057</v>
      </c>
      <c r="AA300" s="10">
        <f t="shared" si="91"/>
        <v>0</v>
      </c>
      <c r="AB300" s="4" t="s">
        <v>3057</v>
      </c>
      <c r="AC300" s="10">
        <f t="shared" si="92"/>
        <v>0</v>
      </c>
      <c r="AD300" s="4" t="s">
        <v>3057</v>
      </c>
      <c r="AE300" s="10">
        <f t="shared" si="93"/>
        <v>0</v>
      </c>
      <c r="AF300" s="4" t="s">
        <v>3057</v>
      </c>
      <c r="AG300" s="10">
        <f t="shared" si="94"/>
        <v>0</v>
      </c>
      <c r="AH300" s="4" t="s">
        <v>3057</v>
      </c>
      <c r="AI300" s="10">
        <f t="shared" si="95"/>
        <v>0</v>
      </c>
      <c r="AJ300" s="4" t="s">
        <v>3057</v>
      </c>
      <c r="AK300" s="10">
        <f t="shared" si="96"/>
        <v>0</v>
      </c>
      <c r="AL300" s="4" t="s">
        <v>3057</v>
      </c>
      <c r="AM300" s="10">
        <f t="shared" si="97"/>
        <v>0</v>
      </c>
      <c r="AN300" s="5">
        <f t="shared" si="98"/>
        <v>0</v>
      </c>
      <c r="AO300" s="6" t="str">
        <f t="shared" si="99"/>
        <v>0</v>
      </c>
    </row>
    <row r="301" spans="1:41" x14ac:dyDescent="0.25">
      <c r="A301" t="s">
        <v>2736</v>
      </c>
      <c r="B301" t="s">
        <v>2737</v>
      </c>
      <c r="C301" t="e">
        <f>_xlfn.XLOOKUP(A301,Fore!A:A,Fore!AC:AC)</f>
        <v>#DIV/0!</v>
      </c>
      <c r="D301" s="4" t="s">
        <v>3057</v>
      </c>
      <c r="E301" s="10" t="str">
        <f t="shared" si="80"/>
        <v>0</v>
      </c>
      <c r="F301" s="4" t="s">
        <v>3057</v>
      </c>
      <c r="G301" s="10">
        <f t="shared" si="81"/>
        <v>0</v>
      </c>
      <c r="H301" s="4" t="s">
        <v>3057</v>
      </c>
      <c r="I301" s="10">
        <f t="shared" si="82"/>
        <v>0</v>
      </c>
      <c r="J301" s="4" t="s">
        <v>3057</v>
      </c>
      <c r="K301" s="10">
        <f t="shared" si="83"/>
        <v>0</v>
      </c>
      <c r="L301" s="4" t="s">
        <v>3057</v>
      </c>
      <c r="M301" s="10">
        <f t="shared" si="84"/>
        <v>0</v>
      </c>
      <c r="N301" s="4" t="s">
        <v>3057</v>
      </c>
      <c r="O301" s="10">
        <f t="shared" si="85"/>
        <v>0</v>
      </c>
      <c r="P301" s="4" t="s">
        <v>3057</v>
      </c>
      <c r="Q301" s="10">
        <f t="shared" si="86"/>
        <v>0</v>
      </c>
      <c r="R301" s="4" t="s">
        <v>3057</v>
      </c>
      <c r="S301" s="10">
        <f t="shared" si="87"/>
        <v>0</v>
      </c>
      <c r="T301" s="4" t="s">
        <v>3057</v>
      </c>
      <c r="U301" s="10">
        <f t="shared" si="88"/>
        <v>0</v>
      </c>
      <c r="V301" s="4" t="s">
        <v>3057</v>
      </c>
      <c r="W301" s="10">
        <f t="shared" si="89"/>
        <v>0</v>
      </c>
      <c r="X301" s="4">
        <v>0</v>
      </c>
      <c r="Y301" s="10">
        <f t="shared" si="90"/>
        <v>0</v>
      </c>
      <c r="Z301" s="4" t="s">
        <v>3057</v>
      </c>
      <c r="AA301" s="10">
        <f t="shared" si="91"/>
        <v>0</v>
      </c>
      <c r="AB301" s="4" t="s">
        <v>3057</v>
      </c>
      <c r="AC301" s="10">
        <f t="shared" si="92"/>
        <v>0</v>
      </c>
      <c r="AD301" s="4" t="s">
        <v>3057</v>
      </c>
      <c r="AE301" s="10">
        <f t="shared" si="93"/>
        <v>0</v>
      </c>
      <c r="AF301" s="4" t="s">
        <v>3057</v>
      </c>
      <c r="AG301" s="10">
        <f t="shared" si="94"/>
        <v>0</v>
      </c>
      <c r="AH301" s="4" t="s">
        <v>3057</v>
      </c>
      <c r="AI301" s="10">
        <f t="shared" si="95"/>
        <v>0</v>
      </c>
      <c r="AJ301" s="4" t="s">
        <v>3057</v>
      </c>
      <c r="AK301" s="10">
        <f t="shared" si="96"/>
        <v>0</v>
      </c>
      <c r="AL301" s="4" t="s">
        <v>3057</v>
      </c>
      <c r="AM301" s="10">
        <f t="shared" si="97"/>
        <v>0</v>
      </c>
      <c r="AN301" s="5">
        <f t="shared" si="98"/>
        <v>0</v>
      </c>
      <c r="AO301" s="6" t="str">
        <f t="shared" si="99"/>
        <v>0</v>
      </c>
    </row>
    <row r="302" spans="1:41" x14ac:dyDescent="0.25">
      <c r="A302" t="s">
        <v>2741</v>
      </c>
      <c r="B302" t="s">
        <v>2742</v>
      </c>
      <c r="C302" t="e">
        <f>_xlfn.XLOOKUP(A302,Fore!A:A,Fore!AC:AC)</f>
        <v>#DIV/0!</v>
      </c>
      <c r="D302" s="4" t="s">
        <v>3057</v>
      </c>
      <c r="E302" s="10" t="str">
        <f t="shared" si="80"/>
        <v>0</v>
      </c>
      <c r="F302" s="4" t="s">
        <v>3057</v>
      </c>
      <c r="G302" s="10">
        <f t="shared" si="81"/>
        <v>0</v>
      </c>
      <c r="H302" s="4" t="s">
        <v>3057</v>
      </c>
      <c r="I302" s="10">
        <f t="shared" si="82"/>
        <v>0</v>
      </c>
      <c r="J302" s="4" t="s">
        <v>3057</v>
      </c>
      <c r="K302" s="10">
        <f t="shared" si="83"/>
        <v>0</v>
      </c>
      <c r="L302" s="4" t="s">
        <v>3057</v>
      </c>
      <c r="M302" s="10">
        <f t="shared" si="84"/>
        <v>0</v>
      </c>
      <c r="N302" s="4" t="s">
        <v>3057</v>
      </c>
      <c r="O302" s="10">
        <f t="shared" si="85"/>
        <v>0</v>
      </c>
      <c r="P302" s="4" t="s">
        <v>3057</v>
      </c>
      <c r="Q302" s="10">
        <f t="shared" si="86"/>
        <v>0</v>
      </c>
      <c r="R302" s="4" t="s">
        <v>3057</v>
      </c>
      <c r="S302" s="10">
        <f t="shared" si="87"/>
        <v>0</v>
      </c>
      <c r="T302" s="4" t="s">
        <v>3057</v>
      </c>
      <c r="U302" s="10">
        <f t="shared" si="88"/>
        <v>0</v>
      </c>
      <c r="V302" s="4" t="s">
        <v>3057</v>
      </c>
      <c r="W302" s="10">
        <f t="shared" si="89"/>
        <v>0</v>
      </c>
      <c r="X302" s="4">
        <v>0</v>
      </c>
      <c r="Y302" s="10">
        <f t="shared" si="90"/>
        <v>0</v>
      </c>
      <c r="Z302" s="4" t="s">
        <v>3057</v>
      </c>
      <c r="AA302" s="10">
        <f t="shared" si="91"/>
        <v>0</v>
      </c>
      <c r="AB302" s="4" t="s">
        <v>3057</v>
      </c>
      <c r="AC302" s="10">
        <f t="shared" si="92"/>
        <v>0</v>
      </c>
      <c r="AD302" s="4" t="s">
        <v>3057</v>
      </c>
      <c r="AE302" s="10">
        <f t="shared" si="93"/>
        <v>0</v>
      </c>
      <c r="AF302" s="4" t="s">
        <v>3057</v>
      </c>
      <c r="AG302" s="10">
        <f t="shared" si="94"/>
        <v>0</v>
      </c>
      <c r="AH302" s="4" t="s">
        <v>3057</v>
      </c>
      <c r="AI302" s="10">
        <f t="shared" si="95"/>
        <v>0</v>
      </c>
      <c r="AJ302" s="4" t="s">
        <v>3057</v>
      </c>
      <c r="AK302" s="10">
        <f t="shared" si="96"/>
        <v>0</v>
      </c>
      <c r="AL302" s="4" t="s">
        <v>3057</v>
      </c>
      <c r="AM302" s="10">
        <f t="shared" si="97"/>
        <v>0</v>
      </c>
      <c r="AN302" s="5">
        <f t="shared" si="98"/>
        <v>0</v>
      </c>
      <c r="AO302" s="6" t="str">
        <f t="shared" si="99"/>
        <v>0</v>
      </c>
    </row>
    <row r="303" spans="1:41" x14ac:dyDescent="0.25">
      <c r="A303" t="s">
        <v>2743</v>
      </c>
      <c r="B303" t="s">
        <v>2744</v>
      </c>
      <c r="C303" t="e">
        <f>_xlfn.XLOOKUP(A303,Fore!A:A,Fore!AC:AC)</f>
        <v>#DIV/0!</v>
      </c>
      <c r="D303" s="4" t="s">
        <v>3057</v>
      </c>
      <c r="E303" s="10" t="str">
        <f t="shared" si="80"/>
        <v>0</v>
      </c>
      <c r="F303" s="4" t="s">
        <v>3057</v>
      </c>
      <c r="G303" s="10">
        <f t="shared" si="81"/>
        <v>0</v>
      </c>
      <c r="H303" s="4" t="s">
        <v>3057</v>
      </c>
      <c r="I303" s="10">
        <f t="shared" si="82"/>
        <v>0</v>
      </c>
      <c r="J303" s="4" t="s">
        <v>3057</v>
      </c>
      <c r="K303" s="10">
        <f t="shared" si="83"/>
        <v>0</v>
      </c>
      <c r="L303" s="4" t="s">
        <v>3057</v>
      </c>
      <c r="M303" s="10">
        <f t="shared" si="84"/>
        <v>0</v>
      </c>
      <c r="N303" s="4" t="s">
        <v>3057</v>
      </c>
      <c r="O303" s="10">
        <f t="shared" si="85"/>
        <v>0</v>
      </c>
      <c r="P303" s="4" t="s">
        <v>3057</v>
      </c>
      <c r="Q303" s="10">
        <f t="shared" si="86"/>
        <v>0</v>
      </c>
      <c r="R303" s="4" t="s">
        <v>3057</v>
      </c>
      <c r="S303" s="10">
        <f t="shared" si="87"/>
        <v>0</v>
      </c>
      <c r="T303" s="4" t="s">
        <v>3057</v>
      </c>
      <c r="U303" s="10">
        <f t="shared" si="88"/>
        <v>0</v>
      </c>
      <c r="V303" s="4" t="s">
        <v>3057</v>
      </c>
      <c r="W303" s="10">
        <f t="shared" si="89"/>
        <v>0</v>
      </c>
      <c r="X303" s="4">
        <v>0</v>
      </c>
      <c r="Y303" s="10">
        <f t="shared" si="90"/>
        <v>0</v>
      </c>
      <c r="Z303" s="4" t="s">
        <v>3057</v>
      </c>
      <c r="AA303" s="10">
        <f t="shared" si="91"/>
        <v>0</v>
      </c>
      <c r="AB303" s="4" t="s">
        <v>3057</v>
      </c>
      <c r="AC303" s="10">
        <f t="shared" si="92"/>
        <v>0</v>
      </c>
      <c r="AD303" s="4" t="s">
        <v>3057</v>
      </c>
      <c r="AE303" s="10">
        <f t="shared" si="93"/>
        <v>0</v>
      </c>
      <c r="AF303" s="4" t="s">
        <v>3057</v>
      </c>
      <c r="AG303" s="10">
        <f t="shared" si="94"/>
        <v>0</v>
      </c>
      <c r="AH303" s="4" t="s">
        <v>3057</v>
      </c>
      <c r="AI303" s="10">
        <f t="shared" si="95"/>
        <v>0</v>
      </c>
      <c r="AJ303" s="4" t="s">
        <v>3057</v>
      </c>
      <c r="AK303" s="10">
        <f t="shared" si="96"/>
        <v>0</v>
      </c>
      <c r="AL303" s="4" t="s">
        <v>3057</v>
      </c>
      <c r="AM303" s="10">
        <f t="shared" si="97"/>
        <v>0</v>
      </c>
      <c r="AN303" s="5">
        <f t="shared" si="98"/>
        <v>0</v>
      </c>
      <c r="AO303" s="6" t="str">
        <f t="shared" si="99"/>
        <v>0</v>
      </c>
    </row>
    <row r="304" spans="1:41" x14ac:dyDescent="0.25">
      <c r="A304" t="s">
        <v>2745</v>
      </c>
      <c r="B304" t="s">
        <v>2746</v>
      </c>
      <c r="C304" t="e">
        <f>_xlfn.XLOOKUP(A304,Fore!A:A,Fore!AC:AC)</f>
        <v>#DIV/0!</v>
      </c>
      <c r="D304" s="4" t="s">
        <v>3057</v>
      </c>
      <c r="E304" s="10" t="str">
        <f t="shared" si="80"/>
        <v>0</v>
      </c>
      <c r="F304" s="4" t="s">
        <v>3057</v>
      </c>
      <c r="G304" s="10">
        <f t="shared" si="81"/>
        <v>0</v>
      </c>
      <c r="H304" s="4" t="s">
        <v>3057</v>
      </c>
      <c r="I304" s="10">
        <f t="shared" si="82"/>
        <v>0</v>
      </c>
      <c r="J304" s="4" t="s">
        <v>3057</v>
      </c>
      <c r="K304" s="10">
        <f t="shared" si="83"/>
        <v>0</v>
      </c>
      <c r="L304" s="4" t="s">
        <v>3057</v>
      </c>
      <c r="M304" s="10">
        <f t="shared" si="84"/>
        <v>0</v>
      </c>
      <c r="N304" s="4" t="s">
        <v>3057</v>
      </c>
      <c r="O304" s="10">
        <f t="shared" si="85"/>
        <v>0</v>
      </c>
      <c r="P304" s="4" t="s">
        <v>3057</v>
      </c>
      <c r="Q304" s="10">
        <f t="shared" si="86"/>
        <v>0</v>
      </c>
      <c r="R304" s="4" t="s">
        <v>3057</v>
      </c>
      <c r="S304" s="10">
        <f t="shared" si="87"/>
        <v>0</v>
      </c>
      <c r="T304" s="4" t="s">
        <v>3057</v>
      </c>
      <c r="U304" s="10">
        <f t="shared" si="88"/>
        <v>0</v>
      </c>
      <c r="V304" s="4" t="s">
        <v>3057</v>
      </c>
      <c r="W304" s="10">
        <f t="shared" si="89"/>
        <v>0</v>
      </c>
      <c r="X304" s="4">
        <v>0</v>
      </c>
      <c r="Y304" s="10">
        <f t="shared" si="90"/>
        <v>0</v>
      </c>
      <c r="Z304" s="4" t="s">
        <v>3057</v>
      </c>
      <c r="AA304" s="10">
        <f t="shared" si="91"/>
        <v>0</v>
      </c>
      <c r="AB304" s="4" t="s">
        <v>3057</v>
      </c>
      <c r="AC304" s="10">
        <f t="shared" si="92"/>
        <v>0</v>
      </c>
      <c r="AD304" s="4" t="s">
        <v>3057</v>
      </c>
      <c r="AE304" s="10">
        <f t="shared" si="93"/>
        <v>0</v>
      </c>
      <c r="AF304" s="4" t="s">
        <v>3057</v>
      </c>
      <c r="AG304" s="10">
        <f t="shared" si="94"/>
        <v>0</v>
      </c>
      <c r="AH304" s="4" t="s">
        <v>3057</v>
      </c>
      <c r="AI304" s="10">
        <f t="shared" si="95"/>
        <v>0</v>
      </c>
      <c r="AJ304" s="4" t="s">
        <v>3057</v>
      </c>
      <c r="AK304" s="10">
        <f t="shared" si="96"/>
        <v>0</v>
      </c>
      <c r="AL304" s="4" t="s">
        <v>3057</v>
      </c>
      <c r="AM304" s="10">
        <f t="shared" si="97"/>
        <v>0</v>
      </c>
      <c r="AN304" s="5">
        <f t="shared" si="98"/>
        <v>0</v>
      </c>
      <c r="AO304" s="6" t="str">
        <f t="shared" si="99"/>
        <v>0</v>
      </c>
    </row>
    <row r="305" spans="1:41" x14ac:dyDescent="0.25">
      <c r="A305" t="s">
        <v>2751</v>
      </c>
      <c r="B305" t="s">
        <v>2752</v>
      </c>
      <c r="C305" t="e">
        <f>_xlfn.XLOOKUP(A305,Fore!A:A,Fore!AC:AC)</f>
        <v>#DIV/0!</v>
      </c>
      <c r="D305" s="4" t="s">
        <v>3057</v>
      </c>
      <c r="E305" s="10" t="str">
        <f t="shared" si="80"/>
        <v>0</v>
      </c>
      <c r="F305" s="4" t="s">
        <v>3057</v>
      </c>
      <c r="G305" s="10">
        <f t="shared" si="81"/>
        <v>0</v>
      </c>
      <c r="H305" s="4" t="s">
        <v>3057</v>
      </c>
      <c r="I305" s="10">
        <f t="shared" si="82"/>
        <v>0</v>
      </c>
      <c r="J305" s="4" t="s">
        <v>3057</v>
      </c>
      <c r="K305" s="10">
        <f t="shared" si="83"/>
        <v>0</v>
      </c>
      <c r="L305" s="4" t="s">
        <v>3057</v>
      </c>
      <c r="M305" s="10">
        <f t="shared" si="84"/>
        <v>0</v>
      </c>
      <c r="N305" s="4" t="s">
        <v>3057</v>
      </c>
      <c r="O305" s="10">
        <f t="shared" si="85"/>
        <v>0</v>
      </c>
      <c r="P305" s="4" t="s">
        <v>3057</v>
      </c>
      <c r="Q305" s="10">
        <f t="shared" si="86"/>
        <v>0</v>
      </c>
      <c r="R305" s="4" t="s">
        <v>3057</v>
      </c>
      <c r="S305" s="10">
        <f t="shared" si="87"/>
        <v>0</v>
      </c>
      <c r="T305" s="4" t="s">
        <v>3057</v>
      </c>
      <c r="U305" s="10">
        <f t="shared" si="88"/>
        <v>0</v>
      </c>
      <c r="V305" s="4" t="s">
        <v>3057</v>
      </c>
      <c r="W305" s="10">
        <f t="shared" si="89"/>
        <v>0</v>
      </c>
      <c r="X305" s="4">
        <v>0</v>
      </c>
      <c r="Y305" s="10">
        <f t="shared" si="90"/>
        <v>0</v>
      </c>
      <c r="Z305" s="4" t="s">
        <v>3057</v>
      </c>
      <c r="AA305" s="10">
        <f t="shared" si="91"/>
        <v>0</v>
      </c>
      <c r="AB305" s="4" t="s">
        <v>3057</v>
      </c>
      <c r="AC305" s="10">
        <f t="shared" si="92"/>
        <v>0</v>
      </c>
      <c r="AD305" s="4" t="s">
        <v>3057</v>
      </c>
      <c r="AE305" s="10">
        <f t="shared" si="93"/>
        <v>0</v>
      </c>
      <c r="AF305" s="4" t="s">
        <v>3057</v>
      </c>
      <c r="AG305" s="10">
        <f t="shared" si="94"/>
        <v>0</v>
      </c>
      <c r="AH305" s="4" t="s">
        <v>3057</v>
      </c>
      <c r="AI305" s="10">
        <f t="shared" si="95"/>
        <v>0</v>
      </c>
      <c r="AJ305" s="4" t="s">
        <v>3057</v>
      </c>
      <c r="AK305" s="10">
        <f t="shared" si="96"/>
        <v>0</v>
      </c>
      <c r="AL305" s="4" t="s">
        <v>3057</v>
      </c>
      <c r="AM305" s="10">
        <f t="shared" si="97"/>
        <v>0</v>
      </c>
      <c r="AN305" s="5">
        <f t="shared" si="98"/>
        <v>0</v>
      </c>
      <c r="AO305" s="6" t="str">
        <f t="shared" si="99"/>
        <v>0</v>
      </c>
    </row>
    <row r="306" spans="1:41" x14ac:dyDescent="0.25">
      <c r="A306" t="s">
        <v>2758</v>
      </c>
      <c r="B306" t="s">
        <v>2759</v>
      </c>
      <c r="C306" t="e">
        <f>_xlfn.XLOOKUP(A306,Fore!A:A,Fore!AC:AC)</f>
        <v>#DIV/0!</v>
      </c>
      <c r="D306" s="4" t="s">
        <v>3057</v>
      </c>
      <c r="E306" s="10" t="str">
        <f t="shared" si="80"/>
        <v>0</v>
      </c>
      <c r="F306" s="4" t="s">
        <v>3057</v>
      </c>
      <c r="G306" s="10">
        <f t="shared" si="81"/>
        <v>0</v>
      </c>
      <c r="H306" s="4" t="s">
        <v>3057</v>
      </c>
      <c r="I306" s="10">
        <f t="shared" si="82"/>
        <v>0</v>
      </c>
      <c r="J306" s="4" t="s">
        <v>3057</v>
      </c>
      <c r="K306" s="10">
        <f t="shared" si="83"/>
        <v>0</v>
      </c>
      <c r="L306" s="4" t="s">
        <v>3057</v>
      </c>
      <c r="M306" s="10">
        <f t="shared" si="84"/>
        <v>0</v>
      </c>
      <c r="N306" s="4" t="s">
        <v>3057</v>
      </c>
      <c r="O306" s="10">
        <f t="shared" si="85"/>
        <v>0</v>
      </c>
      <c r="P306" s="4" t="s">
        <v>3057</v>
      </c>
      <c r="Q306" s="10">
        <f t="shared" si="86"/>
        <v>0</v>
      </c>
      <c r="R306" s="4" t="s">
        <v>3057</v>
      </c>
      <c r="S306" s="10">
        <f t="shared" si="87"/>
        <v>0</v>
      </c>
      <c r="T306" s="4" t="s">
        <v>3057</v>
      </c>
      <c r="U306" s="10">
        <f t="shared" si="88"/>
        <v>0</v>
      </c>
      <c r="V306" s="4" t="s">
        <v>3057</v>
      </c>
      <c r="W306" s="10">
        <f t="shared" si="89"/>
        <v>0</v>
      </c>
      <c r="X306" s="4">
        <v>0</v>
      </c>
      <c r="Y306" s="10">
        <f t="shared" si="90"/>
        <v>0</v>
      </c>
      <c r="Z306" s="4" t="s">
        <v>3057</v>
      </c>
      <c r="AA306" s="10">
        <f t="shared" si="91"/>
        <v>0</v>
      </c>
      <c r="AB306" s="4" t="s">
        <v>3057</v>
      </c>
      <c r="AC306" s="10">
        <f t="shared" si="92"/>
        <v>0</v>
      </c>
      <c r="AD306" s="4" t="s">
        <v>3057</v>
      </c>
      <c r="AE306" s="10">
        <f t="shared" si="93"/>
        <v>0</v>
      </c>
      <c r="AF306" s="4" t="s">
        <v>3057</v>
      </c>
      <c r="AG306" s="10">
        <f t="shared" si="94"/>
        <v>0</v>
      </c>
      <c r="AH306" s="4" t="s">
        <v>3057</v>
      </c>
      <c r="AI306" s="10">
        <f t="shared" si="95"/>
        <v>0</v>
      </c>
      <c r="AJ306" s="4" t="s">
        <v>3057</v>
      </c>
      <c r="AK306" s="10">
        <f t="shared" si="96"/>
        <v>0</v>
      </c>
      <c r="AL306" s="4" t="s">
        <v>3057</v>
      </c>
      <c r="AM306" s="10">
        <f t="shared" si="97"/>
        <v>0</v>
      </c>
      <c r="AN306" s="5">
        <f t="shared" si="98"/>
        <v>0</v>
      </c>
      <c r="AO306" s="6" t="str">
        <f t="shared" si="99"/>
        <v>0</v>
      </c>
    </row>
    <row r="307" spans="1:41" x14ac:dyDescent="0.25">
      <c r="A307" t="s">
        <v>2767</v>
      </c>
      <c r="B307" t="s">
        <v>2768</v>
      </c>
      <c r="C307" t="e">
        <f>_xlfn.XLOOKUP(A307,Fore!A:A,Fore!AC:AC)</f>
        <v>#DIV/0!</v>
      </c>
      <c r="D307" s="4" t="s">
        <v>3057</v>
      </c>
      <c r="E307" s="10" t="str">
        <f t="shared" si="80"/>
        <v>0</v>
      </c>
      <c r="F307" s="4" t="s">
        <v>3057</v>
      </c>
      <c r="G307" s="10">
        <f t="shared" si="81"/>
        <v>0</v>
      </c>
      <c r="H307" s="4" t="s">
        <v>3057</v>
      </c>
      <c r="I307" s="10">
        <f t="shared" si="82"/>
        <v>0</v>
      </c>
      <c r="J307" s="4" t="s">
        <v>3057</v>
      </c>
      <c r="K307" s="10">
        <f t="shared" si="83"/>
        <v>0</v>
      </c>
      <c r="L307" s="4" t="s">
        <v>3057</v>
      </c>
      <c r="M307" s="10">
        <f t="shared" si="84"/>
        <v>0</v>
      </c>
      <c r="N307" s="4" t="s">
        <v>3057</v>
      </c>
      <c r="O307" s="10">
        <f t="shared" si="85"/>
        <v>0</v>
      </c>
      <c r="P307" s="4" t="s">
        <v>3057</v>
      </c>
      <c r="Q307" s="10">
        <f t="shared" si="86"/>
        <v>0</v>
      </c>
      <c r="R307" s="4" t="s">
        <v>3057</v>
      </c>
      <c r="S307" s="10">
        <f t="shared" si="87"/>
        <v>0</v>
      </c>
      <c r="T307" s="4" t="s">
        <v>3057</v>
      </c>
      <c r="U307" s="10">
        <f t="shared" si="88"/>
        <v>0</v>
      </c>
      <c r="V307" s="4" t="s">
        <v>3057</v>
      </c>
      <c r="W307" s="10">
        <f t="shared" si="89"/>
        <v>0</v>
      </c>
      <c r="X307" s="4">
        <v>0</v>
      </c>
      <c r="Y307" s="10">
        <f t="shared" si="90"/>
        <v>0</v>
      </c>
      <c r="Z307" s="4" t="s">
        <v>3057</v>
      </c>
      <c r="AA307" s="10">
        <f t="shared" si="91"/>
        <v>0</v>
      </c>
      <c r="AB307" s="4" t="s">
        <v>3057</v>
      </c>
      <c r="AC307" s="10">
        <f t="shared" si="92"/>
        <v>0</v>
      </c>
      <c r="AD307" s="4" t="s">
        <v>3057</v>
      </c>
      <c r="AE307" s="10">
        <f t="shared" si="93"/>
        <v>0</v>
      </c>
      <c r="AF307" s="4" t="s">
        <v>3057</v>
      </c>
      <c r="AG307" s="10">
        <f t="shared" si="94"/>
        <v>0</v>
      </c>
      <c r="AH307" s="4" t="s">
        <v>3057</v>
      </c>
      <c r="AI307" s="10">
        <f t="shared" si="95"/>
        <v>0</v>
      </c>
      <c r="AJ307" s="4" t="s">
        <v>3057</v>
      </c>
      <c r="AK307" s="10">
        <f t="shared" si="96"/>
        <v>0</v>
      </c>
      <c r="AL307" s="4" t="s">
        <v>3057</v>
      </c>
      <c r="AM307" s="10">
        <f t="shared" si="97"/>
        <v>0</v>
      </c>
      <c r="AN307" s="5">
        <f t="shared" si="98"/>
        <v>0</v>
      </c>
      <c r="AO307" s="6" t="str">
        <f t="shared" si="99"/>
        <v>0</v>
      </c>
    </row>
    <row r="308" spans="1:41" x14ac:dyDescent="0.25">
      <c r="A308" t="s">
        <v>2769</v>
      </c>
      <c r="B308" t="s">
        <v>2770</v>
      </c>
      <c r="C308" t="e">
        <f>_xlfn.XLOOKUP(A308,Fore!A:A,Fore!AC:AC)</f>
        <v>#DIV/0!</v>
      </c>
      <c r="D308" s="4" t="s">
        <v>3057</v>
      </c>
      <c r="E308" s="10" t="str">
        <f t="shared" si="80"/>
        <v>0</v>
      </c>
      <c r="F308" s="4" t="s">
        <v>3057</v>
      </c>
      <c r="G308" s="10">
        <f t="shared" si="81"/>
        <v>0</v>
      </c>
      <c r="H308" s="4" t="s">
        <v>3057</v>
      </c>
      <c r="I308" s="10">
        <f t="shared" si="82"/>
        <v>0</v>
      </c>
      <c r="J308" s="4" t="s">
        <v>3057</v>
      </c>
      <c r="K308" s="10">
        <f t="shared" si="83"/>
        <v>0</v>
      </c>
      <c r="L308" s="4" t="s">
        <v>3057</v>
      </c>
      <c r="M308" s="10">
        <f t="shared" si="84"/>
        <v>0</v>
      </c>
      <c r="N308" s="4" t="s">
        <v>3057</v>
      </c>
      <c r="O308" s="10">
        <f t="shared" si="85"/>
        <v>0</v>
      </c>
      <c r="P308" s="4" t="s">
        <v>3057</v>
      </c>
      <c r="Q308" s="10">
        <f t="shared" si="86"/>
        <v>0</v>
      </c>
      <c r="R308" s="4" t="s">
        <v>3057</v>
      </c>
      <c r="S308" s="10">
        <f t="shared" si="87"/>
        <v>0</v>
      </c>
      <c r="T308" s="4" t="s">
        <v>3057</v>
      </c>
      <c r="U308" s="10">
        <f t="shared" si="88"/>
        <v>0</v>
      </c>
      <c r="V308" s="4" t="s">
        <v>3057</v>
      </c>
      <c r="W308" s="10">
        <f t="shared" si="89"/>
        <v>0</v>
      </c>
      <c r="X308" s="4">
        <v>0</v>
      </c>
      <c r="Y308" s="10">
        <f t="shared" si="90"/>
        <v>0</v>
      </c>
      <c r="Z308" s="4" t="s">
        <v>3057</v>
      </c>
      <c r="AA308" s="10">
        <f t="shared" si="91"/>
        <v>0</v>
      </c>
      <c r="AB308" s="4" t="s">
        <v>3057</v>
      </c>
      <c r="AC308" s="10">
        <f t="shared" si="92"/>
        <v>0</v>
      </c>
      <c r="AD308" s="4" t="s">
        <v>3057</v>
      </c>
      <c r="AE308" s="10">
        <f t="shared" si="93"/>
        <v>0</v>
      </c>
      <c r="AF308" s="4" t="s">
        <v>3057</v>
      </c>
      <c r="AG308" s="10">
        <f t="shared" si="94"/>
        <v>0</v>
      </c>
      <c r="AH308" s="4" t="s">
        <v>3057</v>
      </c>
      <c r="AI308" s="10">
        <f t="shared" si="95"/>
        <v>0</v>
      </c>
      <c r="AJ308" s="4" t="s">
        <v>3057</v>
      </c>
      <c r="AK308" s="10">
        <f t="shared" si="96"/>
        <v>0</v>
      </c>
      <c r="AL308" s="4" t="s">
        <v>3057</v>
      </c>
      <c r="AM308" s="10">
        <f t="shared" si="97"/>
        <v>0</v>
      </c>
      <c r="AN308" s="5">
        <f t="shared" si="98"/>
        <v>0</v>
      </c>
      <c r="AO308" s="6" t="str">
        <f t="shared" si="99"/>
        <v>0</v>
      </c>
    </row>
    <row r="309" spans="1:41" x14ac:dyDescent="0.25">
      <c r="A309" t="s">
        <v>2771</v>
      </c>
      <c r="B309" t="s">
        <v>2772</v>
      </c>
      <c r="C309" t="e">
        <f>_xlfn.XLOOKUP(A309,Fore!A:A,Fore!AC:AC)</f>
        <v>#DIV/0!</v>
      </c>
      <c r="D309" s="4" t="s">
        <v>3057</v>
      </c>
      <c r="E309" s="10" t="str">
        <f t="shared" si="80"/>
        <v>0</v>
      </c>
      <c r="F309" s="4" t="s">
        <v>3057</v>
      </c>
      <c r="G309" s="10">
        <f t="shared" si="81"/>
        <v>0</v>
      </c>
      <c r="H309" s="4" t="s">
        <v>3057</v>
      </c>
      <c r="I309" s="10">
        <f t="shared" si="82"/>
        <v>0</v>
      </c>
      <c r="J309" s="4" t="s">
        <v>3057</v>
      </c>
      <c r="K309" s="10">
        <f t="shared" si="83"/>
        <v>0</v>
      </c>
      <c r="L309" s="4" t="s">
        <v>3057</v>
      </c>
      <c r="M309" s="10">
        <f t="shared" si="84"/>
        <v>0</v>
      </c>
      <c r="N309" s="4" t="s">
        <v>3057</v>
      </c>
      <c r="O309" s="10">
        <f t="shared" si="85"/>
        <v>0</v>
      </c>
      <c r="P309" s="4" t="s">
        <v>3057</v>
      </c>
      <c r="Q309" s="10">
        <f t="shared" si="86"/>
        <v>0</v>
      </c>
      <c r="R309" s="4" t="s">
        <v>3057</v>
      </c>
      <c r="S309" s="10">
        <f t="shared" si="87"/>
        <v>0</v>
      </c>
      <c r="T309" s="4" t="s">
        <v>3057</v>
      </c>
      <c r="U309" s="10">
        <f t="shared" si="88"/>
        <v>0</v>
      </c>
      <c r="V309" s="4" t="s">
        <v>3057</v>
      </c>
      <c r="W309" s="10">
        <f t="shared" si="89"/>
        <v>0</v>
      </c>
      <c r="X309" s="4">
        <v>0</v>
      </c>
      <c r="Y309" s="10">
        <f t="shared" si="90"/>
        <v>0</v>
      </c>
      <c r="Z309" s="4" t="s">
        <v>3057</v>
      </c>
      <c r="AA309" s="10">
        <f t="shared" si="91"/>
        <v>0</v>
      </c>
      <c r="AB309" s="4" t="s">
        <v>3057</v>
      </c>
      <c r="AC309" s="10">
        <f t="shared" si="92"/>
        <v>0</v>
      </c>
      <c r="AD309" s="4" t="s">
        <v>3057</v>
      </c>
      <c r="AE309" s="10">
        <f t="shared" si="93"/>
        <v>0</v>
      </c>
      <c r="AF309" s="4" t="s">
        <v>3057</v>
      </c>
      <c r="AG309" s="10">
        <f t="shared" si="94"/>
        <v>0</v>
      </c>
      <c r="AH309" s="4" t="s">
        <v>3057</v>
      </c>
      <c r="AI309" s="10">
        <f t="shared" si="95"/>
        <v>0</v>
      </c>
      <c r="AJ309" s="4" t="s">
        <v>3057</v>
      </c>
      <c r="AK309" s="10">
        <f t="shared" si="96"/>
        <v>0</v>
      </c>
      <c r="AL309" s="4" t="s">
        <v>3057</v>
      </c>
      <c r="AM309" s="10">
        <f t="shared" si="97"/>
        <v>0</v>
      </c>
      <c r="AN309" s="5">
        <f t="shared" si="98"/>
        <v>0</v>
      </c>
      <c r="AO309" s="6" t="str">
        <f t="shared" si="99"/>
        <v>0</v>
      </c>
    </row>
    <row r="310" spans="1:41" x14ac:dyDescent="0.25">
      <c r="A310" t="s">
        <v>2780</v>
      </c>
      <c r="B310" t="s">
        <v>2781</v>
      </c>
      <c r="C310" t="e">
        <f>_xlfn.XLOOKUP(A310,Fore!A:A,Fore!AC:AC)</f>
        <v>#DIV/0!</v>
      </c>
      <c r="D310" s="4" t="s">
        <v>3057</v>
      </c>
      <c r="E310" s="10" t="str">
        <f t="shared" si="80"/>
        <v>0</v>
      </c>
      <c r="F310" s="4" t="s">
        <v>3057</v>
      </c>
      <c r="G310" s="10">
        <f t="shared" si="81"/>
        <v>0</v>
      </c>
      <c r="H310" s="4" t="s">
        <v>3057</v>
      </c>
      <c r="I310" s="10">
        <f t="shared" si="82"/>
        <v>0</v>
      </c>
      <c r="J310" s="4" t="s">
        <v>3057</v>
      </c>
      <c r="K310" s="10">
        <f t="shared" si="83"/>
        <v>0</v>
      </c>
      <c r="L310" s="4" t="s">
        <v>3057</v>
      </c>
      <c r="M310" s="10">
        <f t="shared" si="84"/>
        <v>0</v>
      </c>
      <c r="N310" s="4" t="s">
        <v>3057</v>
      </c>
      <c r="O310" s="10">
        <f t="shared" si="85"/>
        <v>0</v>
      </c>
      <c r="P310" s="4" t="s">
        <v>3057</v>
      </c>
      <c r="Q310" s="10">
        <f t="shared" si="86"/>
        <v>0</v>
      </c>
      <c r="R310" s="4" t="s">
        <v>3057</v>
      </c>
      <c r="S310" s="10">
        <f t="shared" si="87"/>
        <v>0</v>
      </c>
      <c r="T310" s="4" t="s">
        <v>3057</v>
      </c>
      <c r="U310" s="10">
        <f t="shared" si="88"/>
        <v>0</v>
      </c>
      <c r="V310" s="4" t="s">
        <v>3057</v>
      </c>
      <c r="W310" s="10">
        <f t="shared" si="89"/>
        <v>0</v>
      </c>
      <c r="X310" s="4">
        <v>0</v>
      </c>
      <c r="Y310" s="10">
        <f t="shared" si="90"/>
        <v>0</v>
      </c>
      <c r="Z310" s="4" t="s">
        <v>3057</v>
      </c>
      <c r="AA310" s="10">
        <f t="shared" si="91"/>
        <v>0</v>
      </c>
      <c r="AB310" s="4" t="s">
        <v>3057</v>
      </c>
      <c r="AC310" s="10">
        <f t="shared" si="92"/>
        <v>0</v>
      </c>
      <c r="AD310" s="4" t="s">
        <v>3057</v>
      </c>
      <c r="AE310" s="10">
        <f t="shared" si="93"/>
        <v>0</v>
      </c>
      <c r="AF310" s="4" t="s">
        <v>3057</v>
      </c>
      <c r="AG310" s="10">
        <f t="shared" si="94"/>
        <v>0</v>
      </c>
      <c r="AH310" s="4" t="s">
        <v>3057</v>
      </c>
      <c r="AI310" s="10">
        <f t="shared" si="95"/>
        <v>0</v>
      </c>
      <c r="AJ310" s="4" t="s">
        <v>3057</v>
      </c>
      <c r="AK310" s="10">
        <f t="shared" si="96"/>
        <v>0</v>
      </c>
      <c r="AL310" s="4" t="s">
        <v>3057</v>
      </c>
      <c r="AM310" s="10">
        <f t="shared" si="97"/>
        <v>0</v>
      </c>
      <c r="AN310" s="5">
        <f t="shared" si="98"/>
        <v>0</v>
      </c>
      <c r="AO310" s="6" t="str">
        <f t="shared" si="99"/>
        <v>0</v>
      </c>
    </row>
    <row r="311" spans="1:41" x14ac:dyDescent="0.25">
      <c r="A311" t="s">
        <v>2782</v>
      </c>
      <c r="B311" t="s">
        <v>2783</v>
      </c>
      <c r="C311" t="e">
        <f>_xlfn.XLOOKUP(A311,Fore!A:A,Fore!AC:AC)</f>
        <v>#DIV/0!</v>
      </c>
      <c r="D311" s="4" t="s">
        <v>3057</v>
      </c>
      <c r="E311" s="10" t="str">
        <f t="shared" si="80"/>
        <v>0</v>
      </c>
      <c r="F311" s="4" t="s">
        <v>3057</v>
      </c>
      <c r="G311" s="10">
        <f t="shared" si="81"/>
        <v>0</v>
      </c>
      <c r="H311" s="4" t="s">
        <v>3057</v>
      </c>
      <c r="I311" s="10">
        <f t="shared" si="82"/>
        <v>0</v>
      </c>
      <c r="J311" s="4" t="s">
        <v>3057</v>
      </c>
      <c r="K311" s="10">
        <f t="shared" si="83"/>
        <v>0</v>
      </c>
      <c r="L311" s="4" t="s">
        <v>3057</v>
      </c>
      <c r="M311" s="10">
        <f t="shared" si="84"/>
        <v>0</v>
      </c>
      <c r="N311" s="4" t="s">
        <v>3057</v>
      </c>
      <c r="O311" s="10">
        <f t="shared" si="85"/>
        <v>0</v>
      </c>
      <c r="P311" s="4" t="s">
        <v>3057</v>
      </c>
      <c r="Q311" s="10">
        <f t="shared" si="86"/>
        <v>0</v>
      </c>
      <c r="R311" s="4" t="s">
        <v>3057</v>
      </c>
      <c r="S311" s="10">
        <f t="shared" si="87"/>
        <v>0</v>
      </c>
      <c r="T311" s="4" t="s">
        <v>3057</v>
      </c>
      <c r="U311" s="10">
        <f t="shared" si="88"/>
        <v>0</v>
      </c>
      <c r="V311" s="4" t="s">
        <v>3057</v>
      </c>
      <c r="W311" s="10">
        <f t="shared" si="89"/>
        <v>0</v>
      </c>
      <c r="X311" s="4">
        <v>0</v>
      </c>
      <c r="Y311" s="10">
        <f t="shared" si="90"/>
        <v>0</v>
      </c>
      <c r="Z311" s="4" t="s">
        <v>3057</v>
      </c>
      <c r="AA311" s="10">
        <f t="shared" si="91"/>
        <v>0</v>
      </c>
      <c r="AB311" s="4" t="s">
        <v>3057</v>
      </c>
      <c r="AC311" s="10">
        <f t="shared" si="92"/>
        <v>0</v>
      </c>
      <c r="AD311" s="4" t="s">
        <v>3057</v>
      </c>
      <c r="AE311" s="10">
        <f t="shared" si="93"/>
        <v>0</v>
      </c>
      <c r="AF311" s="4" t="s">
        <v>3057</v>
      </c>
      <c r="AG311" s="10">
        <f t="shared" si="94"/>
        <v>0</v>
      </c>
      <c r="AH311" s="4" t="s">
        <v>3057</v>
      </c>
      <c r="AI311" s="10">
        <f t="shared" si="95"/>
        <v>0</v>
      </c>
      <c r="AJ311" s="4" t="s">
        <v>3057</v>
      </c>
      <c r="AK311" s="10">
        <f t="shared" si="96"/>
        <v>0</v>
      </c>
      <c r="AL311" s="4" t="s">
        <v>3057</v>
      </c>
      <c r="AM311" s="10">
        <f t="shared" si="97"/>
        <v>0</v>
      </c>
      <c r="AN311" s="5">
        <f t="shared" si="98"/>
        <v>0</v>
      </c>
      <c r="AO311" s="6" t="str">
        <f t="shared" si="99"/>
        <v>0</v>
      </c>
    </row>
    <row r="312" spans="1:41" x14ac:dyDescent="0.25">
      <c r="A312" t="s">
        <v>2786</v>
      </c>
      <c r="B312" t="s">
        <v>2787</v>
      </c>
      <c r="C312" t="e">
        <f>_xlfn.XLOOKUP(A312,Fore!A:A,Fore!AC:AC)</f>
        <v>#DIV/0!</v>
      </c>
      <c r="D312" s="4" t="s">
        <v>3057</v>
      </c>
      <c r="E312" s="10" t="str">
        <f t="shared" si="80"/>
        <v>0</v>
      </c>
      <c r="F312" s="4" t="s">
        <v>3057</v>
      </c>
      <c r="G312" s="10">
        <f t="shared" si="81"/>
        <v>0</v>
      </c>
      <c r="H312" s="4" t="s">
        <v>3057</v>
      </c>
      <c r="I312" s="10">
        <f t="shared" si="82"/>
        <v>0</v>
      </c>
      <c r="J312" s="4" t="s">
        <v>3057</v>
      </c>
      <c r="K312" s="10">
        <f t="shared" si="83"/>
        <v>0</v>
      </c>
      <c r="L312" s="4" t="s">
        <v>3057</v>
      </c>
      <c r="M312" s="10">
        <f t="shared" si="84"/>
        <v>0</v>
      </c>
      <c r="N312" s="4" t="s">
        <v>3057</v>
      </c>
      <c r="O312" s="10">
        <f t="shared" si="85"/>
        <v>0</v>
      </c>
      <c r="P312" s="4" t="s">
        <v>3057</v>
      </c>
      <c r="Q312" s="10">
        <f t="shared" si="86"/>
        <v>0</v>
      </c>
      <c r="R312" s="4" t="s">
        <v>3057</v>
      </c>
      <c r="S312" s="10">
        <f t="shared" si="87"/>
        <v>0</v>
      </c>
      <c r="T312" s="4" t="s">
        <v>3057</v>
      </c>
      <c r="U312" s="10">
        <f t="shared" si="88"/>
        <v>0</v>
      </c>
      <c r="V312" s="4" t="s">
        <v>3057</v>
      </c>
      <c r="W312" s="10">
        <f t="shared" si="89"/>
        <v>0</v>
      </c>
      <c r="X312" s="4">
        <v>0</v>
      </c>
      <c r="Y312" s="10">
        <f t="shared" si="90"/>
        <v>0</v>
      </c>
      <c r="Z312" s="4" t="s">
        <v>3057</v>
      </c>
      <c r="AA312" s="10">
        <f t="shared" si="91"/>
        <v>0</v>
      </c>
      <c r="AB312" s="4" t="s">
        <v>3057</v>
      </c>
      <c r="AC312" s="10">
        <f t="shared" si="92"/>
        <v>0</v>
      </c>
      <c r="AD312" s="4" t="s">
        <v>3057</v>
      </c>
      <c r="AE312" s="10">
        <f t="shared" si="93"/>
        <v>0</v>
      </c>
      <c r="AF312" s="4" t="s">
        <v>3057</v>
      </c>
      <c r="AG312" s="10">
        <f t="shared" si="94"/>
        <v>0</v>
      </c>
      <c r="AH312" s="4" t="s">
        <v>3057</v>
      </c>
      <c r="AI312" s="10">
        <f t="shared" si="95"/>
        <v>0</v>
      </c>
      <c r="AJ312" s="4" t="s">
        <v>3057</v>
      </c>
      <c r="AK312" s="10">
        <f t="shared" si="96"/>
        <v>0</v>
      </c>
      <c r="AL312" s="4" t="s">
        <v>3057</v>
      </c>
      <c r="AM312" s="10">
        <f t="shared" si="97"/>
        <v>0</v>
      </c>
      <c r="AN312" s="5">
        <f t="shared" si="98"/>
        <v>0</v>
      </c>
      <c r="AO312" s="6" t="str">
        <f t="shared" si="99"/>
        <v>0</v>
      </c>
    </row>
    <row r="313" spans="1:41" x14ac:dyDescent="0.25">
      <c r="A313" t="s">
        <v>2788</v>
      </c>
      <c r="B313" t="s">
        <v>2789</v>
      </c>
      <c r="C313" t="e">
        <f>_xlfn.XLOOKUP(A313,Fore!A:A,Fore!AC:AC)</f>
        <v>#DIV/0!</v>
      </c>
      <c r="D313" s="4" t="s">
        <v>3057</v>
      </c>
      <c r="E313" s="10" t="str">
        <f t="shared" si="80"/>
        <v>0</v>
      </c>
      <c r="F313" s="4" t="s">
        <v>3057</v>
      </c>
      <c r="G313" s="10">
        <f t="shared" si="81"/>
        <v>0</v>
      </c>
      <c r="H313" s="4" t="s">
        <v>3057</v>
      </c>
      <c r="I313" s="10">
        <f t="shared" si="82"/>
        <v>0</v>
      </c>
      <c r="J313" s="4" t="s">
        <v>3057</v>
      </c>
      <c r="K313" s="10">
        <f t="shared" si="83"/>
        <v>0</v>
      </c>
      <c r="L313" s="4" t="s">
        <v>3057</v>
      </c>
      <c r="M313" s="10">
        <f t="shared" si="84"/>
        <v>0</v>
      </c>
      <c r="N313" s="4" t="s">
        <v>3057</v>
      </c>
      <c r="O313" s="10">
        <f t="shared" si="85"/>
        <v>0</v>
      </c>
      <c r="P313" s="4" t="s">
        <v>3057</v>
      </c>
      <c r="Q313" s="10">
        <f t="shared" si="86"/>
        <v>0</v>
      </c>
      <c r="R313" s="4" t="s">
        <v>3057</v>
      </c>
      <c r="S313" s="10">
        <f t="shared" si="87"/>
        <v>0</v>
      </c>
      <c r="T313" s="4" t="s">
        <v>3057</v>
      </c>
      <c r="U313" s="10">
        <f t="shared" si="88"/>
        <v>0</v>
      </c>
      <c r="V313" s="4" t="s">
        <v>3057</v>
      </c>
      <c r="W313" s="10">
        <f t="shared" si="89"/>
        <v>0</v>
      </c>
      <c r="X313" s="4">
        <v>0</v>
      </c>
      <c r="Y313" s="10">
        <f t="shared" si="90"/>
        <v>0</v>
      </c>
      <c r="Z313" s="4" t="s">
        <v>3057</v>
      </c>
      <c r="AA313" s="10">
        <f t="shared" si="91"/>
        <v>0</v>
      </c>
      <c r="AB313" s="4" t="s">
        <v>3057</v>
      </c>
      <c r="AC313" s="10">
        <f t="shared" si="92"/>
        <v>0</v>
      </c>
      <c r="AD313" s="4" t="s">
        <v>3057</v>
      </c>
      <c r="AE313" s="10">
        <f t="shared" si="93"/>
        <v>0</v>
      </c>
      <c r="AF313" s="4" t="s">
        <v>3057</v>
      </c>
      <c r="AG313" s="10">
        <f t="shared" si="94"/>
        <v>0</v>
      </c>
      <c r="AH313" s="4" t="s">
        <v>3057</v>
      </c>
      <c r="AI313" s="10">
        <f t="shared" si="95"/>
        <v>0</v>
      </c>
      <c r="AJ313" s="4" t="s">
        <v>3057</v>
      </c>
      <c r="AK313" s="10">
        <f t="shared" si="96"/>
        <v>0</v>
      </c>
      <c r="AL313" s="4" t="s">
        <v>3057</v>
      </c>
      <c r="AM313" s="10">
        <f t="shared" si="97"/>
        <v>0</v>
      </c>
      <c r="AN313" s="5">
        <f t="shared" si="98"/>
        <v>0</v>
      </c>
      <c r="AO313" s="6" t="str">
        <f t="shared" si="99"/>
        <v>0</v>
      </c>
    </row>
    <row r="314" spans="1:41" x14ac:dyDescent="0.25">
      <c r="A314" t="s">
        <v>2790</v>
      </c>
      <c r="B314" t="s">
        <v>2791</v>
      </c>
      <c r="C314" t="e">
        <f>_xlfn.XLOOKUP(A314,Fore!A:A,Fore!AC:AC)</f>
        <v>#DIV/0!</v>
      </c>
      <c r="D314" s="4" t="s">
        <v>3057</v>
      </c>
      <c r="E314" s="10" t="str">
        <f t="shared" si="80"/>
        <v>0</v>
      </c>
      <c r="F314" s="4" t="s">
        <v>3057</v>
      </c>
      <c r="G314" s="10">
        <f t="shared" si="81"/>
        <v>0</v>
      </c>
      <c r="H314" s="4" t="s">
        <v>3057</v>
      </c>
      <c r="I314" s="10">
        <f t="shared" si="82"/>
        <v>0</v>
      </c>
      <c r="J314" s="4" t="s">
        <v>3057</v>
      </c>
      <c r="K314" s="10">
        <f t="shared" si="83"/>
        <v>0</v>
      </c>
      <c r="L314" s="4" t="s">
        <v>3057</v>
      </c>
      <c r="M314" s="10">
        <f t="shared" si="84"/>
        <v>0</v>
      </c>
      <c r="N314" s="4" t="s">
        <v>3057</v>
      </c>
      <c r="O314" s="10">
        <f t="shared" si="85"/>
        <v>0</v>
      </c>
      <c r="P314" s="4" t="s">
        <v>3057</v>
      </c>
      <c r="Q314" s="10">
        <f t="shared" si="86"/>
        <v>0</v>
      </c>
      <c r="R314" s="4" t="s">
        <v>3057</v>
      </c>
      <c r="S314" s="10">
        <f t="shared" si="87"/>
        <v>0</v>
      </c>
      <c r="T314" s="4" t="s">
        <v>3057</v>
      </c>
      <c r="U314" s="10">
        <f t="shared" si="88"/>
        <v>0</v>
      </c>
      <c r="V314" s="4" t="s">
        <v>3057</v>
      </c>
      <c r="W314" s="10">
        <f t="shared" si="89"/>
        <v>0</v>
      </c>
      <c r="X314" s="4">
        <v>0</v>
      </c>
      <c r="Y314" s="10">
        <f t="shared" si="90"/>
        <v>0</v>
      </c>
      <c r="Z314" s="4" t="s">
        <v>3057</v>
      </c>
      <c r="AA314" s="10">
        <f t="shared" si="91"/>
        <v>0</v>
      </c>
      <c r="AB314" s="4" t="s">
        <v>3057</v>
      </c>
      <c r="AC314" s="10">
        <f t="shared" si="92"/>
        <v>0</v>
      </c>
      <c r="AD314" s="4" t="s">
        <v>3057</v>
      </c>
      <c r="AE314" s="10">
        <f t="shared" si="93"/>
        <v>0</v>
      </c>
      <c r="AF314" s="4" t="s">
        <v>3057</v>
      </c>
      <c r="AG314" s="10">
        <f t="shared" si="94"/>
        <v>0</v>
      </c>
      <c r="AH314" s="4" t="s">
        <v>3057</v>
      </c>
      <c r="AI314" s="10">
        <f t="shared" si="95"/>
        <v>0</v>
      </c>
      <c r="AJ314" s="4" t="s">
        <v>3057</v>
      </c>
      <c r="AK314" s="10">
        <f t="shared" si="96"/>
        <v>0</v>
      </c>
      <c r="AL314" s="4" t="s">
        <v>3057</v>
      </c>
      <c r="AM314" s="10">
        <f t="shared" si="97"/>
        <v>0</v>
      </c>
      <c r="AN314" s="5">
        <f t="shared" si="98"/>
        <v>0</v>
      </c>
      <c r="AO314" s="6" t="str">
        <f t="shared" si="99"/>
        <v>0</v>
      </c>
    </row>
    <row r="315" spans="1:41" x14ac:dyDescent="0.25">
      <c r="A315" t="s">
        <v>2792</v>
      </c>
      <c r="B315" t="s">
        <v>2793</v>
      </c>
      <c r="C315" t="e">
        <f>_xlfn.XLOOKUP(A315,Fore!A:A,Fore!AC:AC)</f>
        <v>#DIV/0!</v>
      </c>
      <c r="D315" s="4" t="s">
        <v>3057</v>
      </c>
      <c r="E315" s="10" t="str">
        <f t="shared" si="80"/>
        <v>0</v>
      </c>
      <c r="F315" s="4" t="s">
        <v>3057</v>
      </c>
      <c r="G315" s="10">
        <f t="shared" si="81"/>
        <v>0</v>
      </c>
      <c r="H315" s="4" t="s">
        <v>3057</v>
      </c>
      <c r="I315" s="10">
        <f t="shared" si="82"/>
        <v>0</v>
      </c>
      <c r="J315" s="4" t="s">
        <v>3057</v>
      </c>
      <c r="K315" s="10">
        <f t="shared" si="83"/>
        <v>0</v>
      </c>
      <c r="L315" s="4" t="s">
        <v>3057</v>
      </c>
      <c r="M315" s="10">
        <f t="shared" si="84"/>
        <v>0</v>
      </c>
      <c r="N315" s="4" t="s">
        <v>3057</v>
      </c>
      <c r="O315" s="10">
        <f t="shared" si="85"/>
        <v>0</v>
      </c>
      <c r="P315" s="4" t="s">
        <v>3057</v>
      </c>
      <c r="Q315" s="10">
        <f t="shared" si="86"/>
        <v>0</v>
      </c>
      <c r="R315" s="4" t="s">
        <v>3057</v>
      </c>
      <c r="S315" s="10">
        <f t="shared" si="87"/>
        <v>0</v>
      </c>
      <c r="T315" s="4" t="s">
        <v>3057</v>
      </c>
      <c r="U315" s="10">
        <f t="shared" si="88"/>
        <v>0</v>
      </c>
      <c r="V315" s="4" t="s">
        <v>3057</v>
      </c>
      <c r="W315" s="10">
        <f t="shared" si="89"/>
        <v>0</v>
      </c>
      <c r="X315" s="4">
        <v>0</v>
      </c>
      <c r="Y315" s="10">
        <f t="shared" si="90"/>
        <v>0</v>
      </c>
      <c r="Z315" s="4" t="s">
        <v>3057</v>
      </c>
      <c r="AA315" s="10">
        <f t="shared" si="91"/>
        <v>0</v>
      </c>
      <c r="AB315" s="4" t="s">
        <v>3057</v>
      </c>
      <c r="AC315" s="10">
        <f t="shared" si="92"/>
        <v>0</v>
      </c>
      <c r="AD315" s="4" t="s">
        <v>3057</v>
      </c>
      <c r="AE315" s="10">
        <f t="shared" si="93"/>
        <v>0</v>
      </c>
      <c r="AF315" s="4" t="s">
        <v>3057</v>
      </c>
      <c r="AG315" s="10">
        <f t="shared" si="94"/>
        <v>0</v>
      </c>
      <c r="AH315" s="4" t="s">
        <v>3057</v>
      </c>
      <c r="AI315" s="10">
        <f t="shared" si="95"/>
        <v>0</v>
      </c>
      <c r="AJ315" s="4" t="s">
        <v>3057</v>
      </c>
      <c r="AK315" s="10">
        <f t="shared" si="96"/>
        <v>0</v>
      </c>
      <c r="AL315" s="4" t="s">
        <v>3057</v>
      </c>
      <c r="AM315" s="10">
        <f t="shared" si="97"/>
        <v>0</v>
      </c>
      <c r="AN315" s="5">
        <f t="shared" si="98"/>
        <v>0</v>
      </c>
      <c r="AO315" s="6" t="str">
        <f t="shared" si="99"/>
        <v>0</v>
      </c>
    </row>
    <row r="316" spans="1:41" x14ac:dyDescent="0.25">
      <c r="A316" t="s">
        <v>2794</v>
      </c>
      <c r="B316" t="s">
        <v>2795</v>
      </c>
      <c r="C316" t="e">
        <f>_xlfn.XLOOKUP(A316,Fore!A:A,Fore!AC:AC)</f>
        <v>#DIV/0!</v>
      </c>
      <c r="D316" s="4" t="s">
        <v>3057</v>
      </c>
      <c r="E316" s="10" t="str">
        <f t="shared" si="80"/>
        <v>0</v>
      </c>
      <c r="F316" s="4" t="s">
        <v>3057</v>
      </c>
      <c r="G316" s="10">
        <f t="shared" si="81"/>
        <v>0</v>
      </c>
      <c r="H316" s="4" t="s">
        <v>3057</v>
      </c>
      <c r="I316" s="10">
        <f t="shared" si="82"/>
        <v>0</v>
      </c>
      <c r="J316" s="4" t="s">
        <v>3057</v>
      </c>
      <c r="K316" s="10">
        <f t="shared" si="83"/>
        <v>0</v>
      </c>
      <c r="L316" s="4" t="s">
        <v>3057</v>
      </c>
      <c r="M316" s="10">
        <f t="shared" si="84"/>
        <v>0</v>
      </c>
      <c r="N316" s="4" t="s">
        <v>3057</v>
      </c>
      <c r="O316" s="10">
        <f t="shared" si="85"/>
        <v>0</v>
      </c>
      <c r="P316" s="4" t="s">
        <v>3057</v>
      </c>
      <c r="Q316" s="10">
        <f t="shared" si="86"/>
        <v>0</v>
      </c>
      <c r="R316" s="4" t="s">
        <v>3057</v>
      </c>
      <c r="S316" s="10">
        <f t="shared" si="87"/>
        <v>0</v>
      </c>
      <c r="T316" s="4" t="s">
        <v>3057</v>
      </c>
      <c r="U316" s="10">
        <f t="shared" si="88"/>
        <v>0</v>
      </c>
      <c r="V316" s="4" t="s">
        <v>3057</v>
      </c>
      <c r="W316" s="10">
        <f t="shared" si="89"/>
        <v>0</v>
      </c>
      <c r="X316" s="4">
        <v>0</v>
      </c>
      <c r="Y316" s="10">
        <f t="shared" si="90"/>
        <v>0</v>
      </c>
      <c r="Z316" s="4" t="s">
        <v>3057</v>
      </c>
      <c r="AA316" s="10">
        <f t="shared" si="91"/>
        <v>0</v>
      </c>
      <c r="AB316" s="4" t="s">
        <v>3057</v>
      </c>
      <c r="AC316" s="10">
        <f t="shared" si="92"/>
        <v>0</v>
      </c>
      <c r="AD316" s="4" t="s">
        <v>3057</v>
      </c>
      <c r="AE316" s="10">
        <f t="shared" si="93"/>
        <v>0</v>
      </c>
      <c r="AF316" s="4" t="s">
        <v>3057</v>
      </c>
      <c r="AG316" s="10">
        <f t="shared" si="94"/>
        <v>0</v>
      </c>
      <c r="AH316" s="4" t="s">
        <v>3057</v>
      </c>
      <c r="AI316" s="10">
        <f t="shared" si="95"/>
        <v>0</v>
      </c>
      <c r="AJ316" s="4" t="s">
        <v>3057</v>
      </c>
      <c r="AK316" s="10">
        <f t="shared" si="96"/>
        <v>0</v>
      </c>
      <c r="AL316" s="4" t="s">
        <v>3057</v>
      </c>
      <c r="AM316" s="10">
        <f t="shared" si="97"/>
        <v>0</v>
      </c>
      <c r="AN316" s="5">
        <f t="shared" si="98"/>
        <v>0</v>
      </c>
      <c r="AO316" s="6" t="str">
        <f t="shared" si="99"/>
        <v>0</v>
      </c>
    </row>
    <row r="317" spans="1:41" x14ac:dyDescent="0.25">
      <c r="A317" t="s">
        <v>2796</v>
      </c>
      <c r="B317" t="s">
        <v>2797</v>
      </c>
      <c r="C317" t="e">
        <f>_xlfn.XLOOKUP(A317,Fore!A:A,Fore!AC:AC)</f>
        <v>#DIV/0!</v>
      </c>
      <c r="D317" s="4" t="s">
        <v>3057</v>
      </c>
      <c r="E317" s="10" t="str">
        <f t="shared" si="80"/>
        <v>0</v>
      </c>
      <c r="F317" s="4" t="s">
        <v>3057</v>
      </c>
      <c r="G317" s="10">
        <f t="shared" si="81"/>
        <v>0</v>
      </c>
      <c r="H317" s="4" t="s">
        <v>3057</v>
      </c>
      <c r="I317" s="10">
        <f t="shared" si="82"/>
        <v>0</v>
      </c>
      <c r="J317" s="4" t="s">
        <v>3057</v>
      </c>
      <c r="K317" s="10">
        <f t="shared" si="83"/>
        <v>0</v>
      </c>
      <c r="L317" s="4" t="s">
        <v>3057</v>
      </c>
      <c r="M317" s="10">
        <f t="shared" si="84"/>
        <v>0</v>
      </c>
      <c r="N317" s="4" t="s">
        <v>3057</v>
      </c>
      <c r="O317" s="10">
        <f t="shared" si="85"/>
        <v>0</v>
      </c>
      <c r="P317" s="4" t="s">
        <v>3057</v>
      </c>
      <c r="Q317" s="10">
        <f t="shared" si="86"/>
        <v>0</v>
      </c>
      <c r="R317" s="4" t="s">
        <v>3057</v>
      </c>
      <c r="S317" s="10">
        <f t="shared" si="87"/>
        <v>0</v>
      </c>
      <c r="T317" s="4" t="s">
        <v>3057</v>
      </c>
      <c r="U317" s="10">
        <f t="shared" si="88"/>
        <v>0</v>
      </c>
      <c r="V317" s="4" t="s">
        <v>3057</v>
      </c>
      <c r="W317" s="10">
        <f t="shared" si="89"/>
        <v>0</v>
      </c>
      <c r="X317" s="4">
        <v>0</v>
      </c>
      <c r="Y317" s="10">
        <f t="shared" si="90"/>
        <v>0</v>
      </c>
      <c r="Z317" s="4" t="s">
        <v>3057</v>
      </c>
      <c r="AA317" s="10">
        <f t="shared" si="91"/>
        <v>0</v>
      </c>
      <c r="AB317" s="4" t="s">
        <v>3057</v>
      </c>
      <c r="AC317" s="10">
        <f t="shared" si="92"/>
        <v>0</v>
      </c>
      <c r="AD317" s="4" t="s">
        <v>3057</v>
      </c>
      <c r="AE317" s="10">
        <f t="shared" si="93"/>
        <v>0</v>
      </c>
      <c r="AF317" s="4" t="s">
        <v>3057</v>
      </c>
      <c r="AG317" s="10">
        <f t="shared" si="94"/>
        <v>0</v>
      </c>
      <c r="AH317" s="4" t="s">
        <v>3057</v>
      </c>
      <c r="AI317" s="10">
        <f t="shared" si="95"/>
        <v>0</v>
      </c>
      <c r="AJ317" s="4" t="s">
        <v>3057</v>
      </c>
      <c r="AK317" s="10">
        <f t="shared" si="96"/>
        <v>0</v>
      </c>
      <c r="AL317" s="4" t="s">
        <v>3057</v>
      </c>
      <c r="AM317" s="10">
        <f t="shared" si="97"/>
        <v>0</v>
      </c>
      <c r="AN317" s="5">
        <f t="shared" si="98"/>
        <v>0</v>
      </c>
      <c r="AO317" s="6" t="str">
        <f t="shared" si="99"/>
        <v>0</v>
      </c>
    </row>
    <row r="318" spans="1:41" x14ac:dyDescent="0.25">
      <c r="A318" t="s">
        <v>2798</v>
      </c>
      <c r="B318" t="s">
        <v>2799</v>
      </c>
      <c r="C318" t="e">
        <f>_xlfn.XLOOKUP(A318,Fore!A:A,Fore!AC:AC)</f>
        <v>#DIV/0!</v>
      </c>
      <c r="D318" s="4" t="s">
        <v>3057</v>
      </c>
      <c r="E318" s="10" t="str">
        <f t="shared" si="80"/>
        <v>0</v>
      </c>
      <c r="F318" s="4" t="s">
        <v>3057</v>
      </c>
      <c r="G318" s="10">
        <f t="shared" si="81"/>
        <v>0</v>
      </c>
      <c r="H318" s="4" t="s">
        <v>3057</v>
      </c>
      <c r="I318" s="10">
        <f t="shared" si="82"/>
        <v>0</v>
      </c>
      <c r="J318" s="4" t="s">
        <v>3057</v>
      </c>
      <c r="K318" s="10">
        <f t="shared" si="83"/>
        <v>0</v>
      </c>
      <c r="L318" s="4" t="s">
        <v>3057</v>
      </c>
      <c r="M318" s="10">
        <f t="shared" si="84"/>
        <v>0</v>
      </c>
      <c r="N318" s="4" t="s">
        <v>3057</v>
      </c>
      <c r="O318" s="10">
        <f t="shared" si="85"/>
        <v>0</v>
      </c>
      <c r="P318" s="4" t="s">
        <v>3057</v>
      </c>
      <c r="Q318" s="10">
        <f t="shared" si="86"/>
        <v>0</v>
      </c>
      <c r="R318" s="4" t="s">
        <v>3057</v>
      </c>
      <c r="S318" s="10">
        <f t="shared" si="87"/>
        <v>0</v>
      </c>
      <c r="T318" s="4" t="s">
        <v>3057</v>
      </c>
      <c r="U318" s="10">
        <f t="shared" si="88"/>
        <v>0</v>
      </c>
      <c r="V318" s="4" t="s">
        <v>3057</v>
      </c>
      <c r="W318" s="10">
        <f t="shared" si="89"/>
        <v>0</v>
      </c>
      <c r="X318" s="4">
        <v>0</v>
      </c>
      <c r="Y318" s="10">
        <f t="shared" si="90"/>
        <v>0</v>
      </c>
      <c r="Z318" s="4" t="s">
        <v>3057</v>
      </c>
      <c r="AA318" s="10">
        <f t="shared" si="91"/>
        <v>0</v>
      </c>
      <c r="AB318" s="4" t="s">
        <v>3057</v>
      </c>
      <c r="AC318" s="10">
        <f t="shared" si="92"/>
        <v>0</v>
      </c>
      <c r="AD318" s="4" t="s">
        <v>3057</v>
      </c>
      <c r="AE318" s="10">
        <f t="shared" si="93"/>
        <v>0</v>
      </c>
      <c r="AF318" s="4" t="s">
        <v>3057</v>
      </c>
      <c r="AG318" s="10">
        <f t="shared" si="94"/>
        <v>0</v>
      </c>
      <c r="AH318" s="4" t="s">
        <v>3057</v>
      </c>
      <c r="AI318" s="10">
        <f t="shared" si="95"/>
        <v>0</v>
      </c>
      <c r="AJ318" s="4" t="s">
        <v>3057</v>
      </c>
      <c r="AK318" s="10">
        <f t="shared" si="96"/>
        <v>0</v>
      </c>
      <c r="AL318" s="4" t="s">
        <v>3057</v>
      </c>
      <c r="AM318" s="10">
        <f t="shared" si="97"/>
        <v>0</v>
      </c>
      <c r="AN318" s="5">
        <f t="shared" si="98"/>
        <v>0</v>
      </c>
      <c r="AO318" s="6" t="str">
        <f t="shared" si="99"/>
        <v>0</v>
      </c>
    </row>
    <row r="319" spans="1:41" x14ac:dyDescent="0.25">
      <c r="A319" t="s">
        <v>2808</v>
      </c>
      <c r="B319" t="s">
        <v>2809</v>
      </c>
      <c r="C319" t="e">
        <f>_xlfn.XLOOKUP(A319,Fore!A:A,Fore!AC:AC)</f>
        <v>#DIV/0!</v>
      </c>
      <c r="D319" s="4" t="s">
        <v>3057</v>
      </c>
      <c r="E319" s="10" t="str">
        <f t="shared" si="80"/>
        <v>0</v>
      </c>
      <c r="F319" s="4" t="s">
        <v>3057</v>
      </c>
      <c r="G319" s="10">
        <f t="shared" si="81"/>
        <v>0</v>
      </c>
      <c r="H319" s="4" t="s">
        <v>3057</v>
      </c>
      <c r="I319" s="10">
        <f t="shared" si="82"/>
        <v>0</v>
      </c>
      <c r="J319" s="4" t="s">
        <v>3057</v>
      </c>
      <c r="K319" s="10">
        <f t="shared" si="83"/>
        <v>0</v>
      </c>
      <c r="L319" s="4" t="s">
        <v>3057</v>
      </c>
      <c r="M319" s="10">
        <f t="shared" si="84"/>
        <v>0</v>
      </c>
      <c r="N319" s="4" t="s">
        <v>3057</v>
      </c>
      <c r="O319" s="10">
        <f t="shared" si="85"/>
        <v>0</v>
      </c>
      <c r="P319" s="4" t="s">
        <v>3057</v>
      </c>
      <c r="Q319" s="10">
        <f t="shared" si="86"/>
        <v>0</v>
      </c>
      <c r="R319" s="4" t="s">
        <v>3057</v>
      </c>
      <c r="S319" s="10">
        <f t="shared" si="87"/>
        <v>0</v>
      </c>
      <c r="T319" s="4" t="s">
        <v>3057</v>
      </c>
      <c r="U319" s="10">
        <f t="shared" si="88"/>
        <v>0</v>
      </c>
      <c r="V319" s="4" t="s">
        <v>3057</v>
      </c>
      <c r="W319" s="10">
        <f t="shared" si="89"/>
        <v>0</v>
      </c>
      <c r="X319" s="4">
        <v>0</v>
      </c>
      <c r="Y319" s="10">
        <f t="shared" si="90"/>
        <v>0</v>
      </c>
      <c r="Z319" s="4" t="s">
        <v>3057</v>
      </c>
      <c r="AA319" s="10">
        <f t="shared" si="91"/>
        <v>0</v>
      </c>
      <c r="AB319" s="4" t="s">
        <v>3057</v>
      </c>
      <c r="AC319" s="10">
        <f t="shared" si="92"/>
        <v>0</v>
      </c>
      <c r="AD319" s="4" t="s">
        <v>3057</v>
      </c>
      <c r="AE319" s="10">
        <f t="shared" si="93"/>
        <v>0</v>
      </c>
      <c r="AF319" s="4" t="s">
        <v>3057</v>
      </c>
      <c r="AG319" s="10">
        <f t="shared" si="94"/>
        <v>0</v>
      </c>
      <c r="AH319" s="4" t="s">
        <v>3057</v>
      </c>
      <c r="AI319" s="10">
        <f t="shared" si="95"/>
        <v>0</v>
      </c>
      <c r="AJ319" s="4" t="s">
        <v>3057</v>
      </c>
      <c r="AK319" s="10">
        <f t="shared" si="96"/>
        <v>0</v>
      </c>
      <c r="AL319" s="4" t="s">
        <v>3057</v>
      </c>
      <c r="AM319" s="10">
        <f t="shared" si="97"/>
        <v>0</v>
      </c>
      <c r="AN319" s="5">
        <f t="shared" si="98"/>
        <v>0</v>
      </c>
      <c r="AO319" s="6" t="str">
        <f t="shared" si="99"/>
        <v>0</v>
      </c>
    </row>
    <row r="320" spans="1:41" x14ac:dyDescent="0.25">
      <c r="A320" t="s">
        <v>2810</v>
      </c>
      <c r="B320" t="s">
        <v>2811</v>
      </c>
      <c r="C320" t="e">
        <f>_xlfn.XLOOKUP(A320,Fore!A:A,Fore!AC:AC)</f>
        <v>#DIV/0!</v>
      </c>
      <c r="D320" s="4" t="s">
        <v>3057</v>
      </c>
      <c r="E320" s="10" t="str">
        <f t="shared" si="80"/>
        <v>0</v>
      </c>
      <c r="F320" s="4" t="s">
        <v>3057</v>
      </c>
      <c r="G320" s="10">
        <f t="shared" si="81"/>
        <v>0</v>
      </c>
      <c r="H320" s="4" t="s">
        <v>3057</v>
      </c>
      <c r="I320" s="10">
        <f t="shared" si="82"/>
        <v>0</v>
      </c>
      <c r="J320" s="4" t="s">
        <v>3057</v>
      </c>
      <c r="K320" s="10">
        <f t="shared" si="83"/>
        <v>0</v>
      </c>
      <c r="L320" s="4" t="s">
        <v>3057</v>
      </c>
      <c r="M320" s="10">
        <f t="shared" si="84"/>
        <v>0</v>
      </c>
      <c r="N320" s="4" t="s">
        <v>3057</v>
      </c>
      <c r="O320" s="10">
        <f t="shared" si="85"/>
        <v>0</v>
      </c>
      <c r="P320" s="4" t="s">
        <v>3057</v>
      </c>
      <c r="Q320" s="10">
        <f t="shared" si="86"/>
        <v>0</v>
      </c>
      <c r="R320" s="4" t="s">
        <v>3057</v>
      </c>
      <c r="S320" s="10">
        <f t="shared" si="87"/>
        <v>0</v>
      </c>
      <c r="T320" s="4" t="s">
        <v>3057</v>
      </c>
      <c r="U320" s="10">
        <f t="shared" si="88"/>
        <v>0</v>
      </c>
      <c r="V320" s="4" t="s">
        <v>3057</v>
      </c>
      <c r="W320" s="10">
        <f t="shared" si="89"/>
        <v>0</v>
      </c>
      <c r="X320" s="4">
        <v>0</v>
      </c>
      <c r="Y320" s="10">
        <f t="shared" si="90"/>
        <v>0</v>
      </c>
      <c r="Z320" s="4" t="s">
        <v>3057</v>
      </c>
      <c r="AA320" s="10">
        <f t="shared" si="91"/>
        <v>0</v>
      </c>
      <c r="AB320" s="4" t="s">
        <v>3057</v>
      </c>
      <c r="AC320" s="10">
        <f t="shared" si="92"/>
        <v>0</v>
      </c>
      <c r="AD320" s="4" t="s">
        <v>3057</v>
      </c>
      <c r="AE320" s="10">
        <f t="shared" si="93"/>
        <v>0</v>
      </c>
      <c r="AF320" s="4" t="s">
        <v>3057</v>
      </c>
      <c r="AG320" s="10">
        <f t="shared" si="94"/>
        <v>0</v>
      </c>
      <c r="AH320" s="4" t="s">
        <v>3057</v>
      </c>
      <c r="AI320" s="10">
        <f t="shared" si="95"/>
        <v>0</v>
      </c>
      <c r="AJ320" s="4" t="s">
        <v>3057</v>
      </c>
      <c r="AK320" s="10">
        <f t="shared" si="96"/>
        <v>0</v>
      </c>
      <c r="AL320" s="4" t="s">
        <v>3057</v>
      </c>
      <c r="AM320" s="10">
        <f t="shared" si="97"/>
        <v>0</v>
      </c>
      <c r="AN320" s="5">
        <f t="shared" si="98"/>
        <v>0</v>
      </c>
      <c r="AO320" s="6" t="str">
        <f t="shared" si="99"/>
        <v>0</v>
      </c>
    </row>
    <row r="321" spans="1:41" x14ac:dyDescent="0.25">
      <c r="A321" t="s">
        <v>2812</v>
      </c>
      <c r="B321" t="s">
        <v>2813</v>
      </c>
      <c r="C321" t="e">
        <f>_xlfn.XLOOKUP(A321,Fore!A:A,Fore!AC:AC)</f>
        <v>#DIV/0!</v>
      </c>
      <c r="D321" s="4" t="s">
        <v>3057</v>
      </c>
      <c r="E321" s="10" t="str">
        <f t="shared" si="80"/>
        <v>0</v>
      </c>
      <c r="F321" s="4" t="s">
        <v>3057</v>
      </c>
      <c r="G321" s="10">
        <f t="shared" si="81"/>
        <v>0</v>
      </c>
      <c r="H321" s="4" t="s">
        <v>3057</v>
      </c>
      <c r="I321" s="10">
        <f t="shared" si="82"/>
        <v>0</v>
      </c>
      <c r="J321" s="4" t="s">
        <v>3057</v>
      </c>
      <c r="K321" s="10">
        <f t="shared" si="83"/>
        <v>0</v>
      </c>
      <c r="L321" s="4" t="s">
        <v>3057</v>
      </c>
      <c r="M321" s="10">
        <f t="shared" si="84"/>
        <v>0</v>
      </c>
      <c r="N321" s="4" t="s">
        <v>3057</v>
      </c>
      <c r="O321" s="10">
        <f t="shared" si="85"/>
        <v>0</v>
      </c>
      <c r="P321" s="4" t="s">
        <v>3057</v>
      </c>
      <c r="Q321" s="10">
        <f t="shared" si="86"/>
        <v>0</v>
      </c>
      <c r="R321" s="4" t="s">
        <v>3057</v>
      </c>
      <c r="S321" s="10">
        <f t="shared" si="87"/>
        <v>0</v>
      </c>
      <c r="T321" s="4" t="s">
        <v>3057</v>
      </c>
      <c r="U321" s="10">
        <f t="shared" si="88"/>
        <v>0</v>
      </c>
      <c r="V321" s="4" t="s">
        <v>3057</v>
      </c>
      <c r="W321" s="10">
        <f t="shared" si="89"/>
        <v>0</v>
      </c>
      <c r="X321" s="4">
        <v>0</v>
      </c>
      <c r="Y321" s="10">
        <f t="shared" si="90"/>
        <v>0</v>
      </c>
      <c r="Z321" s="4" t="s">
        <v>3057</v>
      </c>
      <c r="AA321" s="10">
        <f t="shared" si="91"/>
        <v>0</v>
      </c>
      <c r="AB321" s="4" t="s">
        <v>3057</v>
      </c>
      <c r="AC321" s="10">
        <f t="shared" si="92"/>
        <v>0</v>
      </c>
      <c r="AD321" s="4" t="s">
        <v>3057</v>
      </c>
      <c r="AE321" s="10">
        <f t="shared" si="93"/>
        <v>0</v>
      </c>
      <c r="AF321" s="4" t="s">
        <v>3057</v>
      </c>
      <c r="AG321" s="10">
        <f t="shared" si="94"/>
        <v>0</v>
      </c>
      <c r="AH321" s="4" t="s">
        <v>3057</v>
      </c>
      <c r="AI321" s="10">
        <f t="shared" si="95"/>
        <v>0</v>
      </c>
      <c r="AJ321" s="4" t="s">
        <v>3057</v>
      </c>
      <c r="AK321" s="10">
        <f t="shared" si="96"/>
        <v>0</v>
      </c>
      <c r="AL321" s="4" t="s">
        <v>3057</v>
      </c>
      <c r="AM321" s="10">
        <f t="shared" si="97"/>
        <v>0</v>
      </c>
      <c r="AN321" s="5">
        <f t="shared" si="98"/>
        <v>0</v>
      </c>
      <c r="AO321" s="6" t="str">
        <f t="shared" si="99"/>
        <v>0</v>
      </c>
    </row>
    <row r="322" spans="1:41" x14ac:dyDescent="0.25">
      <c r="A322" t="s">
        <v>2814</v>
      </c>
      <c r="B322" t="s">
        <v>2815</v>
      </c>
      <c r="C322" t="e">
        <f>_xlfn.XLOOKUP(A322,Fore!A:A,Fore!AC:AC)</f>
        <v>#DIV/0!</v>
      </c>
      <c r="D322" s="4" t="s">
        <v>3057</v>
      </c>
      <c r="E322" s="10" t="str">
        <f t="shared" si="80"/>
        <v>0</v>
      </c>
      <c r="F322" s="4" t="s">
        <v>3057</v>
      </c>
      <c r="G322" s="10">
        <f t="shared" si="81"/>
        <v>0</v>
      </c>
      <c r="H322" s="4" t="s">
        <v>3057</v>
      </c>
      <c r="I322" s="10">
        <f t="shared" si="82"/>
        <v>0</v>
      </c>
      <c r="J322" s="4" t="s">
        <v>3057</v>
      </c>
      <c r="K322" s="10">
        <f t="shared" si="83"/>
        <v>0</v>
      </c>
      <c r="L322" s="4" t="s">
        <v>3057</v>
      </c>
      <c r="M322" s="10">
        <f t="shared" si="84"/>
        <v>0</v>
      </c>
      <c r="N322" s="4" t="s">
        <v>3057</v>
      </c>
      <c r="O322" s="10">
        <f t="shared" si="85"/>
        <v>0</v>
      </c>
      <c r="P322" s="4" t="s">
        <v>3057</v>
      </c>
      <c r="Q322" s="10">
        <f t="shared" si="86"/>
        <v>0</v>
      </c>
      <c r="R322" s="4" t="s">
        <v>3057</v>
      </c>
      <c r="S322" s="10">
        <f t="shared" si="87"/>
        <v>0</v>
      </c>
      <c r="T322" s="4" t="s">
        <v>3057</v>
      </c>
      <c r="U322" s="10">
        <f t="shared" si="88"/>
        <v>0</v>
      </c>
      <c r="V322" s="4" t="s">
        <v>3057</v>
      </c>
      <c r="W322" s="10">
        <f t="shared" si="89"/>
        <v>0</v>
      </c>
      <c r="X322" s="4">
        <v>0</v>
      </c>
      <c r="Y322" s="10">
        <f t="shared" si="90"/>
        <v>0</v>
      </c>
      <c r="Z322" s="4" t="s">
        <v>3057</v>
      </c>
      <c r="AA322" s="10">
        <f t="shared" si="91"/>
        <v>0</v>
      </c>
      <c r="AB322" s="4" t="s">
        <v>3057</v>
      </c>
      <c r="AC322" s="10">
        <f t="shared" si="92"/>
        <v>0</v>
      </c>
      <c r="AD322" s="4" t="s">
        <v>3057</v>
      </c>
      <c r="AE322" s="10">
        <f t="shared" si="93"/>
        <v>0</v>
      </c>
      <c r="AF322" s="4" t="s">
        <v>3057</v>
      </c>
      <c r="AG322" s="10">
        <f t="shared" si="94"/>
        <v>0</v>
      </c>
      <c r="AH322" s="4" t="s">
        <v>3057</v>
      </c>
      <c r="AI322" s="10">
        <f t="shared" si="95"/>
        <v>0</v>
      </c>
      <c r="AJ322" s="4" t="s">
        <v>3057</v>
      </c>
      <c r="AK322" s="10">
        <f t="shared" si="96"/>
        <v>0</v>
      </c>
      <c r="AL322" s="4" t="s">
        <v>3057</v>
      </c>
      <c r="AM322" s="10">
        <f t="shared" si="97"/>
        <v>0</v>
      </c>
      <c r="AN322" s="5">
        <f t="shared" si="98"/>
        <v>0</v>
      </c>
      <c r="AO322" s="6" t="str">
        <f t="shared" si="99"/>
        <v>0</v>
      </c>
    </row>
    <row r="323" spans="1:41" x14ac:dyDescent="0.25">
      <c r="A323" t="s">
        <v>2816</v>
      </c>
      <c r="B323" t="s">
        <v>2817</v>
      </c>
      <c r="C323" t="e">
        <f>_xlfn.XLOOKUP(A323,Fore!A:A,Fore!AC:AC)</f>
        <v>#DIV/0!</v>
      </c>
      <c r="D323" s="4" t="s">
        <v>3057</v>
      </c>
      <c r="E323" s="10" t="str">
        <f t="shared" si="80"/>
        <v>0</v>
      </c>
      <c r="F323" s="4" t="s">
        <v>3057</v>
      </c>
      <c r="G323" s="10">
        <f t="shared" si="81"/>
        <v>0</v>
      </c>
      <c r="H323" s="4" t="s">
        <v>3057</v>
      </c>
      <c r="I323" s="10">
        <f t="shared" si="82"/>
        <v>0</v>
      </c>
      <c r="J323" s="4" t="s">
        <v>3057</v>
      </c>
      <c r="K323" s="10">
        <f t="shared" si="83"/>
        <v>0</v>
      </c>
      <c r="L323" s="4" t="s">
        <v>3057</v>
      </c>
      <c r="M323" s="10">
        <f t="shared" si="84"/>
        <v>0</v>
      </c>
      <c r="N323" s="4" t="s">
        <v>3057</v>
      </c>
      <c r="O323" s="10">
        <f t="shared" si="85"/>
        <v>0</v>
      </c>
      <c r="P323" s="4" t="s">
        <v>3057</v>
      </c>
      <c r="Q323" s="10">
        <f t="shared" si="86"/>
        <v>0</v>
      </c>
      <c r="R323" s="4" t="s">
        <v>3057</v>
      </c>
      <c r="S323" s="10">
        <f t="shared" si="87"/>
        <v>0</v>
      </c>
      <c r="T323" s="4" t="s">
        <v>3057</v>
      </c>
      <c r="U323" s="10">
        <f t="shared" si="88"/>
        <v>0</v>
      </c>
      <c r="V323" s="4" t="s">
        <v>3057</v>
      </c>
      <c r="W323" s="10">
        <f t="shared" si="89"/>
        <v>0</v>
      </c>
      <c r="X323" s="4">
        <v>0</v>
      </c>
      <c r="Y323" s="10">
        <f t="shared" si="90"/>
        <v>0</v>
      </c>
      <c r="Z323" s="4" t="s">
        <v>3057</v>
      </c>
      <c r="AA323" s="10">
        <f t="shared" si="91"/>
        <v>0</v>
      </c>
      <c r="AB323" s="4" t="s">
        <v>3057</v>
      </c>
      <c r="AC323" s="10">
        <f t="shared" si="92"/>
        <v>0</v>
      </c>
      <c r="AD323" s="4" t="s">
        <v>3057</v>
      </c>
      <c r="AE323" s="10">
        <f t="shared" si="93"/>
        <v>0</v>
      </c>
      <c r="AF323" s="4" t="s">
        <v>3057</v>
      </c>
      <c r="AG323" s="10">
        <f t="shared" si="94"/>
        <v>0</v>
      </c>
      <c r="AH323" s="4" t="s">
        <v>3057</v>
      </c>
      <c r="AI323" s="10">
        <f t="shared" si="95"/>
        <v>0</v>
      </c>
      <c r="AJ323" s="4" t="s">
        <v>3057</v>
      </c>
      <c r="AK323" s="10">
        <f t="shared" si="96"/>
        <v>0</v>
      </c>
      <c r="AL323" s="4" t="s">
        <v>3057</v>
      </c>
      <c r="AM323" s="10">
        <f t="shared" si="97"/>
        <v>0</v>
      </c>
      <c r="AN323" s="5">
        <f t="shared" si="98"/>
        <v>0</v>
      </c>
      <c r="AO323" s="6" t="str">
        <f t="shared" si="99"/>
        <v>0</v>
      </c>
    </row>
    <row r="324" spans="1:41" x14ac:dyDescent="0.25">
      <c r="A324" t="s">
        <v>2818</v>
      </c>
      <c r="B324" t="s">
        <v>2819</v>
      </c>
      <c r="C324" t="e">
        <f>_xlfn.XLOOKUP(A324,Fore!A:A,Fore!AC:AC)</f>
        <v>#DIV/0!</v>
      </c>
      <c r="D324" s="4" t="s">
        <v>3057</v>
      </c>
      <c r="E324" s="10" t="str">
        <f t="shared" ref="E324:E387" si="100">D324</f>
        <v>0</v>
      </c>
      <c r="F324" s="4" t="s">
        <v>3057</v>
      </c>
      <c r="G324" s="10">
        <f t="shared" ref="G324:G387" si="101">$C$1*D324+(1-$C$1)*E324</f>
        <v>0</v>
      </c>
      <c r="H324" s="4" t="s">
        <v>3057</v>
      </c>
      <c r="I324" s="10">
        <f t="shared" ref="I324:I387" si="102">$C$1*F324+(1-$C$1)*G324</f>
        <v>0</v>
      </c>
      <c r="J324" s="4" t="s">
        <v>3057</v>
      </c>
      <c r="K324" s="10">
        <f t="shared" ref="K324:K387" si="103">$C$1*H324+(1-$C$1)*I324</f>
        <v>0</v>
      </c>
      <c r="L324" s="4" t="s">
        <v>3057</v>
      </c>
      <c r="M324" s="10">
        <f t="shared" ref="M324:M387" si="104">$C$1*J324+(1-$C$1)*K324</f>
        <v>0</v>
      </c>
      <c r="N324" s="4" t="s">
        <v>3057</v>
      </c>
      <c r="O324" s="10">
        <f t="shared" ref="O324:O387" si="105">$C$1*M324+(1-$C$1)*L324</f>
        <v>0</v>
      </c>
      <c r="P324" s="4" t="s">
        <v>3057</v>
      </c>
      <c r="Q324" s="10">
        <f t="shared" ref="Q324:Q387" si="106">$C$1*N324+(1-$C$1)*O324</f>
        <v>0</v>
      </c>
      <c r="R324" s="4" t="s">
        <v>3057</v>
      </c>
      <c r="S324" s="10">
        <f t="shared" ref="S324:S387" si="107">$C$1*P324+(1-$C$1)*Q324</f>
        <v>0</v>
      </c>
      <c r="T324" s="4" t="s">
        <v>3057</v>
      </c>
      <c r="U324" s="10">
        <f t="shared" ref="U324:U387" si="108">$C$1*R324+(1-$C$1)*S324</f>
        <v>0</v>
      </c>
      <c r="V324" s="4" t="s">
        <v>3057</v>
      </c>
      <c r="W324" s="10">
        <f t="shared" ref="W324:W387" si="109">$C$1*T324+(1-$C$1)*U324</f>
        <v>0</v>
      </c>
      <c r="X324" s="4">
        <v>0</v>
      </c>
      <c r="Y324" s="10">
        <f t="shared" ref="Y324:Y387" si="110">$C$1*V324+(1-$C$1)*W324</f>
        <v>0</v>
      </c>
      <c r="Z324" s="4" t="s">
        <v>3057</v>
      </c>
      <c r="AA324" s="10">
        <f t="shared" ref="AA324:AA387" si="111">$C$1*X324+(1-$C$1)*Y324</f>
        <v>0</v>
      </c>
      <c r="AB324" s="4" t="s">
        <v>3057</v>
      </c>
      <c r="AC324" s="10">
        <f t="shared" ref="AC324:AC387" si="112">$C$1*Z324+(1-$C$1)*AA324</f>
        <v>0</v>
      </c>
      <c r="AD324" s="4" t="s">
        <v>3057</v>
      </c>
      <c r="AE324" s="10">
        <f t="shared" ref="AE324:AE387" si="113">$C$1*AB324+(1-$C$1)*AC324</f>
        <v>0</v>
      </c>
      <c r="AF324" s="4" t="s">
        <v>3057</v>
      </c>
      <c r="AG324" s="10">
        <f t="shared" ref="AG324:AG387" si="114">$C$1*AD324+(1-$C$1)*AE324</f>
        <v>0</v>
      </c>
      <c r="AH324" s="4" t="s">
        <v>3057</v>
      </c>
      <c r="AI324" s="10">
        <f t="shared" ref="AI324:AI387" si="115">$C$1*AF324+(1-$C$1)*AG324</f>
        <v>0</v>
      </c>
      <c r="AJ324" s="4" t="s">
        <v>3057</v>
      </c>
      <c r="AK324" s="10">
        <f t="shared" ref="AK324:AK387" si="116">$C$1*AH324+(1-$C$1)*AI324</f>
        <v>0</v>
      </c>
      <c r="AL324" s="4" t="s">
        <v>3057</v>
      </c>
      <c r="AM324" s="10">
        <f t="shared" ref="AM324:AM387" si="117">$C$1*AJ324+(1-$C$1)*AK324</f>
        <v>0</v>
      </c>
      <c r="AN324" s="5">
        <f t="shared" ref="AN324:AN387" si="118">ABS(AL324-AM324)</f>
        <v>0</v>
      </c>
      <c r="AO324" s="6" t="str">
        <f t="shared" ref="AO324:AO387" si="119">IFERROR(ABS((AL324-AM324)/AL324),"0")</f>
        <v>0</v>
      </c>
    </row>
    <row r="325" spans="1:41" x14ac:dyDescent="0.25">
      <c r="A325" t="s">
        <v>2825</v>
      </c>
      <c r="B325" t="s">
        <v>2825</v>
      </c>
      <c r="C325" t="e">
        <f>_xlfn.XLOOKUP(A325,Fore!A:A,Fore!AC:AC)</f>
        <v>#DIV/0!</v>
      </c>
      <c r="D325" s="4" t="s">
        <v>3057</v>
      </c>
      <c r="E325" s="10" t="str">
        <f t="shared" si="100"/>
        <v>0</v>
      </c>
      <c r="F325" s="4" t="s">
        <v>3057</v>
      </c>
      <c r="G325" s="10">
        <f t="shared" si="101"/>
        <v>0</v>
      </c>
      <c r="H325" s="4" t="s">
        <v>3057</v>
      </c>
      <c r="I325" s="10">
        <f t="shared" si="102"/>
        <v>0</v>
      </c>
      <c r="J325" s="4" t="s">
        <v>3057</v>
      </c>
      <c r="K325" s="10">
        <f t="shared" si="103"/>
        <v>0</v>
      </c>
      <c r="L325" s="4" t="s">
        <v>3057</v>
      </c>
      <c r="M325" s="10">
        <f t="shared" si="104"/>
        <v>0</v>
      </c>
      <c r="N325" s="4" t="s">
        <v>3057</v>
      </c>
      <c r="O325" s="10">
        <f t="shared" si="105"/>
        <v>0</v>
      </c>
      <c r="P325" s="4" t="s">
        <v>3057</v>
      </c>
      <c r="Q325" s="10">
        <f t="shared" si="106"/>
        <v>0</v>
      </c>
      <c r="R325" s="4" t="s">
        <v>3057</v>
      </c>
      <c r="S325" s="10">
        <f t="shared" si="107"/>
        <v>0</v>
      </c>
      <c r="T325" s="4" t="s">
        <v>3057</v>
      </c>
      <c r="U325" s="10">
        <f t="shared" si="108"/>
        <v>0</v>
      </c>
      <c r="V325" s="4" t="s">
        <v>3057</v>
      </c>
      <c r="W325" s="10">
        <f t="shared" si="109"/>
        <v>0</v>
      </c>
      <c r="X325" s="4">
        <v>0</v>
      </c>
      <c r="Y325" s="10">
        <f t="shared" si="110"/>
        <v>0</v>
      </c>
      <c r="Z325" s="4" t="s">
        <v>3057</v>
      </c>
      <c r="AA325" s="10">
        <f t="shared" si="111"/>
        <v>0</v>
      </c>
      <c r="AB325" s="4" t="s">
        <v>3057</v>
      </c>
      <c r="AC325" s="10">
        <f t="shared" si="112"/>
        <v>0</v>
      </c>
      <c r="AD325" s="4" t="s">
        <v>3057</v>
      </c>
      <c r="AE325" s="10">
        <f t="shared" si="113"/>
        <v>0</v>
      </c>
      <c r="AF325" s="4" t="s">
        <v>3057</v>
      </c>
      <c r="AG325" s="10">
        <f t="shared" si="114"/>
        <v>0</v>
      </c>
      <c r="AH325" s="4" t="s">
        <v>3057</v>
      </c>
      <c r="AI325" s="10">
        <f t="shared" si="115"/>
        <v>0</v>
      </c>
      <c r="AJ325" s="4" t="s">
        <v>3057</v>
      </c>
      <c r="AK325" s="10">
        <f t="shared" si="116"/>
        <v>0</v>
      </c>
      <c r="AL325" s="4" t="s">
        <v>3057</v>
      </c>
      <c r="AM325" s="10">
        <f t="shared" si="117"/>
        <v>0</v>
      </c>
      <c r="AN325" s="5">
        <f t="shared" si="118"/>
        <v>0</v>
      </c>
      <c r="AO325" s="6" t="str">
        <f t="shared" si="119"/>
        <v>0</v>
      </c>
    </row>
    <row r="326" spans="1:41" x14ac:dyDescent="0.25">
      <c r="A326" t="s">
        <v>2826</v>
      </c>
      <c r="B326" t="s">
        <v>2826</v>
      </c>
      <c r="C326" t="e">
        <f>_xlfn.XLOOKUP(A326,Fore!A:A,Fore!AC:AC)</f>
        <v>#DIV/0!</v>
      </c>
      <c r="D326" s="4" t="s">
        <v>3057</v>
      </c>
      <c r="E326" s="10" t="str">
        <f t="shared" si="100"/>
        <v>0</v>
      </c>
      <c r="F326" s="4" t="s">
        <v>3057</v>
      </c>
      <c r="G326" s="10">
        <f t="shared" si="101"/>
        <v>0</v>
      </c>
      <c r="H326" s="4" t="s">
        <v>3057</v>
      </c>
      <c r="I326" s="10">
        <f t="shared" si="102"/>
        <v>0</v>
      </c>
      <c r="J326" s="4" t="s">
        <v>3057</v>
      </c>
      <c r="K326" s="10">
        <f t="shared" si="103"/>
        <v>0</v>
      </c>
      <c r="L326" s="4" t="s">
        <v>3057</v>
      </c>
      <c r="M326" s="10">
        <f t="shared" si="104"/>
        <v>0</v>
      </c>
      <c r="N326" s="4" t="s">
        <v>3057</v>
      </c>
      <c r="O326" s="10">
        <f t="shared" si="105"/>
        <v>0</v>
      </c>
      <c r="P326" s="4" t="s">
        <v>3057</v>
      </c>
      <c r="Q326" s="10">
        <f t="shared" si="106"/>
        <v>0</v>
      </c>
      <c r="R326" s="4" t="s">
        <v>3057</v>
      </c>
      <c r="S326" s="10">
        <f t="shared" si="107"/>
        <v>0</v>
      </c>
      <c r="T326" s="4" t="s">
        <v>3057</v>
      </c>
      <c r="U326" s="10">
        <f t="shared" si="108"/>
        <v>0</v>
      </c>
      <c r="V326" s="4" t="s">
        <v>3057</v>
      </c>
      <c r="W326" s="10">
        <f t="shared" si="109"/>
        <v>0</v>
      </c>
      <c r="X326" s="4">
        <v>0</v>
      </c>
      <c r="Y326" s="10">
        <f t="shared" si="110"/>
        <v>0</v>
      </c>
      <c r="Z326" s="4" t="s">
        <v>3057</v>
      </c>
      <c r="AA326" s="10">
        <f t="shared" si="111"/>
        <v>0</v>
      </c>
      <c r="AB326" s="4" t="s">
        <v>3057</v>
      </c>
      <c r="AC326" s="10">
        <f t="shared" si="112"/>
        <v>0</v>
      </c>
      <c r="AD326" s="4" t="s">
        <v>3057</v>
      </c>
      <c r="AE326" s="10">
        <f t="shared" si="113"/>
        <v>0</v>
      </c>
      <c r="AF326" s="4" t="s">
        <v>3057</v>
      </c>
      <c r="AG326" s="10">
        <f t="shared" si="114"/>
        <v>0</v>
      </c>
      <c r="AH326" s="4" t="s">
        <v>3057</v>
      </c>
      <c r="AI326" s="10">
        <f t="shared" si="115"/>
        <v>0</v>
      </c>
      <c r="AJ326" s="4" t="s">
        <v>3057</v>
      </c>
      <c r="AK326" s="10">
        <f t="shared" si="116"/>
        <v>0</v>
      </c>
      <c r="AL326" s="4" t="s">
        <v>3057</v>
      </c>
      <c r="AM326" s="10">
        <f t="shared" si="117"/>
        <v>0</v>
      </c>
      <c r="AN326" s="5">
        <f t="shared" si="118"/>
        <v>0</v>
      </c>
      <c r="AO326" s="6" t="str">
        <f t="shared" si="119"/>
        <v>0</v>
      </c>
    </row>
    <row r="327" spans="1:41" x14ac:dyDescent="0.25">
      <c r="A327" t="s">
        <v>2827</v>
      </c>
      <c r="B327" t="s">
        <v>2828</v>
      </c>
      <c r="C327" t="e">
        <f>_xlfn.XLOOKUP(A327,Fore!A:A,Fore!AC:AC)</f>
        <v>#DIV/0!</v>
      </c>
      <c r="D327" s="4" t="s">
        <v>3057</v>
      </c>
      <c r="E327" s="10" t="str">
        <f t="shared" si="100"/>
        <v>0</v>
      </c>
      <c r="F327" s="4" t="s">
        <v>3057</v>
      </c>
      <c r="G327" s="10">
        <f t="shared" si="101"/>
        <v>0</v>
      </c>
      <c r="H327" s="4" t="s">
        <v>3057</v>
      </c>
      <c r="I327" s="10">
        <f t="shared" si="102"/>
        <v>0</v>
      </c>
      <c r="J327" s="4" t="s">
        <v>3057</v>
      </c>
      <c r="K327" s="10">
        <f t="shared" si="103"/>
        <v>0</v>
      </c>
      <c r="L327" s="4" t="s">
        <v>3057</v>
      </c>
      <c r="M327" s="10">
        <f t="shared" si="104"/>
        <v>0</v>
      </c>
      <c r="N327" s="4" t="s">
        <v>3057</v>
      </c>
      <c r="O327" s="10">
        <f t="shared" si="105"/>
        <v>0</v>
      </c>
      <c r="P327" s="4" t="s">
        <v>3057</v>
      </c>
      <c r="Q327" s="10">
        <f t="shared" si="106"/>
        <v>0</v>
      </c>
      <c r="R327" s="4" t="s">
        <v>3057</v>
      </c>
      <c r="S327" s="10">
        <f t="shared" si="107"/>
        <v>0</v>
      </c>
      <c r="T327" s="4" t="s">
        <v>3057</v>
      </c>
      <c r="U327" s="10">
        <f t="shared" si="108"/>
        <v>0</v>
      </c>
      <c r="V327" s="4" t="s">
        <v>3057</v>
      </c>
      <c r="W327" s="10">
        <f t="shared" si="109"/>
        <v>0</v>
      </c>
      <c r="X327" s="4">
        <v>0</v>
      </c>
      <c r="Y327" s="10">
        <f t="shared" si="110"/>
        <v>0</v>
      </c>
      <c r="Z327" s="4" t="s">
        <v>3057</v>
      </c>
      <c r="AA327" s="10">
        <f t="shared" si="111"/>
        <v>0</v>
      </c>
      <c r="AB327" s="4" t="s">
        <v>3057</v>
      </c>
      <c r="AC327" s="10">
        <f t="shared" si="112"/>
        <v>0</v>
      </c>
      <c r="AD327" s="4" t="s">
        <v>3057</v>
      </c>
      <c r="AE327" s="10">
        <f t="shared" si="113"/>
        <v>0</v>
      </c>
      <c r="AF327" s="4" t="s">
        <v>3057</v>
      </c>
      <c r="AG327" s="10">
        <f t="shared" si="114"/>
        <v>0</v>
      </c>
      <c r="AH327" s="4" t="s">
        <v>3057</v>
      </c>
      <c r="AI327" s="10">
        <f t="shared" si="115"/>
        <v>0</v>
      </c>
      <c r="AJ327" s="4" t="s">
        <v>3057</v>
      </c>
      <c r="AK327" s="10">
        <f t="shared" si="116"/>
        <v>0</v>
      </c>
      <c r="AL327" s="4" t="s">
        <v>3057</v>
      </c>
      <c r="AM327" s="10">
        <f t="shared" si="117"/>
        <v>0</v>
      </c>
      <c r="AN327" s="5">
        <f t="shared" si="118"/>
        <v>0</v>
      </c>
      <c r="AO327" s="6" t="str">
        <f t="shared" si="119"/>
        <v>0</v>
      </c>
    </row>
    <row r="328" spans="1:41" x14ac:dyDescent="0.25">
      <c r="A328" t="s">
        <v>2829</v>
      </c>
      <c r="B328" t="s">
        <v>2830</v>
      </c>
      <c r="C328" t="e">
        <f>_xlfn.XLOOKUP(A328,Fore!A:A,Fore!AC:AC)</f>
        <v>#DIV/0!</v>
      </c>
      <c r="D328" s="4" t="s">
        <v>3057</v>
      </c>
      <c r="E328" s="10" t="str">
        <f t="shared" si="100"/>
        <v>0</v>
      </c>
      <c r="F328" s="4" t="s">
        <v>3057</v>
      </c>
      <c r="G328" s="10">
        <f t="shared" si="101"/>
        <v>0</v>
      </c>
      <c r="H328" s="4" t="s">
        <v>3057</v>
      </c>
      <c r="I328" s="10">
        <f t="shared" si="102"/>
        <v>0</v>
      </c>
      <c r="J328" s="4" t="s">
        <v>3057</v>
      </c>
      <c r="K328" s="10">
        <f t="shared" si="103"/>
        <v>0</v>
      </c>
      <c r="L328" s="4" t="s">
        <v>3057</v>
      </c>
      <c r="M328" s="10">
        <f t="shared" si="104"/>
        <v>0</v>
      </c>
      <c r="N328" s="4" t="s">
        <v>3057</v>
      </c>
      <c r="O328" s="10">
        <f t="shared" si="105"/>
        <v>0</v>
      </c>
      <c r="P328" s="4" t="s">
        <v>3057</v>
      </c>
      <c r="Q328" s="10">
        <f t="shared" si="106"/>
        <v>0</v>
      </c>
      <c r="R328" s="4" t="s">
        <v>3057</v>
      </c>
      <c r="S328" s="10">
        <f t="shared" si="107"/>
        <v>0</v>
      </c>
      <c r="T328" s="4" t="s">
        <v>3057</v>
      </c>
      <c r="U328" s="10">
        <f t="shared" si="108"/>
        <v>0</v>
      </c>
      <c r="V328" s="4" t="s">
        <v>3057</v>
      </c>
      <c r="W328" s="10">
        <f t="shared" si="109"/>
        <v>0</v>
      </c>
      <c r="X328" s="4">
        <v>0</v>
      </c>
      <c r="Y328" s="10">
        <f t="shared" si="110"/>
        <v>0</v>
      </c>
      <c r="Z328" s="4" t="s">
        <v>3057</v>
      </c>
      <c r="AA328" s="10">
        <f t="shared" si="111"/>
        <v>0</v>
      </c>
      <c r="AB328" s="4" t="s">
        <v>3057</v>
      </c>
      <c r="AC328" s="10">
        <f t="shared" si="112"/>
        <v>0</v>
      </c>
      <c r="AD328" s="4" t="s">
        <v>3057</v>
      </c>
      <c r="AE328" s="10">
        <f t="shared" si="113"/>
        <v>0</v>
      </c>
      <c r="AF328" s="4" t="s">
        <v>3057</v>
      </c>
      <c r="AG328" s="10">
        <f t="shared" si="114"/>
        <v>0</v>
      </c>
      <c r="AH328" s="4" t="s">
        <v>3057</v>
      </c>
      <c r="AI328" s="10">
        <f t="shared" si="115"/>
        <v>0</v>
      </c>
      <c r="AJ328" s="4" t="s">
        <v>3057</v>
      </c>
      <c r="AK328" s="10">
        <f t="shared" si="116"/>
        <v>0</v>
      </c>
      <c r="AL328" s="4" t="s">
        <v>3057</v>
      </c>
      <c r="AM328" s="10">
        <f t="shared" si="117"/>
        <v>0</v>
      </c>
      <c r="AN328" s="5">
        <f t="shared" si="118"/>
        <v>0</v>
      </c>
      <c r="AO328" s="6" t="str">
        <f t="shared" si="119"/>
        <v>0</v>
      </c>
    </row>
    <row r="329" spans="1:41" x14ac:dyDescent="0.25">
      <c r="A329" t="s">
        <v>2831</v>
      </c>
      <c r="B329" t="s">
        <v>2832</v>
      </c>
      <c r="C329" t="e">
        <f>_xlfn.XLOOKUP(A329,Fore!A:A,Fore!AC:AC)</f>
        <v>#DIV/0!</v>
      </c>
      <c r="D329" s="4" t="s">
        <v>3057</v>
      </c>
      <c r="E329" s="10" t="str">
        <f t="shared" si="100"/>
        <v>0</v>
      </c>
      <c r="F329" s="4" t="s">
        <v>3057</v>
      </c>
      <c r="G329" s="10">
        <f t="shared" si="101"/>
        <v>0</v>
      </c>
      <c r="H329" s="4" t="s">
        <v>3057</v>
      </c>
      <c r="I329" s="10">
        <f t="shared" si="102"/>
        <v>0</v>
      </c>
      <c r="J329" s="4" t="s">
        <v>3057</v>
      </c>
      <c r="K329" s="10">
        <f t="shared" si="103"/>
        <v>0</v>
      </c>
      <c r="L329" s="4" t="s">
        <v>3057</v>
      </c>
      <c r="M329" s="10">
        <f t="shared" si="104"/>
        <v>0</v>
      </c>
      <c r="N329" s="4" t="s">
        <v>3057</v>
      </c>
      <c r="O329" s="10">
        <f t="shared" si="105"/>
        <v>0</v>
      </c>
      <c r="P329" s="4" t="s">
        <v>3057</v>
      </c>
      <c r="Q329" s="10">
        <f t="shared" si="106"/>
        <v>0</v>
      </c>
      <c r="R329" s="4" t="s">
        <v>3057</v>
      </c>
      <c r="S329" s="10">
        <f t="shared" si="107"/>
        <v>0</v>
      </c>
      <c r="T329" s="4" t="s">
        <v>3057</v>
      </c>
      <c r="U329" s="10">
        <f t="shared" si="108"/>
        <v>0</v>
      </c>
      <c r="V329" s="4" t="s">
        <v>3057</v>
      </c>
      <c r="W329" s="10">
        <f t="shared" si="109"/>
        <v>0</v>
      </c>
      <c r="X329" s="4">
        <v>0</v>
      </c>
      <c r="Y329" s="10">
        <f t="shared" si="110"/>
        <v>0</v>
      </c>
      <c r="Z329" s="4" t="s">
        <v>3057</v>
      </c>
      <c r="AA329" s="10">
        <f t="shared" si="111"/>
        <v>0</v>
      </c>
      <c r="AB329" s="4" t="s">
        <v>3057</v>
      </c>
      <c r="AC329" s="10">
        <f t="shared" si="112"/>
        <v>0</v>
      </c>
      <c r="AD329" s="4" t="s">
        <v>3057</v>
      </c>
      <c r="AE329" s="10">
        <f t="shared" si="113"/>
        <v>0</v>
      </c>
      <c r="AF329" s="4" t="s">
        <v>3057</v>
      </c>
      <c r="AG329" s="10">
        <f t="shared" si="114"/>
        <v>0</v>
      </c>
      <c r="AH329" s="4" t="s">
        <v>3057</v>
      </c>
      <c r="AI329" s="10">
        <f t="shared" si="115"/>
        <v>0</v>
      </c>
      <c r="AJ329" s="4" t="s">
        <v>3057</v>
      </c>
      <c r="AK329" s="10">
        <f t="shared" si="116"/>
        <v>0</v>
      </c>
      <c r="AL329" s="4" t="s">
        <v>3057</v>
      </c>
      <c r="AM329" s="10">
        <f t="shared" si="117"/>
        <v>0</v>
      </c>
      <c r="AN329" s="5">
        <f t="shared" si="118"/>
        <v>0</v>
      </c>
      <c r="AO329" s="6" t="str">
        <f t="shared" si="119"/>
        <v>0</v>
      </c>
    </row>
    <row r="330" spans="1:41" x14ac:dyDescent="0.25">
      <c r="A330" t="s">
        <v>2833</v>
      </c>
      <c r="B330" t="s">
        <v>2833</v>
      </c>
      <c r="C330" t="e">
        <f>_xlfn.XLOOKUP(A330,Fore!A:A,Fore!AC:AC)</f>
        <v>#DIV/0!</v>
      </c>
      <c r="D330" s="4" t="s">
        <v>3057</v>
      </c>
      <c r="E330" s="10" t="str">
        <f t="shared" si="100"/>
        <v>0</v>
      </c>
      <c r="F330" s="4" t="s">
        <v>3057</v>
      </c>
      <c r="G330" s="10">
        <f t="shared" si="101"/>
        <v>0</v>
      </c>
      <c r="H330" s="4" t="s">
        <v>3057</v>
      </c>
      <c r="I330" s="10">
        <f t="shared" si="102"/>
        <v>0</v>
      </c>
      <c r="J330" s="4" t="s">
        <v>3057</v>
      </c>
      <c r="K330" s="10">
        <f t="shared" si="103"/>
        <v>0</v>
      </c>
      <c r="L330" s="4" t="s">
        <v>3057</v>
      </c>
      <c r="M330" s="10">
        <f t="shared" si="104"/>
        <v>0</v>
      </c>
      <c r="N330" s="4" t="s">
        <v>3057</v>
      </c>
      <c r="O330" s="10">
        <f t="shared" si="105"/>
        <v>0</v>
      </c>
      <c r="P330" s="4" t="s">
        <v>3057</v>
      </c>
      <c r="Q330" s="10">
        <f t="shared" si="106"/>
        <v>0</v>
      </c>
      <c r="R330" s="4" t="s">
        <v>3057</v>
      </c>
      <c r="S330" s="10">
        <f t="shared" si="107"/>
        <v>0</v>
      </c>
      <c r="T330" s="4" t="s">
        <v>3057</v>
      </c>
      <c r="U330" s="10">
        <f t="shared" si="108"/>
        <v>0</v>
      </c>
      <c r="V330" s="4" t="s">
        <v>3057</v>
      </c>
      <c r="W330" s="10">
        <f t="shared" si="109"/>
        <v>0</v>
      </c>
      <c r="X330" s="4">
        <v>0</v>
      </c>
      <c r="Y330" s="10">
        <f t="shared" si="110"/>
        <v>0</v>
      </c>
      <c r="Z330" s="4" t="s">
        <v>3057</v>
      </c>
      <c r="AA330" s="10">
        <f t="shared" si="111"/>
        <v>0</v>
      </c>
      <c r="AB330" s="4" t="s">
        <v>3057</v>
      </c>
      <c r="AC330" s="10">
        <f t="shared" si="112"/>
        <v>0</v>
      </c>
      <c r="AD330" s="4" t="s">
        <v>3057</v>
      </c>
      <c r="AE330" s="10">
        <f t="shared" si="113"/>
        <v>0</v>
      </c>
      <c r="AF330" s="4" t="s">
        <v>3057</v>
      </c>
      <c r="AG330" s="10">
        <f t="shared" si="114"/>
        <v>0</v>
      </c>
      <c r="AH330" s="4" t="s">
        <v>3057</v>
      </c>
      <c r="AI330" s="10">
        <f t="shared" si="115"/>
        <v>0</v>
      </c>
      <c r="AJ330" s="4" t="s">
        <v>3057</v>
      </c>
      <c r="AK330" s="10">
        <f t="shared" si="116"/>
        <v>0</v>
      </c>
      <c r="AL330" s="4" t="s">
        <v>3057</v>
      </c>
      <c r="AM330" s="10">
        <f t="shared" si="117"/>
        <v>0</v>
      </c>
      <c r="AN330" s="5">
        <f t="shared" si="118"/>
        <v>0</v>
      </c>
      <c r="AO330" s="6" t="str">
        <f t="shared" si="119"/>
        <v>0</v>
      </c>
    </row>
    <row r="331" spans="1:41" x14ac:dyDescent="0.25">
      <c r="A331" t="s">
        <v>2834</v>
      </c>
      <c r="B331" t="s">
        <v>2834</v>
      </c>
      <c r="C331" t="e">
        <f>_xlfn.XLOOKUP(A331,Fore!A:A,Fore!AC:AC)</f>
        <v>#DIV/0!</v>
      </c>
      <c r="D331" s="4" t="s">
        <v>3057</v>
      </c>
      <c r="E331" s="10" t="str">
        <f t="shared" si="100"/>
        <v>0</v>
      </c>
      <c r="F331" s="4" t="s">
        <v>3057</v>
      </c>
      <c r="G331" s="10">
        <f t="shared" si="101"/>
        <v>0</v>
      </c>
      <c r="H331" s="4" t="s">
        <v>3057</v>
      </c>
      <c r="I331" s="10">
        <f t="shared" si="102"/>
        <v>0</v>
      </c>
      <c r="J331" s="4" t="s">
        <v>3057</v>
      </c>
      <c r="K331" s="10">
        <f t="shared" si="103"/>
        <v>0</v>
      </c>
      <c r="L331" s="4" t="s">
        <v>3057</v>
      </c>
      <c r="M331" s="10">
        <f t="shared" si="104"/>
        <v>0</v>
      </c>
      <c r="N331" s="4" t="s">
        <v>3057</v>
      </c>
      <c r="O331" s="10">
        <f t="shared" si="105"/>
        <v>0</v>
      </c>
      <c r="P331" s="4" t="s">
        <v>3057</v>
      </c>
      <c r="Q331" s="10">
        <f t="shared" si="106"/>
        <v>0</v>
      </c>
      <c r="R331" s="4" t="s">
        <v>3057</v>
      </c>
      <c r="S331" s="10">
        <f t="shared" si="107"/>
        <v>0</v>
      </c>
      <c r="T331" s="4" t="s">
        <v>3057</v>
      </c>
      <c r="U331" s="10">
        <f t="shared" si="108"/>
        <v>0</v>
      </c>
      <c r="V331" s="4" t="s">
        <v>3057</v>
      </c>
      <c r="W331" s="10">
        <f t="shared" si="109"/>
        <v>0</v>
      </c>
      <c r="X331" s="4">
        <v>0</v>
      </c>
      <c r="Y331" s="10">
        <f t="shared" si="110"/>
        <v>0</v>
      </c>
      <c r="Z331" s="4" t="s">
        <v>3057</v>
      </c>
      <c r="AA331" s="10">
        <f t="shared" si="111"/>
        <v>0</v>
      </c>
      <c r="AB331" s="4" t="s">
        <v>3057</v>
      </c>
      <c r="AC331" s="10">
        <f t="shared" si="112"/>
        <v>0</v>
      </c>
      <c r="AD331" s="4" t="s">
        <v>3057</v>
      </c>
      <c r="AE331" s="10">
        <f t="shared" si="113"/>
        <v>0</v>
      </c>
      <c r="AF331" s="4" t="s">
        <v>3057</v>
      </c>
      <c r="AG331" s="10">
        <f t="shared" si="114"/>
        <v>0</v>
      </c>
      <c r="AH331" s="4" t="s">
        <v>3057</v>
      </c>
      <c r="AI331" s="10">
        <f t="shared" si="115"/>
        <v>0</v>
      </c>
      <c r="AJ331" s="4" t="s">
        <v>3057</v>
      </c>
      <c r="AK331" s="10">
        <f t="shared" si="116"/>
        <v>0</v>
      </c>
      <c r="AL331" s="4" t="s">
        <v>3057</v>
      </c>
      <c r="AM331" s="10">
        <f t="shared" si="117"/>
        <v>0</v>
      </c>
      <c r="AN331" s="5">
        <f t="shared" si="118"/>
        <v>0</v>
      </c>
      <c r="AO331" s="6" t="str">
        <f t="shared" si="119"/>
        <v>0</v>
      </c>
    </row>
    <row r="332" spans="1:41" x14ac:dyDescent="0.25">
      <c r="A332" t="s">
        <v>2670</v>
      </c>
      <c r="B332" t="s">
        <v>2670</v>
      </c>
      <c r="C332" t="e">
        <f>_xlfn.XLOOKUP(A332,Fore!A:A,Fore!AC:AC)</f>
        <v>#DIV/0!</v>
      </c>
      <c r="D332" s="4" t="s">
        <v>3057</v>
      </c>
      <c r="E332" s="10" t="str">
        <f t="shared" si="100"/>
        <v>0</v>
      </c>
      <c r="F332" s="4" t="s">
        <v>3057</v>
      </c>
      <c r="G332" s="10">
        <f t="shared" si="101"/>
        <v>0</v>
      </c>
      <c r="H332" s="4" t="s">
        <v>3057</v>
      </c>
      <c r="I332" s="10">
        <f t="shared" si="102"/>
        <v>0</v>
      </c>
      <c r="J332" s="4" t="s">
        <v>3057</v>
      </c>
      <c r="K332" s="10">
        <f t="shared" si="103"/>
        <v>0</v>
      </c>
      <c r="L332" s="4" t="s">
        <v>3057</v>
      </c>
      <c r="M332" s="10">
        <f t="shared" si="104"/>
        <v>0</v>
      </c>
      <c r="N332" s="4" t="s">
        <v>3057</v>
      </c>
      <c r="O332" s="10">
        <f t="shared" si="105"/>
        <v>0</v>
      </c>
      <c r="P332" s="4" t="s">
        <v>3057</v>
      </c>
      <c r="Q332" s="10">
        <f t="shared" si="106"/>
        <v>0</v>
      </c>
      <c r="R332" s="4" t="s">
        <v>3057</v>
      </c>
      <c r="S332" s="10">
        <f t="shared" si="107"/>
        <v>0</v>
      </c>
      <c r="T332" s="4" t="s">
        <v>3057</v>
      </c>
      <c r="U332" s="10">
        <f t="shared" si="108"/>
        <v>0</v>
      </c>
      <c r="V332" s="4" t="s">
        <v>3057</v>
      </c>
      <c r="W332" s="10">
        <f t="shared" si="109"/>
        <v>0</v>
      </c>
      <c r="X332" s="4">
        <v>0</v>
      </c>
      <c r="Y332" s="10">
        <f t="shared" si="110"/>
        <v>0</v>
      </c>
      <c r="Z332" s="4" t="s">
        <v>3057</v>
      </c>
      <c r="AA332" s="10">
        <f t="shared" si="111"/>
        <v>0</v>
      </c>
      <c r="AB332" s="4" t="s">
        <v>3057</v>
      </c>
      <c r="AC332" s="10">
        <f t="shared" si="112"/>
        <v>0</v>
      </c>
      <c r="AD332" s="4" t="s">
        <v>3057</v>
      </c>
      <c r="AE332" s="10">
        <f t="shared" si="113"/>
        <v>0</v>
      </c>
      <c r="AF332" s="4" t="s">
        <v>3057</v>
      </c>
      <c r="AG332" s="10">
        <f t="shared" si="114"/>
        <v>0</v>
      </c>
      <c r="AH332" s="4" t="s">
        <v>3057</v>
      </c>
      <c r="AI332" s="10">
        <f t="shared" si="115"/>
        <v>0</v>
      </c>
      <c r="AJ332" s="4" t="s">
        <v>3057</v>
      </c>
      <c r="AK332" s="10">
        <f t="shared" si="116"/>
        <v>0</v>
      </c>
      <c r="AL332" s="4" t="s">
        <v>3057</v>
      </c>
      <c r="AM332" s="10">
        <f t="shared" si="117"/>
        <v>0</v>
      </c>
      <c r="AN332" s="5">
        <f t="shared" si="118"/>
        <v>0</v>
      </c>
      <c r="AO332" s="6" t="str">
        <f t="shared" si="119"/>
        <v>0</v>
      </c>
    </row>
    <row r="333" spans="1:41" x14ac:dyDescent="0.25">
      <c r="A333" t="s">
        <v>2835</v>
      </c>
      <c r="B333" t="s">
        <v>2836</v>
      </c>
      <c r="C333" t="e">
        <f>_xlfn.XLOOKUP(A333,Fore!A:A,Fore!AC:AC)</f>
        <v>#DIV/0!</v>
      </c>
      <c r="D333" s="4" t="s">
        <v>3057</v>
      </c>
      <c r="E333" s="10" t="str">
        <f t="shared" si="100"/>
        <v>0</v>
      </c>
      <c r="F333" s="4" t="s">
        <v>3057</v>
      </c>
      <c r="G333" s="10">
        <f t="shared" si="101"/>
        <v>0</v>
      </c>
      <c r="H333" s="4" t="s">
        <v>3057</v>
      </c>
      <c r="I333" s="10">
        <f t="shared" si="102"/>
        <v>0</v>
      </c>
      <c r="J333" s="4" t="s">
        <v>3057</v>
      </c>
      <c r="K333" s="10">
        <f t="shared" si="103"/>
        <v>0</v>
      </c>
      <c r="L333" s="4" t="s">
        <v>3057</v>
      </c>
      <c r="M333" s="10">
        <f t="shared" si="104"/>
        <v>0</v>
      </c>
      <c r="N333" s="4" t="s">
        <v>3057</v>
      </c>
      <c r="O333" s="10">
        <f t="shared" si="105"/>
        <v>0</v>
      </c>
      <c r="P333" s="4" t="s">
        <v>3057</v>
      </c>
      <c r="Q333" s="10">
        <f t="shared" si="106"/>
        <v>0</v>
      </c>
      <c r="R333" s="4" t="s">
        <v>3057</v>
      </c>
      <c r="S333" s="10">
        <f t="shared" si="107"/>
        <v>0</v>
      </c>
      <c r="T333" s="4" t="s">
        <v>3057</v>
      </c>
      <c r="U333" s="10">
        <f t="shared" si="108"/>
        <v>0</v>
      </c>
      <c r="V333" s="4" t="s">
        <v>3057</v>
      </c>
      <c r="W333" s="10">
        <f t="shared" si="109"/>
        <v>0</v>
      </c>
      <c r="X333" s="4">
        <v>0</v>
      </c>
      <c r="Y333" s="10">
        <f t="shared" si="110"/>
        <v>0</v>
      </c>
      <c r="Z333" s="4" t="s">
        <v>3057</v>
      </c>
      <c r="AA333" s="10">
        <f t="shared" si="111"/>
        <v>0</v>
      </c>
      <c r="AB333" s="4" t="s">
        <v>3057</v>
      </c>
      <c r="AC333" s="10">
        <f t="shared" si="112"/>
        <v>0</v>
      </c>
      <c r="AD333" s="4" t="s">
        <v>3057</v>
      </c>
      <c r="AE333" s="10">
        <f t="shared" si="113"/>
        <v>0</v>
      </c>
      <c r="AF333" s="4" t="s">
        <v>3057</v>
      </c>
      <c r="AG333" s="10">
        <f t="shared" si="114"/>
        <v>0</v>
      </c>
      <c r="AH333" s="4" t="s">
        <v>3057</v>
      </c>
      <c r="AI333" s="10">
        <f t="shared" si="115"/>
        <v>0</v>
      </c>
      <c r="AJ333" s="4" t="s">
        <v>3057</v>
      </c>
      <c r="AK333" s="10">
        <f t="shared" si="116"/>
        <v>0</v>
      </c>
      <c r="AL333" s="4" t="s">
        <v>3057</v>
      </c>
      <c r="AM333" s="10">
        <f t="shared" si="117"/>
        <v>0</v>
      </c>
      <c r="AN333" s="5">
        <f t="shared" si="118"/>
        <v>0</v>
      </c>
      <c r="AO333" s="6" t="str">
        <f t="shared" si="119"/>
        <v>0</v>
      </c>
    </row>
    <row r="334" spans="1:41" x14ac:dyDescent="0.25">
      <c r="A334" t="s">
        <v>2837</v>
      </c>
      <c r="B334" t="s">
        <v>2838</v>
      </c>
      <c r="C334" t="e">
        <f>_xlfn.XLOOKUP(A334,Fore!A:A,Fore!AC:AC)</f>
        <v>#DIV/0!</v>
      </c>
      <c r="D334" s="4" t="s">
        <v>3057</v>
      </c>
      <c r="E334" s="10" t="str">
        <f t="shared" si="100"/>
        <v>0</v>
      </c>
      <c r="F334" s="4" t="s">
        <v>3057</v>
      </c>
      <c r="G334" s="10">
        <f t="shared" si="101"/>
        <v>0</v>
      </c>
      <c r="H334" s="4" t="s">
        <v>3057</v>
      </c>
      <c r="I334" s="10">
        <f t="shared" si="102"/>
        <v>0</v>
      </c>
      <c r="J334" s="4" t="s">
        <v>3057</v>
      </c>
      <c r="K334" s="10">
        <f t="shared" si="103"/>
        <v>0</v>
      </c>
      <c r="L334" s="4" t="s">
        <v>3057</v>
      </c>
      <c r="M334" s="10">
        <f t="shared" si="104"/>
        <v>0</v>
      </c>
      <c r="N334" s="4" t="s">
        <v>3057</v>
      </c>
      <c r="O334" s="10">
        <f t="shared" si="105"/>
        <v>0</v>
      </c>
      <c r="P334" s="4" t="s">
        <v>3057</v>
      </c>
      <c r="Q334" s="10">
        <f t="shared" si="106"/>
        <v>0</v>
      </c>
      <c r="R334" s="4" t="s">
        <v>3057</v>
      </c>
      <c r="S334" s="10">
        <f t="shared" si="107"/>
        <v>0</v>
      </c>
      <c r="T334" s="4" t="s">
        <v>3057</v>
      </c>
      <c r="U334" s="10">
        <f t="shared" si="108"/>
        <v>0</v>
      </c>
      <c r="V334" s="4" t="s">
        <v>3057</v>
      </c>
      <c r="W334" s="10">
        <f t="shared" si="109"/>
        <v>0</v>
      </c>
      <c r="X334" s="4">
        <v>0</v>
      </c>
      <c r="Y334" s="10">
        <f t="shared" si="110"/>
        <v>0</v>
      </c>
      <c r="Z334" s="4" t="s">
        <v>3057</v>
      </c>
      <c r="AA334" s="10">
        <f t="shared" si="111"/>
        <v>0</v>
      </c>
      <c r="AB334" s="4" t="s">
        <v>3057</v>
      </c>
      <c r="AC334" s="10">
        <f t="shared" si="112"/>
        <v>0</v>
      </c>
      <c r="AD334" s="4" t="s">
        <v>3057</v>
      </c>
      <c r="AE334" s="10">
        <f t="shared" si="113"/>
        <v>0</v>
      </c>
      <c r="AF334" s="4" t="s">
        <v>3057</v>
      </c>
      <c r="AG334" s="10">
        <f t="shared" si="114"/>
        <v>0</v>
      </c>
      <c r="AH334" s="4" t="s">
        <v>3057</v>
      </c>
      <c r="AI334" s="10">
        <f t="shared" si="115"/>
        <v>0</v>
      </c>
      <c r="AJ334" s="4" t="s">
        <v>3057</v>
      </c>
      <c r="AK334" s="10">
        <f t="shared" si="116"/>
        <v>0</v>
      </c>
      <c r="AL334" s="4" t="s">
        <v>3057</v>
      </c>
      <c r="AM334" s="10">
        <f t="shared" si="117"/>
        <v>0</v>
      </c>
      <c r="AN334" s="5">
        <f t="shared" si="118"/>
        <v>0</v>
      </c>
      <c r="AO334" s="6" t="str">
        <f t="shared" si="119"/>
        <v>0</v>
      </c>
    </row>
    <row r="335" spans="1:41" x14ac:dyDescent="0.25">
      <c r="A335" t="s">
        <v>2839</v>
      </c>
      <c r="B335" t="s">
        <v>2840</v>
      </c>
      <c r="C335" t="e">
        <f>_xlfn.XLOOKUP(A335,Fore!A:A,Fore!AC:AC)</f>
        <v>#DIV/0!</v>
      </c>
      <c r="D335" s="4" t="s">
        <v>3057</v>
      </c>
      <c r="E335" s="10" t="str">
        <f t="shared" si="100"/>
        <v>0</v>
      </c>
      <c r="F335" s="4" t="s">
        <v>3057</v>
      </c>
      <c r="G335" s="10">
        <f t="shared" si="101"/>
        <v>0</v>
      </c>
      <c r="H335" s="4" t="s">
        <v>3057</v>
      </c>
      <c r="I335" s="10">
        <f t="shared" si="102"/>
        <v>0</v>
      </c>
      <c r="J335" s="4" t="s">
        <v>3057</v>
      </c>
      <c r="K335" s="10">
        <f t="shared" si="103"/>
        <v>0</v>
      </c>
      <c r="L335" s="4" t="s">
        <v>3057</v>
      </c>
      <c r="M335" s="10">
        <f t="shared" si="104"/>
        <v>0</v>
      </c>
      <c r="N335" s="4" t="s">
        <v>3057</v>
      </c>
      <c r="O335" s="10">
        <f t="shared" si="105"/>
        <v>0</v>
      </c>
      <c r="P335" s="4" t="s">
        <v>3057</v>
      </c>
      <c r="Q335" s="10">
        <f t="shared" si="106"/>
        <v>0</v>
      </c>
      <c r="R335" s="4" t="s">
        <v>3057</v>
      </c>
      <c r="S335" s="10">
        <f t="shared" si="107"/>
        <v>0</v>
      </c>
      <c r="T335" s="4" t="s">
        <v>3057</v>
      </c>
      <c r="U335" s="10">
        <f t="shared" si="108"/>
        <v>0</v>
      </c>
      <c r="V335" s="4" t="s">
        <v>3057</v>
      </c>
      <c r="W335" s="10">
        <f t="shared" si="109"/>
        <v>0</v>
      </c>
      <c r="X335" s="4">
        <v>0</v>
      </c>
      <c r="Y335" s="10">
        <f t="shared" si="110"/>
        <v>0</v>
      </c>
      <c r="Z335" s="4" t="s">
        <v>3057</v>
      </c>
      <c r="AA335" s="10">
        <f t="shared" si="111"/>
        <v>0</v>
      </c>
      <c r="AB335" s="4" t="s">
        <v>3057</v>
      </c>
      <c r="AC335" s="10">
        <f t="shared" si="112"/>
        <v>0</v>
      </c>
      <c r="AD335" s="4" t="s">
        <v>3057</v>
      </c>
      <c r="AE335" s="10">
        <f t="shared" si="113"/>
        <v>0</v>
      </c>
      <c r="AF335" s="4" t="s">
        <v>3057</v>
      </c>
      <c r="AG335" s="10">
        <f t="shared" si="114"/>
        <v>0</v>
      </c>
      <c r="AH335" s="4" t="s">
        <v>3057</v>
      </c>
      <c r="AI335" s="10">
        <f t="shared" si="115"/>
        <v>0</v>
      </c>
      <c r="AJ335" s="4" t="s">
        <v>3057</v>
      </c>
      <c r="AK335" s="10">
        <f t="shared" si="116"/>
        <v>0</v>
      </c>
      <c r="AL335" s="4" t="s">
        <v>3057</v>
      </c>
      <c r="AM335" s="10">
        <f t="shared" si="117"/>
        <v>0</v>
      </c>
      <c r="AN335" s="5">
        <f t="shared" si="118"/>
        <v>0</v>
      </c>
      <c r="AO335" s="6" t="str">
        <f t="shared" si="119"/>
        <v>0</v>
      </c>
    </row>
    <row r="336" spans="1:41" x14ac:dyDescent="0.25">
      <c r="A336" t="s">
        <v>2841</v>
      </c>
      <c r="B336" t="s">
        <v>360</v>
      </c>
      <c r="C336" t="e">
        <f>_xlfn.XLOOKUP(A336,Fore!A:A,Fore!AC:AC)</f>
        <v>#DIV/0!</v>
      </c>
      <c r="D336" s="4" t="s">
        <v>3057</v>
      </c>
      <c r="E336" s="10" t="str">
        <f t="shared" si="100"/>
        <v>0</v>
      </c>
      <c r="F336" s="4" t="s">
        <v>3057</v>
      </c>
      <c r="G336" s="10">
        <f t="shared" si="101"/>
        <v>0</v>
      </c>
      <c r="H336" s="4" t="s">
        <v>3057</v>
      </c>
      <c r="I336" s="10">
        <f t="shared" si="102"/>
        <v>0</v>
      </c>
      <c r="J336" s="4" t="s">
        <v>3057</v>
      </c>
      <c r="K336" s="10">
        <f t="shared" si="103"/>
        <v>0</v>
      </c>
      <c r="L336" s="4" t="s">
        <v>3057</v>
      </c>
      <c r="M336" s="10">
        <f t="shared" si="104"/>
        <v>0</v>
      </c>
      <c r="N336" s="4" t="s">
        <v>3057</v>
      </c>
      <c r="O336" s="10">
        <f t="shared" si="105"/>
        <v>0</v>
      </c>
      <c r="P336" s="4" t="s">
        <v>3057</v>
      </c>
      <c r="Q336" s="10">
        <f t="shared" si="106"/>
        <v>0</v>
      </c>
      <c r="R336" s="4" t="s">
        <v>3057</v>
      </c>
      <c r="S336" s="10">
        <f t="shared" si="107"/>
        <v>0</v>
      </c>
      <c r="T336" s="4" t="s">
        <v>3057</v>
      </c>
      <c r="U336" s="10">
        <f t="shared" si="108"/>
        <v>0</v>
      </c>
      <c r="V336" s="4" t="s">
        <v>3057</v>
      </c>
      <c r="W336" s="10">
        <f t="shared" si="109"/>
        <v>0</v>
      </c>
      <c r="X336" s="4">
        <v>0</v>
      </c>
      <c r="Y336" s="10">
        <f t="shared" si="110"/>
        <v>0</v>
      </c>
      <c r="Z336" s="4" t="s">
        <v>3057</v>
      </c>
      <c r="AA336" s="10">
        <f t="shared" si="111"/>
        <v>0</v>
      </c>
      <c r="AB336" s="4" t="s">
        <v>3057</v>
      </c>
      <c r="AC336" s="10">
        <f t="shared" si="112"/>
        <v>0</v>
      </c>
      <c r="AD336" s="4" t="s">
        <v>3057</v>
      </c>
      <c r="AE336" s="10">
        <f t="shared" si="113"/>
        <v>0</v>
      </c>
      <c r="AF336" s="4" t="s">
        <v>3057</v>
      </c>
      <c r="AG336" s="10">
        <f t="shared" si="114"/>
        <v>0</v>
      </c>
      <c r="AH336" s="4" t="s">
        <v>3057</v>
      </c>
      <c r="AI336" s="10">
        <f t="shared" si="115"/>
        <v>0</v>
      </c>
      <c r="AJ336" s="4" t="s">
        <v>3057</v>
      </c>
      <c r="AK336" s="10">
        <f t="shared" si="116"/>
        <v>0</v>
      </c>
      <c r="AL336" s="4" t="s">
        <v>3057</v>
      </c>
      <c r="AM336" s="10">
        <f t="shared" si="117"/>
        <v>0</v>
      </c>
      <c r="AN336" s="5">
        <f t="shared" si="118"/>
        <v>0</v>
      </c>
      <c r="AO336" s="6" t="str">
        <f t="shared" si="119"/>
        <v>0</v>
      </c>
    </row>
    <row r="337" spans="1:41" x14ac:dyDescent="0.25">
      <c r="A337" t="s">
        <v>2842</v>
      </c>
      <c r="B337" t="s">
        <v>2842</v>
      </c>
      <c r="C337" t="e">
        <f>_xlfn.XLOOKUP(A337,Fore!A:A,Fore!AC:AC)</f>
        <v>#DIV/0!</v>
      </c>
      <c r="D337" s="4" t="s">
        <v>3057</v>
      </c>
      <c r="E337" s="10" t="str">
        <f t="shared" si="100"/>
        <v>0</v>
      </c>
      <c r="F337" s="4" t="s">
        <v>3057</v>
      </c>
      <c r="G337" s="10">
        <f t="shared" si="101"/>
        <v>0</v>
      </c>
      <c r="H337" s="4" t="s">
        <v>3057</v>
      </c>
      <c r="I337" s="10">
        <f t="shared" si="102"/>
        <v>0</v>
      </c>
      <c r="J337" s="4" t="s">
        <v>3057</v>
      </c>
      <c r="K337" s="10">
        <f t="shared" si="103"/>
        <v>0</v>
      </c>
      <c r="L337" s="4" t="s">
        <v>3057</v>
      </c>
      <c r="M337" s="10">
        <f t="shared" si="104"/>
        <v>0</v>
      </c>
      <c r="N337" s="4" t="s">
        <v>3057</v>
      </c>
      <c r="O337" s="10">
        <f t="shared" si="105"/>
        <v>0</v>
      </c>
      <c r="P337" s="4" t="s">
        <v>3057</v>
      </c>
      <c r="Q337" s="10">
        <f t="shared" si="106"/>
        <v>0</v>
      </c>
      <c r="R337" s="4" t="s">
        <v>3057</v>
      </c>
      <c r="S337" s="10">
        <f t="shared" si="107"/>
        <v>0</v>
      </c>
      <c r="T337" s="4" t="s">
        <v>3057</v>
      </c>
      <c r="U337" s="10">
        <f t="shared" si="108"/>
        <v>0</v>
      </c>
      <c r="V337" s="4" t="s">
        <v>3057</v>
      </c>
      <c r="W337" s="10">
        <f t="shared" si="109"/>
        <v>0</v>
      </c>
      <c r="X337" s="4">
        <v>0</v>
      </c>
      <c r="Y337" s="10">
        <f t="shared" si="110"/>
        <v>0</v>
      </c>
      <c r="Z337" s="4" t="s">
        <v>3057</v>
      </c>
      <c r="AA337" s="10">
        <f t="shared" si="111"/>
        <v>0</v>
      </c>
      <c r="AB337" s="4" t="s">
        <v>3057</v>
      </c>
      <c r="AC337" s="10">
        <f t="shared" si="112"/>
        <v>0</v>
      </c>
      <c r="AD337" s="4" t="s">
        <v>3057</v>
      </c>
      <c r="AE337" s="10">
        <f t="shared" si="113"/>
        <v>0</v>
      </c>
      <c r="AF337" s="4" t="s">
        <v>3057</v>
      </c>
      <c r="AG337" s="10">
        <f t="shared" si="114"/>
        <v>0</v>
      </c>
      <c r="AH337" s="4" t="s">
        <v>3057</v>
      </c>
      <c r="AI337" s="10">
        <f t="shared" si="115"/>
        <v>0</v>
      </c>
      <c r="AJ337" s="4" t="s">
        <v>3057</v>
      </c>
      <c r="AK337" s="10">
        <f t="shared" si="116"/>
        <v>0</v>
      </c>
      <c r="AL337" s="4" t="s">
        <v>3057</v>
      </c>
      <c r="AM337" s="10">
        <f t="shared" si="117"/>
        <v>0</v>
      </c>
      <c r="AN337" s="5">
        <f t="shared" si="118"/>
        <v>0</v>
      </c>
      <c r="AO337" s="6" t="str">
        <f t="shared" si="119"/>
        <v>0</v>
      </c>
    </row>
    <row r="338" spans="1:41" x14ac:dyDescent="0.25">
      <c r="A338" t="s">
        <v>2843</v>
      </c>
      <c r="B338" t="s">
        <v>2844</v>
      </c>
      <c r="C338" t="e">
        <f>_xlfn.XLOOKUP(A338,Fore!A:A,Fore!AC:AC)</f>
        <v>#DIV/0!</v>
      </c>
      <c r="D338" s="4" t="s">
        <v>3057</v>
      </c>
      <c r="E338" s="10" t="str">
        <f t="shared" si="100"/>
        <v>0</v>
      </c>
      <c r="F338" s="4" t="s">
        <v>3057</v>
      </c>
      <c r="G338" s="10">
        <f t="shared" si="101"/>
        <v>0</v>
      </c>
      <c r="H338" s="4" t="s">
        <v>3057</v>
      </c>
      <c r="I338" s="10">
        <f t="shared" si="102"/>
        <v>0</v>
      </c>
      <c r="J338" s="4" t="s">
        <v>3057</v>
      </c>
      <c r="K338" s="10">
        <f t="shared" si="103"/>
        <v>0</v>
      </c>
      <c r="L338" s="4" t="s">
        <v>3057</v>
      </c>
      <c r="M338" s="10">
        <f t="shared" si="104"/>
        <v>0</v>
      </c>
      <c r="N338" s="4" t="s">
        <v>3057</v>
      </c>
      <c r="O338" s="10">
        <f t="shared" si="105"/>
        <v>0</v>
      </c>
      <c r="P338" s="4" t="s">
        <v>3057</v>
      </c>
      <c r="Q338" s="10">
        <f t="shared" si="106"/>
        <v>0</v>
      </c>
      <c r="R338" s="4" t="s">
        <v>3057</v>
      </c>
      <c r="S338" s="10">
        <f t="shared" si="107"/>
        <v>0</v>
      </c>
      <c r="T338" s="4" t="s">
        <v>3057</v>
      </c>
      <c r="U338" s="10">
        <f t="shared" si="108"/>
        <v>0</v>
      </c>
      <c r="V338" s="4" t="s">
        <v>3057</v>
      </c>
      <c r="W338" s="10">
        <f t="shared" si="109"/>
        <v>0</v>
      </c>
      <c r="X338" s="4">
        <v>0</v>
      </c>
      <c r="Y338" s="10">
        <f t="shared" si="110"/>
        <v>0</v>
      </c>
      <c r="Z338" s="4" t="s">
        <v>3057</v>
      </c>
      <c r="AA338" s="10">
        <f t="shared" si="111"/>
        <v>0</v>
      </c>
      <c r="AB338" s="4" t="s">
        <v>3057</v>
      </c>
      <c r="AC338" s="10">
        <f t="shared" si="112"/>
        <v>0</v>
      </c>
      <c r="AD338" s="4" t="s">
        <v>3057</v>
      </c>
      <c r="AE338" s="10">
        <f t="shared" si="113"/>
        <v>0</v>
      </c>
      <c r="AF338" s="4" t="s">
        <v>3057</v>
      </c>
      <c r="AG338" s="10">
        <f t="shared" si="114"/>
        <v>0</v>
      </c>
      <c r="AH338" s="4" t="s">
        <v>3057</v>
      </c>
      <c r="AI338" s="10">
        <f t="shared" si="115"/>
        <v>0</v>
      </c>
      <c r="AJ338" s="4" t="s">
        <v>3057</v>
      </c>
      <c r="AK338" s="10">
        <f t="shared" si="116"/>
        <v>0</v>
      </c>
      <c r="AL338" s="4" t="s">
        <v>3057</v>
      </c>
      <c r="AM338" s="10">
        <f t="shared" si="117"/>
        <v>0</v>
      </c>
      <c r="AN338" s="5">
        <f t="shared" si="118"/>
        <v>0</v>
      </c>
      <c r="AO338" s="6" t="str">
        <f t="shared" si="119"/>
        <v>0</v>
      </c>
    </row>
    <row r="339" spans="1:41" x14ac:dyDescent="0.25">
      <c r="A339" t="s">
        <v>2845</v>
      </c>
      <c r="B339" t="s">
        <v>2846</v>
      </c>
      <c r="C339" t="e">
        <f>_xlfn.XLOOKUP(A339,Fore!A:A,Fore!AC:AC)</f>
        <v>#DIV/0!</v>
      </c>
      <c r="D339" s="4" t="s">
        <v>3057</v>
      </c>
      <c r="E339" s="10" t="str">
        <f t="shared" si="100"/>
        <v>0</v>
      </c>
      <c r="F339" s="4" t="s">
        <v>3057</v>
      </c>
      <c r="G339" s="10">
        <f t="shared" si="101"/>
        <v>0</v>
      </c>
      <c r="H339" s="4" t="s">
        <v>3057</v>
      </c>
      <c r="I339" s="10">
        <f t="shared" si="102"/>
        <v>0</v>
      </c>
      <c r="J339" s="4" t="s">
        <v>3057</v>
      </c>
      <c r="K339" s="10">
        <f t="shared" si="103"/>
        <v>0</v>
      </c>
      <c r="L339" s="4" t="s">
        <v>3057</v>
      </c>
      <c r="M339" s="10">
        <f t="shared" si="104"/>
        <v>0</v>
      </c>
      <c r="N339" s="4" t="s">
        <v>3057</v>
      </c>
      <c r="O339" s="10">
        <f t="shared" si="105"/>
        <v>0</v>
      </c>
      <c r="P339" s="4" t="s">
        <v>3057</v>
      </c>
      <c r="Q339" s="10">
        <f t="shared" si="106"/>
        <v>0</v>
      </c>
      <c r="R339" s="4" t="s">
        <v>3057</v>
      </c>
      <c r="S339" s="10">
        <f t="shared" si="107"/>
        <v>0</v>
      </c>
      <c r="T339" s="4" t="s">
        <v>3057</v>
      </c>
      <c r="U339" s="10">
        <f t="shared" si="108"/>
        <v>0</v>
      </c>
      <c r="V339" s="4" t="s">
        <v>3057</v>
      </c>
      <c r="W339" s="10">
        <f t="shared" si="109"/>
        <v>0</v>
      </c>
      <c r="X339" s="4">
        <v>0</v>
      </c>
      <c r="Y339" s="10">
        <f t="shared" si="110"/>
        <v>0</v>
      </c>
      <c r="Z339" s="4" t="s">
        <v>3057</v>
      </c>
      <c r="AA339" s="10">
        <f t="shared" si="111"/>
        <v>0</v>
      </c>
      <c r="AB339" s="4" t="s">
        <v>3057</v>
      </c>
      <c r="AC339" s="10">
        <f t="shared" si="112"/>
        <v>0</v>
      </c>
      <c r="AD339" s="4" t="s">
        <v>3057</v>
      </c>
      <c r="AE339" s="10">
        <f t="shared" si="113"/>
        <v>0</v>
      </c>
      <c r="AF339" s="4" t="s">
        <v>3057</v>
      </c>
      <c r="AG339" s="10">
        <f t="shared" si="114"/>
        <v>0</v>
      </c>
      <c r="AH339" s="4" t="s">
        <v>3057</v>
      </c>
      <c r="AI339" s="10">
        <f t="shared" si="115"/>
        <v>0</v>
      </c>
      <c r="AJ339" s="4" t="s">
        <v>3057</v>
      </c>
      <c r="AK339" s="10">
        <f t="shared" si="116"/>
        <v>0</v>
      </c>
      <c r="AL339" s="4" t="s">
        <v>3057</v>
      </c>
      <c r="AM339" s="10">
        <f t="shared" si="117"/>
        <v>0</v>
      </c>
      <c r="AN339" s="5">
        <f t="shared" si="118"/>
        <v>0</v>
      </c>
      <c r="AO339" s="6" t="str">
        <f t="shared" si="119"/>
        <v>0</v>
      </c>
    </row>
    <row r="340" spans="1:41" x14ac:dyDescent="0.25">
      <c r="A340" t="s">
        <v>2843</v>
      </c>
      <c r="B340" t="s">
        <v>2847</v>
      </c>
      <c r="C340" t="e">
        <f>_xlfn.XLOOKUP(A340,Fore!A:A,Fore!AC:AC)</f>
        <v>#DIV/0!</v>
      </c>
      <c r="D340" s="4" t="s">
        <v>3057</v>
      </c>
      <c r="E340" s="10" t="str">
        <f t="shared" si="100"/>
        <v>0</v>
      </c>
      <c r="F340" s="4" t="s">
        <v>3057</v>
      </c>
      <c r="G340" s="10">
        <f t="shared" si="101"/>
        <v>0</v>
      </c>
      <c r="H340" s="4" t="s">
        <v>3057</v>
      </c>
      <c r="I340" s="10">
        <f t="shared" si="102"/>
        <v>0</v>
      </c>
      <c r="J340" s="4" t="s">
        <v>3057</v>
      </c>
      <c r="K340" s="10">
        <f t="shared" si="103"/>
        <v>0</v>
      </c>
      <c r="L340" s="4" t="s">
        <v>3057</v>
      </c>
      <c r="M340" s="10">
        <f t="shared" si="104"/>
        <v>0</v>
      </c>
      <c r="N340" s="4" t="s">
        <v>3057</v>
      </c>
      <c r="O340" s="10">
        <f t="shared" si="105"/>
        <v>0</v>
      </c>
      <c r="P340" s="4" t="s">
        <v>3057</v>
      </c>
      <c r="Q340" s="10">
        <f t="shared" si="106"/>
        <v>0</v>
      </c>
      <c r="R340" s="4" t="s">
        <v>3057</v>
      </c>
      <c r="S340" s="10">
        <f t="shared" si="107"/>
        <v>0</v>
      </c>
      <c r="T340" s="4" t="s">
        <v>3057</v>
      </c>
      <c r="U340" s="10">
        <f t="shared" si="108"/>
        <v>0</v>
      </c>
      <c r="V340" s="4" t="s">
        <v>3057</v>
      </c>
      <c r="W340" s="10">
        <f t="shared" si="109"/>
        <v>0</v>
      </c>
      <c r="X340" s="4">
        <v>0</v>
      </c>
      <c r="Y340" s="10">
        <f t="shared" si="110"/>
        <v>0</v>
      </c>
      <c r="Z340" s="4" t="s">
        <v>3057</v>
      </c>
      <c r="AA340" s="10">
        <f t="shared" si="111"/>
        <v>0</v>
      </c>
      <c r="AB340" s="4" t="s">
        <v>3057</v>
      </c>
      <c r="AC340" s="10">
        <f t="shared" si="112"/>
        <v>0</v>
      </c>
      <c r="AD340" s="4" t="s">
        <v>3057</v>
      </c>
      <c r="AE340" s="10">
        <f t="shared" si="113"/>
        <v>0</v>
      </c>
      <c r="AF340" s="4" t="s">
        <v>3057</v>
      </c>
      <c r="AG340" s="10">
        <f t="shared" si="114"/>
        <v>0</v>
      </c>
      <c r="AH340" s="4" t="s">
        <v>3057</v>
      </c>
      <c r="AI340" s="10">
        <f t="shared" si="115"/>
        <v>0</v>
      </c>
      <c r="AJ340" s="4" t="s">
        <v>3057</v>
      </c>
      <c r="AK340" s="10">
        <f t="shared" si="116"/>
        <v>0</v>
      </c>
      <c r="AL340" s="4" t="s">
        <v>3057</v>
      </c>
      <c r="AM340" s="10">
        <f t="shared" si="117"/>
        <v>0</v>
      </c>
      <c r="AN340" s="5">
        <f t="shared" si="118"/>
        <v>0</v>
      </c>
      <c r="AO340" s="6" t="str">
        <f t="shared" si="119"/>
        <v>0</v>
      </c>
    </row>
    <row r="341" spans="1:41" x14ac:dyDescent="0.25">
      <c r="A341" t="s">
        <v>2845</v>
      </c>
      <c r="B341" t="s">
        <v>2848</v>
      </c>
      <c r="C341" t="e">
        <f>_xlfn.XLOOKUP(A341,Fore!A:A,Fore!AC:AC)</f>
        <v>#DIV/0!</v>
      </c>
      <c r="D341" s="4" t="s">
        <v>3057</v>
      </c>
      <c r="E341" s="10" t="str">
        <f t="shared" si="100"/>
        <v>0</v>
      </c>
      <c r="F341" s="4" t="s">
        <v>3057</v>
      </c>
      <c r="G341" s="10">
        <f t="shared" si="101"/>
        <v>0</v>
      </c>
      <c r="H341" s="4" t="s">
        <v>3057</v>
      </c>
      <c r="I341" s="10">
        <f t="shared" si="102"/>
        <v>0</v>
      </c>
      <c r="J341" s="4" t="s">
        <v>3057</v>
      </c>
      <c r="K341" s="10">
        <f t="shared" si="103"/>
        <v>0</v>
      </c>
      <c r="L341" s="4" t="s">
        <v>3057</v>
      </c>
      <c r="M341" s="10">
        <f t="shared" si="104"/>
        <v>0</v>
      </c>
      <c r="N341" s="4" t="s">
        <v>3057</v>
      </c>
      <c r="O341" s="10">
        <f t="shared" si="105"/>
        <v>0</v>
      </c>
      <c r="P341" s="4" t="s">
        <v>3057</v>
      </c>
      <c r="Q341" s="10">
        <f t="shared" si="106"/>
        <v>0</v>
      </c>
      <c r="R341" s="4" t="s">
        <v>3057</v>
      </c>
      <c r="S341" s="10">
        <f t="shared" si="107"/>
        <v>0</v>
      </c>
      <c r="T341" s="4" t="s">
        <v>3057</v>
      </c>
      <c r="U341" s="10">
        <f t="shared" si="108"/>
        <v>0</v>
      </c>
      <c r="V341" s="4" t="s">
        <v>3057</v>
      </c>
      <c r="W341" s="10">
        <f t="shared" si="109"/>
        <v>0</v>
      </c>
      <c r="X341" s="4">
        <v>0</v>
      </c>
      <c r="Y341" s="10">
        <f t="shared" si="110"/>
        <v>0</v>
      </c>
      <c r="Z341" s="4" t="s">
        <v>3057</v>
      </c>
      <c r="AA341" s="10">
        <f t="shared" si="111"/>
        <v>0</v>
      </c>
      <c r="AB341" s="4" t="s">
        <v>3057</v>
      </c>
      <c r="AC341" s="10">
        <f t="shared" si="112"/>
        <v>0</v>
      </c>
      <c r="AD341" s="4" t="s">
        <v>3057</v>
      </c>
      <c r="AE341" s="10">
        <f t="shared" si="113"/>
        <v>0</v>
      </c>
      <c r="AF341" s="4" t="s">
        <v>3057</v>
      </c>
      <c r="AG341" s="10">
        <f t="shared" si="114"/>
        <v>0</v>
      </c>
      <c r="AH341" s="4" t="s">
        <v>3057</v>
      </c>
      <c r="AI341" s="10">
        <f t="shared" si="115"/>
        <v>0</v>
      </c>
      <c r="AJ341" s="4" t="s">
        <v>3057</v>
      </c>
      <c r="AK341" s="10">
        <f t="shared" si="116"/>
        <v>0</v>
      </c>
      <c r="AL341" s="4" t="s">
        <v>3057</v>
      </c>
      <c r="AM341" s="10">
        <f t="shared" si="117"/>
        <v>0</v>
      </c>
      <c r="AN341" s="5">
        <f t="shared" si="118"/>
        <v>0</v>
      </c>
      <c r="AO341" s="6" t="str">
        <f t="shared" si="119"/>
        <v>0</v>
      </c>
    </row>
    <row r="342" spans="1:41" x14ac:dyDescent="0.25">
      <c r="A342" t="s">
        <v>2849</v>
      </c>
      <c r="B342" t="s">
        <v>2850</v>
      </c>
      <c r="C342" t="e">
        <f>_xlfn.XLOOKUP(A342,Fore!A:A,Fore!AC:AC)</f>
        <v>#DIV/0!</v>
      </c>
      <c r="D342" s="4" t="s">
        <v>3057</v>
      </c>
      <c r="E342" s="10" t="str">
        <f t="shared" si="100"/>
        <v>0</v>
      </c>
      <c r="F342" s="4" t="s">
        <v>3057</v>
      </c>
      <c r="G342" s="10">
        <f t="shared" si="101"/>
        <v>0</v>
      </c>
      <c r="H342" s="4" t="s">
        <v>3057</v>
      </c>
      <c r="I342" s="10">
        <f t="shared" si="102"/>
        <v>0</v>
      </c>
      <c r="J342" s="4" t="s">
        <v>3057</v>
      </c>
      <c r="K342" s="10">
        <f t="shared" si="103"/>
        <v>0</v>
      </c>
      <c r="L342" s="4" t="s">
        <v>3057</v>
      </c>
      <c r="M342" s="10">
        <f t="shared" si="104"/>
        <v>0</v>
      </c>
      <c r="N342" s="4" t="s">
        <v>3057</v>
      </c>
      <c r="O342" s="10">
        <f t="shared" si="105"/>
        <v>0</v>
      </c>
      <c r="P342" s="4" t="s">
        <v>3057</v>
      </c>
      <c r="Q342" s="10">
        <f t="shared" si="106"/>
        <v>0</v>
      </c>
      <c r="R342" s="4" t="s">
        <v>3057</v>
      </c>
      <c r="S342" s="10">
        <f t="shared" si="107"/>
        <v>0</v>
      </c>
      <c r="T342" s="4" t="s">
        <v>3057</v>
      </c>
      <c r="U342" s="10">
        <f t="shared" si="108"/>
        <v>0</v>
      </c>
      <c r="V342" s="4" t="s">
        <v>3057</v>
      </c>
      <c r="W342" s="10">
        <f t="shared" si="109"/>
        <v>0</v>
      </c>
      <c r="X342" s="4">
        <v>0</v>
      </c>
      <c r="Y342" s="10">
        <f t="shared" si="110"/>
        <v>0</v>
      </c>
      <c r="Z342" s="4" t="s">
        <v>3057</v>
      </c>
      <c r="AA342" s="10">
        <f t="shared" si="111"/>
        <v>0</v>
      </c>
      <c r="AB342" s="4" t="s">
        <v>3057</v>
      </c>
      <c r="AC342" s="10">
        <f t="shared" si="112"/>
        <v>0</v>
      </c>
      <c r="AD342" s="4" t="s">
        <v>3057</v>
      </c>
      <c r="AE342" s="10">
        <f t="shared" si="113"/>
        <v>0</v>
      </c>
      <c r="AF342" s="4" t="s">
        <v>3057</v>
      </c>
      <c r="AG342" s="10">
        <f t="shared" si="114"/>
        <v>0</v>
      </c>
      <c r="AH342" s="4" t="s">
        <v>3057</v>
      </c>
      <c r="AI342" s="10">
        <f t="shared" si="115"/>
        <v>0</v>
      </c>
      <c r="AJ342" s="4" t="s">
        <v>3057</v>
      </c>
      <c r="AK342" s="10">
        <f t="shared" si="116"/>
        <v>0</v>
      </c>
      <c r="AL342" s="4" t="s">
        <v>3057</v>
      </c>
      <c r="AM342" s="10">
        <f t="shared" si="117"/>
        <v>0</v>
      </c>
      <c r="AN342" s="5">
        <f t="shared" si="118"/>
        <v>0</v>
      </c>
      <c r="AO342" s="6" t="str">
        <f t="shared" si="119"/>
        <v>0</v>
      </c>
    </row>
    <row r="343" spans="1:41" x14ac:dyDescent="0.25">
      <c r="A343" t="s">
        <v>2851</v>
      </c>
      <c r="B343" t="s">
        <v>2851</v>
      </c>
      <c r="C343" t="e">
        <f>_xlfn.XLOOKUP(A343,Fore!A:A,Fore!AC:AC)</f>
        <v>#DIV/0!</v>
      </c>
      <c r="D343" s="4" t="s">
        <v>3057</v>
      </c>
      <c r="E343" s="10" t="str">
        <f t="shared" si="100"/>
        <v>0</v>
      </c>
      <c r="F343" s="4" t="s">
        <v>3057</v>
      </c>
      <c r="G343" s="10">
        <f t="shared" si="101"/>
        <v>0</v>
      </c>
      <c r="H343" s="4" t="s">
        <v>3057</v>
      </c>
      <c r="I343" s="10">
        <f t="shared" si="102"/>
        <v>0</v>
      </c>
      <c r="J343" s="4" t="s">
        <v>3057</v>
      </c>
      <c r="K343" s="10">
        <f t="shared" si="103"/>
        <v>0</v>
      </c>
      <c r="L343" s="4" t="s">
        <v>3057</v>
      </c>
      <c r="M343" s="10">
        <f t="shared" si="104"/>
        <v>0</v>
      </c>
      <c r="N343" s="4" t="s">
        <v>3057</v>
      </c>
      <c r="O343" s="10">
        <f t="shared" si="105"/>
        <v>0</v>
      </c>
      <c r="P343" s="4" t="s">
        <v>3057</v>
      </c>
      <c r="Q343" s="10">
        <f t="shared" si="106"/>
        <v>0</v>
      </c>
      <c r="R343" s="4" t="s">
        <v>3057</v>
      </c>
      <c r="S343" s="10">
        <f t="shared" si="107"/>
        <v>0</v>
      </c>
      <c r="T343" s="4" t="s">
        <v>3057</v>
      </c>
      <c r="U343" s="10">
        <f t="shared" si="108"/>
        <v>0</v>
      </c>
      <c r="V343" s="4" t="s">
        <v>3057</v>
      </c>
      <c r="W343" s="10">
        <f t="shared" si="109"/>
        <v>0</v>
      </c>
      <c r="X343" s="4">
        <v>0</v>
      </c>
      <c r="Y343" s="10">
        <f t="shared" si="110"/>
        <v>0</v>
      </c>
      <c r="Z343" s="4" t="s">
        <v>3057</v>
      </c>
      <c r="AA343" s="10">
        <f t="shared" si="111"/>
        <v>0</v>
      </c>
      <c r="AB343" s="4" t="s">
        <v>3057</v>
      </c>
      <c r="AC343" s="10">
        <f t="shared" si="112"/>
        <v>0</v>
      </c>
      <c r="AD343" s="4" t="s">
        <v>3057</v>
      </c>
      <c r="AE343" s="10">
        <f t="shared" si="113"/>
        <v>0</v>
      </c>
      <c r="AF343" s="4" t="s">
        <v>3057</v>
      </c>
      <c r="AG343" s="10">
        <f t="shared" si="114"/>
        <v>0</v>
      </c>
      <c r="AH343" s="4" t="s">
        <v>3057</v>
      </c>
      <c r="AI343" s="10">
        <f t="shared" si="115"/>
        <v>0</v>
      </c>
      <c r="AJ343" s="4" t="s">
        <v>3057</v>
      </c>
      <c r="AK343" s="10">
        <f t="shared" si="116"/>
        <v>0</v>
      </c>
      <c r="AL343" s="4" t="s">
        <v>3057</v>
      </c>
      <c r="AM343" s="10">
        <f t="shared" si="117"/>
        <v>0</v>
      </c>
      <c r="AN343" s="5">
        <f t="shared" si="118"/>
        <v>0</v>
      </c>
      <c r="AO343" s="6" t="str">
        <f t="shared" si="119"/>
        <v>0</v>
      </c>
    </row>
    <row r="344" spans="1:41" x14ac:dyDescent="0.25">
      <c r="A344" t="s">
        <v>2845</v>
      </c>
      <c r="B344" t="s">
        <v>2852</v>
      </c>
      <c r="C344" t="e">
        <f>_xlfn.XLOOKUP(A344,Fore!A:A,Fore!AC:AC)</f>
        <v>#DIV/0!</v>
      </c>
      <c r="D344" s="4" t="s">
        <v>3057</v>
      </c>
      <c r="E344" s="10" t="str">
        <f t="shared" si="100"/>
        <v>0</v>
      </c>
      <c r="F344" s="4" t="s">
        <v>3057</v>
      </c>
      <c r="G344" s="10">
        <f t="shared" si="101"/>
        <v>0</v>
      </c>
      <c r="H344" s="4" t="s">
        <v>3057</v>
      </c>
      <c r="I344" s="10">
        <f t="shared" si="102"/>
        <v>0</v>
      </c>
      <c r="J344" s="4" t="s">
        <v>3057</v>
      </c>
      <c r="K344" s="10">
        <f t="shared" si="103"/>
        <v>0</v>
      </c>
      <c r="L344" s="4" t="s">
        <v>3057</v>
      </c>
      <c r="M344" s="10">
        <f t="shared" si="104"/>
        <v>0</v>
      </c>
      <c r="N344" s="4" t="s">
        <v>3057</v>
      </c>
      <c r="O344" s="10">
        <f t="shared" si="105"/>
        <v>0</v>
      </c>
      <c r="P344" s="4" t="s">
        <v>3057</v>
      </c>
      <c r="Q344" s="10">
        <f t="shared" si="106"/>
        <v>0</v>
      </c>
      <c r="R344" s="4" t="s">
        <v>3057</v>
      </c>
      <c r="S344" s="10">
        <f t="shared" si="107"/>
        <v>0</v>
      </c>
      <c r="T344" s="4" t="s">
        <v>3057</v>
      </c>
      <c r="U344" s="10">
        <f t="shared" si="108"/>
        <v>0</v>
      </c>
      <c r="V344" s="4" t="s">
        <v>3057</v>
      </c>
      <c r="W344" s="10">
        <f t="shared" si="109"/>
        <v>0</v>
      </c>
      <c r="X344" s="4">
        <v>0</v>
      </c>
      <c r="Y344" s="10">
        <f t="shared" si="110"/>
        <v>0</v>
      </c>
      <c r="Z344" s="4" t="s">
        <v>3057</v>
      </c>
      <c r="AA344" s="10">
        <f t="shared" si="111"/>
        <v>0</v>
      </c>
      <c r="AB344" s="4" t="s">
        <v>3057</v>
      </c>
      <c r="AC344" s="10">
        <f t="shared" si="112"/>
        <v>0</v>
      </c>
      <c r="AD344" s="4" t="s">
        <v>3057</v>
      </c>
      <c r="AE344" s="10">
        <f t="shared" si="113"/>
        <v>0</v>
      </c>
      <c r="AF344" s="4" t="s">
        <v>3057</v>
      </c>
      <c r="AG344" s="10">
        <f t="shared" si="114"/>
        <v>0</v>
      </c>
      <c r="AH344" s="4" t="s">
        <v>3057</v>
      </c>
      <c r="AI344" s="10">
        <f t="shared" si="115"/>
        <v>0</v>
      </c>
      <c r="AJ344" s="4" t="s">
        <v>3057</v>
      </c>
      <c r="AK344" s="10">
        <f t="shared" si="116"/>
        <v>0</v>
      </c>
      <c r="AL344" s="4" t="s">
        <v>3057</v>
      </c>
      <c r="AM344" s="10">
        <f t="shared" si="117"/>
        <v>0</v>
      </c>
      <c r="AN344" s="5">
        <f t="shared" si="118"/>
        <v>0</v>
      </c>
      <c r="AO344" s="6" t="str">
        <f t="shared" si="119"/>
        <v>0</v>
      </c>
    </row>
    <row r="345" spans="1:41" x14ac:dyDescent="0.25">
      <c r="A345" t="s">
        <v>2857</v>
      </c>
      <c r="B345" t="s">
        <v>2858</v>
      </c>
      <c r="C345" t="e">
        <f>_xlfn.XLOOKUP(A345,Fore!A:A,Fore!AC:AC)</f>
        <v>#DIV/0!</v>
      </c>
      <c r="D345" s="4" t="s">
        <v>3057</v>
      </c>
      <c r="E345" s="10" t="str">
        <f t="shared" si="100"/>
        <v>0</v>
      </c>
      <c r="F345" s="4" t="s">
        <v>3057</v>
      </c>
      <c r="G345" s="10">
        <f t="shared" si="101"/>
        <v>0</v>
      </c>
      <c r="H345" s="4" t="s">
        <v>3057</v>
      </c>
      <c r="I345" s="10">
        <f t="shared" si="102"/>
        <v>0</v>
      </c>
      <c r="J345" s="4" t="s">
        <v>3057</v>
      </c>
      <c r="K345" s="10">
        <f t="shared" si="103"/>
        <v>0</v>
      </c>
      <c r="L345" s="4" t="s">
        <v>3057</v>
      </c>
      <c r="M345" s="10">
        <f t="shared" si="104"/>
        <v>0</v>
      </c>
      <c r="N345" s="4" t="s">
        <v>3057</v>
      </c>
      <c r="O345" s="10">
        <f t="shared" si="105"/>
        <v>0</v>
      </c>
      <c r="P345" s="4" t="s">
        <v>3057</v>
      </c>
      <c r="Q345" s="10">
        <f t="shared" si="106"/>
        <v>0</v>
      </c>
      <c r="R345" s="4" t="s">
        <v>3057</v>
      </c>
      <c r="S345" s="10">
        <f t="shared" si="107"/>
        <v>0</v>
      </c>
      <c r="T345" s="4" t="s">
        <v>3057</v>
      </c>
      <c r="U345" s="10">
        <f t="shared" si="108"/>
        <v>0</v>
      </c>
      <c r="V345" s="4" t="s">
        <v>3057</v>
      </c>
      <c r="W345" s="10">
        <f t="shared" si="109"/>
        <v>0</v>
      </c>
      <c r="X345" s="4">
        <v>0</v>
      </c>
      <c r="Y345" s="10">
        <f t="shared" si="110"/>
        <v>0</v>
      </c>
      <c r="Z345" s="4" t="s">
        <v>3057</v>
      </c>
      <c r="AA345" s="10">
        <f t="shared" si="111"/>
        <v>0</v>
      </c>
      <c r="AB345" s="4" t="s">
        <v>3057</v>
      </c>
      <c r="AC345" s="10">
        <f t="shared" si="112"/>
        <v>0</v>
      </c>
      <c r="AD345" s="4" t="s">
        <v>3057</v>
      </c>
      <c r="AE345" s="10">
        <f t="shared" si="113"/>
        <v>0</v>
      </c>
      <c r="AF345" s="4" t="s">
        <v>3057</v>
      </c>
      <c r="AG345" s="10">
        <f t="shared" si="114"/>
        <v>0</v>
      </c>
      <c r="AH345" s="4" t="s">
        <v>3057</v>
      </c>
      <c r="AI345" s="10">
        <f t="shared" si="115"/>
        <v>0</v>
      </c>
      <c r="AJ345" s="4" t="s">
        <v>3057</v>
      </c>
      <c r="AK345" s="10">
        <f t="shared" si="116"/>
        <v>0</v>
      </c>
      <c r="AL345" s="4" t="s">
        <v>3057</v>
      </c>
      <c r="AM345" s="10">
        <f t="shared" si="117"/>
        <v>0</v>
      </c>
      <c r="AN345" s="5">
        <f t="shared" si="118"/>
        <v>0</v>
      </c>
      <c r="AO345" s="6" t="str">
        <f t="shared" si="119"/>
        <v>0</v>
      </c>
    </row>
    <row r="346" spans="1:41" x14ac:dyDescent="0.25">
      <c r="A346" t="s">
        <v>2861</v>
      </c>
      <c r="B346" t="s">
        <v>2862</v>
      </c>
      <c r="C346" t="e">
        <f>_xlfn.XLOOKUP(A346,Fore!A:A,Fore!AC:AC)</f>
        <v>#DIV/0!</v>
      </c>
      <c r="D346" s="4" t="s">
        <v>3057</v>
      </c>
      <c r="E346" s="10" t="str">
        <f t="shared" si="100"/>
        <v>0</v>
      </c>
      <c r="F346" s="4" t="s">
        <v>3057</v>
      </c>
      <c r="G346" s="10">
        <f t="shared" si="101"/>
        <v>0</v>
      </c>
      <c r="H346" s="4" t="s">
        <v>3057</v>
      </c>
      <c r="I346" s="10">
        <f t="shared" si="102"/>
        <v>0</v>
      </c>
      <c r="J346" s="4" t="s">
        <v>3057</v>
      </c>
      <c r="K346" s="10">
        <f t="shared" si="103"/>
        <v>0</v>
      </c>
      <c r="L346" s="4" t="s">
        <v>3057</v>
      </c>
      <c r="M346" s="10">
        <f t="shared" si="104"/>
        <v>0</v>
      </c>
      <c r="N346" s="4" t="s">
        <v>3057</v>
      </c>
      <c r="O346" s="10">
        <f t="shared" si="105"/>
        <v>0</v>
      </c>
      <c r="P346" s="4" t="s">
        <v>3057</v>
      </c>
      <c r="Q346" s="10">
        <f t="shared" si="106"/>
        <v>0</v>
      </c>
      <c r="R346" s="4" t="s">
        <v>3057</v>
      </c>
      <c r="S346" s="10">
        <f t="shared" si="107"/>
        <v>0</v>
      </c>
      <c r="T346" s="4" t="s">
        <v>3057</v>
      </c>
      <c r="U346" s="10">
        <f t="shared" si="108"/>
        <v>0</v>
      </c>
      <c r="V346" s="4" t="s">
        <v>3057</v>
      </c>
      <c r="W346" s="10">
        <f t="shared" si="109"/>
        <v>0</v>
      </c>
      <c r="X346" s="4">
        <v>0</v>
      </c>
      <c r="Y346" s="10">
        <f t="shared" si="110"/>
        <v>0</v>
      </c>
      <c r="Z346" s="4" t="s">
        <v>3057</v>
      </c>
      <c r="AA346" s="10">
        <f t="shared" si="111"/>
        <v>0</v>
      </c>
      <c r="AB346" s="4" t="s">
        <v>3057</v>
      </c>
      <c r="AC346" s="10">
        <f t="shared" si="112"/>
        <v>0</v>
      </c>
      <c r="AD346" s="4" t="s">
        <v>3057</v>
      </c>
      <c r="AE346" s="10">
        <f t="shared" si="113"/>
        <v>0</v>
      </c>
      <c r="AF346" s="4" t="s">
        <v>3057</v>
      </c>
      <c r="AG346" s="10">
        <f t="shared" si="114"/>
        <v>0</v>
      </c>
      <c r="AH346" s="4" t="s">
        <v>3057</v>
      </c>
      <c r="AI346" s="10">
        <f t="shared" si="115"/>
        <v>0</v>
      </c>
      <c r="AJ346" s="4" t="s">
        <v>3057</v>
      </c>
      <c r="AK346" s="10">
        <f t="shared" si="116"/>
        <v>0</v>
      </c>
      <c r="AL346" s="4" t="s">
        <v>3057</v>
      </c>
      <c r="AM346" s="10">
        <f t="shared" si="117"/>
        <v>0</v>
      </c>
      <c r="AN346" s="5">
        <f t="shared" si="118"/>
        <v>0</v>
      </c>
      <c r="AO346" s="6" t="str">
        <f t="shared" si="119"/>
        <v>0</v>
      </c>
    </row>
    <row r="347" spans="1:41" x14ac:dyDescent="0.25">
      <c r="A347" t="s">
        <v>2864</v>
      </c>
      <c r="B347" t="s">
        <v>2865</v>
      </c>
      <c r="C347" t="e">
        <f>_xlfn.XLOOKUP(A347,Fore!A:A,Fore!AC:AC)</f>
        <v>#DIV/0!</v>
      </c>
      <c r="D347" s="4" t="s">
        <v>3057</v>
      </c>
      <c r="E347" s="10" t="str">
        <f t="shared" si="100"/>
        <v>0</v>
      </c>
      <c r="F347" s="4" t="s">
        <v>3057</v>
      </c>
      <c r="G347" s="10">
        <f t="shared" si="101"/>
        <v>0</v>
      </c>
      <c r="H347" s="4" t="s">
        <v>3057</v>
      </c>
      <c r="I347" s="10">
        <f t="shared" si="102"/>
        <v>0</v>
      </c>
      <c r="J347" s="4" t="s">
        <v>3057</v>
      </c>
      <c r="K347" s="10">
        <f t="shared" si="103"/>
        <v>0</v>
      </c>
      <c r="L347" s="4" t="s">
        <v>3057</v>
      </c>
      <c r="M347" s="10">
        <f t="shared" si="104"/>
        <v>0</v>
      </c>
      <c r="N347" s="4" t="s">
        <v>3057</v>
      </c>
      <c r="O347" s="10">
        <f t="shared" si="105"/>
        <v>0</v>
      </c>
      <c r="P347" s="4" t="s">
        <v>3057</v>
      </c>
      <c r="Q347" s="10">
        <f t="shared" si="106"/>
        <v>0</v>
      </c>
      <c r="R347" s="4" t="s">
        <v>3057</v>
      </c>
      <c r="S347" s="10">
        <f t="shared" si="107"/>
        <v>0</v>
      </c>
      <c r="T347" s="4" t="s">
        <v>3057</v>
      </c>
      <c r="U347" s="10">
        <f t="shared" si="108"/>
        <v>0</v>
      </c>
      <c r="V347" s="4" t="s">
        <v>3057</v>
      </c>
      <c r="W347" s="10">
        <f t="shared" si="109"/>
        <v>0</v>
      </c>
      <c r="X347" s="4">
        <v>0</v>
      </c>
      <c r="Y347" s="10">
        <f t="shared" si="110"/>
        <v>0</v>
      </c>
      <c r="Z347" s="4" t="s">
        <v>3057</v>
      </c>
      <c r="AA347" s="10">
        <f t="shared" si="111"/>
        <v>0</v>
      </c>
      <c r="AB347" s="4" t="s">
        <v>3057</v>
      </c>
      <c r="AC347" s="10">
        <f t="shared" si="112"/>
        <v>0</v>
      </c>
      <c r="AD347" s="4" t="s">
        <v>3057</v>
      </c>
      <c r="AE347" s="10">
        <f t="shared" si="113"/>
        <v>0</v>
      </c>
      <c r="AF347" s="4" t="s">
        <v>3057</v>
      </c>
      <c r="AG347" s="10">
        <f t="shared" si="114"/>
        <v>0</v>
      </c>
      <c r="AH347" s="4" t="s">
        <v>3057</v>
      </c>
      <c r="AI347" s="10">
        <f t="shared" si="115"/>
        <v>0</v>
      </c>
      <c r="AJ347" s="4" t="s">
        <v>3057</v>
      </c>
      <c r="AK347" s="10">
        <f t="shared" si="116"/>
        <v>0</v>
      </c>
      <c r="AL347" s="4" t="s">
        <v>3057</v>
      </c>
      <c r="AM347" s="10">
        <f t="shared" si="117"/>
        <v>0</v>
      </c>
      <c r="AN347" s="5">
        <f t="shared" si="118"/>
        <v>0</v>
      </c>
      <c r="AO347" s="6" t="str">
        <f t="shared" si="119"/>
        <v>0</v>
      </c>
    </row>
    <row r="348" spans="1:41" x14ac:dyDescent="0.25">
      <c r="A348" t="s">
        <v>2866</v>
      </c>
      <c r="B348" t="s">
        <v>2867</v>
      </c>
      <c r="C348" t="e">
        <f>_xlfn.XLOOKUP(A348,Fore!A:A,Fore!AC:AC)</f>
        <v>#DIV/0!</v>
      </c>
      <c r="D348" s="4" t="s">
        <v>3057</v>
      </c>
      <c r="E348" s="10" t="str">
        <f t="shared" si="100"/>
        <v>0</v>
      </c>
      <c r="F348" s="4" t="s">
        <v>3057</v>
      </c>
      <c r="G348" s="10">
        <f t="shared" si="101"/>
        <v>0</v>
      </c>
      <c r="H348" s="4" t="s">
        <v>3057</v>
      </c>
      <c r="I348" s="10">
        <f t="shared" si="102"/>
        <v>0</v>
      </c>
      <c r="J348" s="4" t="s">
        <v>3057</v>
      </c>
      <c r="K348" s="10">
        <f t="shared" si="103"/>
        <v>0</v>
      </c>
      <c r="L348" s="4" t="s">
        <v>3057</v>
      </c>
      <c r="M348" s="10">
        <f t="shared" si="104"/>
        <v>0</v>
      </c>
      <c r="N348" s="4" t="s">
        <v>3057</v>
      </c>
      <c r="O348" s="10">
        <f t="shared" si="105"/>
        <v>0</v>
      </c>
      <c r="P348" s="4" t="s">
        <v>3057</v>
      </c>
      <c r="Q348" s="10">
        <f t="shared" si="106"/>
        <v>0</v>
      </c>
      <c r="R348" s="4" t="s">
        <v>3057</v>
      </c>
      <c r="S348" s="10">
        <f t="shared" si="107"/>
        <v>0</v>
      </c>
      <c r="T348" s="4" t="s">
        <v>3057</v>
      </c>
      <c r="U348" s="10">
        <f t="shared" si="108"/>
        <v>0</v>
      </c>
      <c r="V348" s="4" t="s">
        <v>3057</v>
      </c>
      <c r="W348" s="10">
        <f t="shared" si="109"/>
        <v>0</v>
      </c>
      <c r="X348" s="4">
        <v>0</v>
      </c>
      <c r="Y348" s="10">
        <f t="shared" si="110"/>
        <v>0</v>
      </c>
      <c r="Z348" s="4" t="s">
        <v>3057</v>
      </c>
      <c r="AA348" s="10">
        <f t="shared" si="111"/>
        <v>0</v>
      </c>
      <c r="AB348" s="4" t="s">
        <v>3057</v>
      </c>
      <c r="AC348" s="10">
        <f t="shared" si="112"/>
        <v>0</v>
      </c>
      <c r="AD348" s="4" t="s">
        <v>3057</v>
      </c>
      <c r="AE348" s="10">
        <f t="shared" si="113"/>
        <v>0</v>
      </c>
      <c r="AF348" s="4" t="s">
        <v>3057</v>
      </c>
      <c r="AG348" s="10">
        <f t="shared" si="114"/>
        <v>0</v>
      </c>
      <c r="AH348" s="4" t="s">
        <v>3057</v>
      </c>
      <c r="AI348" s="10">
        <f t="shared" si="115"/>
        <v>0</v>
      </c>
      <c r="AJ348" s="4" t="s">
        <v>3057</v>
      </c>
      <c r="AK348" s="10">
        <f t="shared" si="116"/>
        <v>0</v>
      </c>
      <c r="AL348" s="4" t="s">
        <v>3057</v>
      </c>
      <c r="AM348" s="10">
        <f t="shared" si="117"/>
        <v>0</v>
      </c>
      <c r="AN348" s="5">
        <f t="shared" si="118"/>
        <v>0</v>
      </c>
      <c r="AO348" s="6" t="str">
        <f t="shared" si="119"/>
        <v>0</v>
      </c>
    </row>
    <row r="349" spans="1:41" x14ac:dyDescent="0.25">
      <c r="A349" t="s">
        <v>2869</v>
      </c>
      <c r="B349" t="s">
        <v>2870</v>
      </c>
      <c r="C349" t="e">
        <f>_xlfn.XLOOKUP(A349,Fore!A:A,Fore!AC:AC)</f>
        <v>#DIV/0!</v>
      </c>
      <c r="D349" s="4" t="s">
        <v>3057</v>
      </c>
      <c r="E349" s="10" t="str">
        <f t="shared" si="100"/>
        <v>0</v>
      </c>
      <c r="F349" s="4" t="s">
        <v>3057</v>
      </c>
      <c r="G349" s="10">
        <f t="shared" si="101"/>
        <v>0</v>
      </c>
      <c r="H349" s="4" t="s">
        <v>3057</v>
      </c>
      <c r="I349" s="10">
        <f t="shared" si="102"/>
        <v>0</v>
      </c>
      <c r="J349" s="4" t="s">
        <v>3057</v>
      </c>
      <c r="K349" s="10">
        <f t="shared" si="103"/>
        <v>0</v>
      </c>
      <c r="L349" s="4" t="s">
        <v>3057</v>
      </c>
      <c r="M349" s="10">
        <f t="shared" si="104"/>
        <v>0</v>
      </c>
      <c r="N349" s="4" t="s">
        <v>3057</v>
      </c>
      <c r="O349" s="10">
        <f t="shared" si="105"/>
        <v>0</v>
      </c>
      <c r="P349" s="4" t="s">
        <v>3057</v>
      </c>
      <c r="Q349" s="10">
        <f t="shared" si="106"/>
        <v>0</v>
      </c>
      <c r="R349" s="4" t="s">
        <v>3057</v>
      </c>
      <c r="S349" s="10">
        <f t="shared" si="107"/>
        <v>0</v>
      </c>
      <c r="T349" s="4" t="s">
        <v>3057</v>
      </c>
      <c r="U349" s="10">
        <f t="shared" si="108"/>
        <v>0</v>
      </c>
      <c r="V349" s="4" t="s">
        <v>3057</v>
      </c>
      <c r="W349" s="10">
        <f t="shared" si="109"/>
        <v>0</v>
      </c>
      <c r="X349" s="4">
        <v>0</v>
      </c>
      <c r="Y349" s="10">
        <f t="shared" si="110"/>
        <v>0</v>
      </c>
      <c r="Z349" s="4" t="s">
        <v>3057</v>
      </c>
      <c r="AA349" s="10">
        <f t="shared" si="111"/>
        <v>0</v>
      </c>
      <c r="AB349" s="4" t="s">
        <v>3057</v>
      </c>
      <c r="AC349" s="10">
        <f t="shared" si="112"/>
        <v>0</v>
      </c>
      <c r="AD349" s="4" t="s">
        <v>3057</v>
      </c>
      <c r="AE349" s="10">
        <f t="shared" si="113"/>
        <v>0</v>
      </c>
      <c r="AF349" s="4" t="s">
        <v>3057</v>
      </c>
      <c r="AG349" s="10">
        <f t="shared" si="114"/>
        <v>0</v>
      </c>
      <c r="AH349" s="4" t="s">
        <v>3057</v>
      </c>
      <c r="AI349" s="10">
        <f t="shared" si="115"/>
        <v>0</v>
      </c>
      <c r="AJ349" s="4" t="s">
        <v>3057</v>
      </c>
      <c r="AK349" s="10">
        <f t="shared" si="116"/>
        <v>0</v>
      </c>
      <c r="AL349" s="4" t="s">
        <v>3057</v>
      </c>
      <c r="AM349" s="10">
        <f t="shared" si="117"/>
        <v>0</v>
      </c>
      <c r="AN349" s="5">
        <f t="shared" si="118"/>
        <v>0</v>
      </c>
      <c r="AO349" s="6" t="str">
        <f t="shared" si="119"/>
        <v>0</v>
      </c>
    </row>
    <row r="350" spans="1:41" x14ac:dyDescent="0.25">
      <c r="A350" t="s">
        <v>2871</v>
      </c>
      <c r="B350" t="s">
        <v>2872</v>
      </c>
      <c r="C350" t="e">
        <f>_xlfn.XLOOKUP(A350,Fore!A:A,Fore!AC:AC)</f>
        <v>#DIV/0!</v>
      </c>
      <c r="D350" s="4" t="s">
        <v>3057</v>
      </c>
      <c r="E350" s="10" t="str">
        <f t="shared" si="100"/>
        <v>0</v>
      </c>
      <c r="F350" s="4" t="s">
        <v>3057</v>
      </c>
      <c r="G350" s="10">
        <f t="shared" si="101"/>
        <v>0</v>
      </c>
      <c r="H350" s="4" t="s">
        <v>3057</v>
      </c>
      <c r="I350" s="10">
        <f t="shared" si="102"/>
        <v>0</v>
      </c>
      <c r="J350" s="4" t="s">
        <v>3057</v>
      </c>
      <c r="K350" s="10">
        <f t="shared" si="103"/>
        <v>0</v>
      </c>
      <c r="L350" s="4" t="s">
        <v>3057</v>
      </c>
      <c r="M350" s="10">
        <f t="shared" si="104"/>
        <v>0</v>
      </c>
      <c r="N350" s="4" t="s">
        <v>3057</v>
      </c>
      <c r="O350" s="10">
        <f t="shared" si="105"/>
        <v>0</v>
      </c>
      <c r="P350" s="4" t="s">
        <v>3057</v>
      </c>
      <c r="Q350" s="10">
        <f t="shared" si="106"/>
        <v>0</v>
      </c>
      <c r="R350" s="4" t="s">
        <v>3057</v>
      </c>
      <c r="S350" s="10">
        <f t="shared" si="107"/>
        <v>0</v>
      </c>
      <c r="T350" s="4" t="s">
        <v>3057</v>
      </c>
      <c r="U350" s="10">
        <f t="shared" si="108"/>
        <v>0</v>
      </c>
      <c r="V350" s="4" t="s">
        <v>3057</v>
      </c>
      <c r="W350" s="10">
        <f t="shared" si="109"/>
        <v>0</v>
      </c>
      <c r="X350" s="4">
        <v>0</v>
      </c>
      <c r="Y350" s="10">
        <f t="shared" si="110"/>
        <v>0</v>
      </c>
      <c r="Z350" s="4" t="s">
        <v>3057</v>
      </c>
      <c r="AA350" s="10">
        <f t="shared" si="111"/>
        <v>0</v>
      </c>
      <c r="AB350" s="4" t="s">
        <v>3057</v>
      </c>
      <c r="AC350" s="10">
        <f t="shared" si="112"/>
        <v>0</v>
      </c>
      <c r="AD350" s="4" t="s">
        <v>3057</v>
      </c>
      <c r="AE350" s="10">
        <f t="shared" si="113"/>
        <v>0</v>
      </c>
      <c r="AF350" s="4" t="s">
        <v>3057</v>
      </c>
      <c r="AG350" s="10">
        <f t="shared" si="114"/>
        <v>0</v>
      </c>
      <c r="AH350" s="4" t="s">
        <v>3057</v>
      </c>
      <c r="AI350" s="10">
        <f t="shared" si="115"/>
        <v>0</v>
      </c>
      <c r="AJ350" s="4" t="s">
        <v>3057</v>
      </c>
      <c r="AK350" s="10">
        <f t="shared" si="116"/>
        <v>0</v>
      </c>
      <c r="AL350" s="4" t="s">
        <v>3057</v>
      </c>
      <c r="AM350" s="10">
        <f t="shared" si="117"/>
        <v>0</v>
      </c>
      <c r="AN350" s="5">
        <f t="shared" si="118"/>
        <v>0</v>
      </c>
      <c r="AO350" s="6" t="str">
        <f t="shared" si="119"/>
        <v>0</v>
      </c>
    </row>
    <row r="351" spans="1:41" x14ac:dyDescent="0.25">
      <c r="A351" t="s">
        <v>2875</v>
      </c>
      <c r="B351" t="s">
        <v>2876</v>
      </c>
      <c r="C351" t="e">
        <f>_xlfn.XLOOKUP(A351,Fore!A:A,Fore!AC:AC)</f>
        <v>#DIV/0!</v>
      </c>
      <c r="D351" s="4" t="s">
        <v>3057</v>
      </c>
      <c r="E351" s="10" t="str">
        <f t="shared" si="100"/>
        <v>0</v>
      </c>
      <c r="F351" s="4" t="s">
        <v>3057</v>
      </c>
      <c r="G351" s="10">
        <f t="shared" si="101"/>
        <v>0</v>
      </c>
      <c r="H351" s="4" t="s">
        <v>3057</v>
      </c>
      <c r="I351" s="10">
        <f t="shared" si="102"/>
        <v>0</v>
      </c>
      <c r="J351" s="4" t="s">
        <v>3057</v>
      </c>
      <c r="K351" s="10">
        <f t="shared" si="103"/>
        <v>0</v>
      </c>
      <c r="L351" s="4" t="s">
        <v>3057</v>
      </c>
      <c r="M351" s="10">
        <f t="shared" si="104"/>
        <v>0</v>
      </c>
      <c r="N351" s="4" t="s">
        <v>3057</v>
      </c>
      <c r="O351" s="10">
        <f t="shared" si="105"/>
        <v>0</v>
      </c>
      <c r="P351" s="4" t="s">
        <v>3057</v>
      </c>
      <c r="Q351" s="10">
        <f t="shared" si="106"/>
        <v>0</v>
      </c>
      <c r="R351" s="4" t="s">
        <v>3057</v>
      </c>
      <c r="S351" s="10">
        <f t="shared" si="107"/>
        <v>0</v>
      </c>
      <c r="T351" s="4" t="s">
        <v>3057</v>
      </c>
      <c r="U351" s="10">
        <f t="shared" si="108"/>
        <v>0</v>
      </c>
      <c r="V351" s="4" t="s">
        <v>3057</v>
      </c>
      <c r="W351" s="10">
        <f t="shared" si="109"/>
        <v>0</v>
      </c>
      <c r="X351" s="4">
        <v>0</v>
      </c>
      <c r="Y351" s="10">
        <f t="shared" si="110"/>
        <v>0</v>
      </c>
      <c r="Z351" s="4" t="s">
        <v>3057</v>
      </c>
      <c r="AA351" s="10">
        <f t="shared" si="111"/>
        <v>0</v>
      </c>
      <c r="AB351" s="4" t="s">
        <v>3057</v>
      </c>
      <c r="AC351" s="10">
        <f t="shared" si="112"/>
        <v>0</v>
      </c>
      <c r="AD351" s="4" t="s">
        <v>3057</v>
      </c>
      <c r="AE351" s="10">
        <f t="shared" si="113"/>
        <v>0</v>
      </c>
      <c r="AF351" s="4" t="s">
        <v>3057</v>
      </c>
      <c r="AG351" s="10">
        <f t="shared" si="114"/>
        <v>0</v>
      </c>
      <c r="AH351" s="4" t="s">
        <v>3057</v>
      </c>
      <c r="AI351" s="10">
        <f t="shared" si="115"/>
        <v>0</v>
      </c>
      <c r="AJ351" s="4" t="s">
        <v>3057</v>
      </c>
      <c r="AK351" s="10">
        <f t="shared" si="116"/>
        <v>0</v>
      </c>
      <c r="AL351" s="4" t="s">
        <v>3057</v>
      </c>
      <c r="AM351" s="10">
        <f t="shared" si="117"/>
        <v>0</v>
      </c>
      <c r="AN351" s="5">
        <f t="shared" si="118"/>
        <v>0</v>
      </c>
      <c r="AO351" s="6" t="str">
        <f t="shared" si="119"/>
        <v>0</v>
      </c>
    </row>
    <row r="352" spans="1:41" x14ac:dyDescent="0.25">
      <c r="A352" t="s">
        <v>2877</v>
      </c>
      <c r="B352" t="s">
        <v>2825</v>
      </c>
      <c r="C352" t="e">
        <f>_xlfn.XLOOKUP(A352,Fore!A:A,Fore!AC:AC)</f>
        <v>#DIV/0!</v>
      </c>
      <c r="D352" s="4" t="s">
        <v>3057</v>
      </c>
      <c r="E352" s="10" t="str">
        <f t="shared" si="100"/>
        <v>0</v>
      </c>
      <c r="F352" s="4" t="s">
        <v>3057</v>
      </c>
      <c r="G352" s="10">
        <f t="shared" si="101"/>
        <v>0</v>
      </c>
      <c r="H352" s="4" t="s">
        <v>3057</v>
      </c>
      <c r="I352" s="10">
        <f t="shared" si="102"/>
        <v>0</v>
      </c>
      <c r="J352" s="4" t="s">
        <v>3057</v>
      </c>
      <c r="K352" s="10">
        <f t="shared" si="103"/>
        <v>0</v>
      </c>
      <c r="L352" s="4" t="s">
        <v>3057</v>
      </c>
      <c r="M352" s="10">
        <f t="shared" si="104"/>
        <v>0</v>
      </c>
      <c r="N352" s="4" t="s">
        <v>3057</v>
      </c>
      <c r="O352" s="10">
        <f t="shared" si="105"/>
        <v>0</v>
      </c>
      <c r="P352" s="4" t="s">
        <v>3057</v>
      </c>
      <c r="Q352" s="10">
        <f t="shared" si="106"/>
        <v>0</v>
      </c>
      <c r="R352" s="4" t="s">
        <v>3057</v>
      </c>
      <c r="S352" s="10">
        <f t="shared" si="107"/>
        <v>0</v>
      </c>
      <c r="T352" s="4" t="s">
        <v>3057</v>
      </c>
      <c r="U352" s="10">
        <f t="shared" si="108"/>
        <v>0</v>
      </c>
      <c r="V352" s="4" t="s">
        <v>3057</v>
      </c>
      <c r="W352" s="10">
        <f t="shared" si="109"/>
        <v>0</v>
      </c>
      <c r="X352" s="4">
        <v>0</v>
      </c>
      <c r="Y352" s="10">
        <f t="shared" si="110"/>
        <v>0</v>
      </c>
      <c r="Z352" s="4" t="s">
        <v>3057</v>
      </c>
      <c r="AA352" s="10">
        <f t="shared" si="111"/>
        <v>0</v>
      </c>
      <c r="AB352" s="4" t="s">
        <v>3057</v>
      </c>
      <c r="AC352" s="10">
        <f t="shared" si="112"/>
        <v>0</v>
      </c>
      <c r="AD352" s="4" t="s">
        <v>3057</v>
      </c>
      <c r="AE352" s="10">
        <f t="shared" si="113"/>
        <v>0</v>
      </c>
      <c r="AF352" s="4" t="s">
        <v>3057</v>
      </c>
      <c r="AG352" s="10">
        <f t="shared" si="114"/>
        <v>0</v>
      </c>
      <c r="AH352" s="4" t="s">
        <v>3057</v>
      </c>
      <c r="AI352" s="10">
        <f t="shared" si="115"/>
        <v>0</v>
      </c>
      <c r="AJ352" s="4" t="s">
        <v>3057</v>
      </c>
      <c r="AK352" s="10">
        <f t="shared" si="116"/>
        <v>0</v>
      </c>
      <c r="AL352" s="4" t="s">
        <v>3057</v>
      </c>
      <c r="AM352" s="10">
        <f t="shared" si="117"/>
        <v>0</v>
      </c>
      <c r="AN352" s="5">
        <f t="shared" si="118"/>
        <v>0</v>
      </c>
      <c r="AO352" s="6" t="str">
        <f t="shared" si="119"/>
        <v>0</v>
      </c>
    </row>
    <row r="353" spans="1:41" x14ac:dyDescent="0.25">
      <c r="A353" t="s">
        <v>2897</v>
      </c>
      <c r="B353" t="s">
        <v>2898</v>
      </c>
      <c r="C353" t="e">
        <f>_xlfn.XLOOKUP(A353,Fore!A:A,Fore!AC:AC)</f>
        <v>#DIV/0!</v>
      </c>
      <c r="D353" s="4" t="s">
        <v>3057</v>
      </c>
      <c r="E353" s="10" t="str">
        <f t="shared" si="100"/>
        <v>0</v>
      </c>
      <c r="F353" s="4" t="s">
        <v>3057</v>
      </c>
      <c r="G353" s="10">
        <f t="shared" si="101"/>
        <v>0</v>
      </c>
      <c r="H353" s="4" t="s">
        <v>3057</v>
      </c>
      <c r="I353" s="10">
        <f t="shared" si="102"/>
        <v>0</v>
      </c>
      <c r="J353" s="4" t="s">
        <v>3057</v>
      </c>
      <c r="K353" s="10">
        <f t="shared" si="103"/>
        <v>0</v>
      </c>
      <c r="L353" s="4" t="s">
        <v>3057</v>
      </c>
      <c r="M353" s="10">
        <f t="shared" si="104"/>
        <v>0</v>
      </c>
      <c r="N353" s="4" t="s">
        <v>3057</v>
      </c>
      <c r="O353" s="10">
        <f t="shared" si="105"/>
        <v>0</v>
      </c>
      <c r="P353" s="4" t="s">
        <v>3057</v>
      </c>
      <c r="Q353" s="10">
        <f t="shared" si="106"/>
        <v>0</v>
      </c>
      <c r="R353" s="4" t="s">
        <v>3057</v>
      </c>
      <c r="S353" s="10">
        <f t="shared" si="107"/>
        <v>0</v>
      </c>
      <c r="T353" s="4" t="s">
        <v>3057</v>
      </c>
      <c r="U353" s="10">
        <f t="shared" si="108"/>
        <v>0</v>
      </c>
      <c r="V353" s="4" t="s">
        <v>3057</v>
      </c>
      <c r="W353" s="10">
        <f t="shared" si="109"/>
        <v>0</v>
      </c>
      <c r="X353" s="4">
        <v>0</v>
      </c>
      <c r="Y353" s="10">
        <f t="shared" si="110"/>
        <v>0</v>
      </c>
      <c r="Z353" s="4" t="s">
        <v>3057</v>
      </c>
      <c r="AA353" s="10">
        <f t="shared" si="111"/>
        <v>0</v>
      </c>
      <c r="AB353" s="4" t="s">
        <v>3057</v>
      </c>
      <c r="AC353" s="10">
        <f t="shared" si="112"/>
        <v>0</v>
      </c>
      <c r="AD353" s="4" t="s">
        <v>3057</v>
      </c>
      <c r="AE353" s="10">
        <f t="shared" si="113"/>
        <v>0</v>
      </c>
      <c r="AF353" s="4" t="s">
        <v>3057</v>
      </c>
      <c r="AG353" s="10">
        <f t="shared" si="114"/>
        <v>0</v>
      </c>
      <c r="AH353" s="4" t="s">
        <v>3057</v>
      </c>
      <c r="AI353" s="10">
        <f t="shared" si="115"/>
        <v>0</v>
      </c>
      <c r="AJ353" s="4" t="s">
        <v>3057</v>
      </c>
      <c r="AK353" s="10">
        <f t="shared" si="116"/>
        <v>0</v>
      </c>
      <c r="AL353" s="4" t="s">
        <v>3057</v>
      </c>
      <c r="AM353" s="10">
        <f t="shared" si="117"/>
        <v>0</v>
      </c>
      <c r="AN353" s="5">
        <f t="shared" si="118"/>
        <v>0</v>
      </c>
      <c r="AO353" s="6" t="str">
        <f t="shared" si="119"/>
        <v>0</v>
      </c>
    </row>
    <row r="354" spans="1:41" x14ac:dyDescent="0.25">
      <c r="A354" t="s">
        <v>2900</v>
      </c>
      <c r="B354" t="s">
        <v>2901</v>
      </c>
      <c r="C354" t="e">
        <f>_xlfn.XLOOKUP(A354,Fore!A:A,Fore!AC:AC)</f>
        <v>#DIV/0!</v>
      </c>
      <c r="D354" s="4" t="s">
        <v>3057</v>
      </c>
      <c r="E354" s="10" t="str">
        <f t="shared" si="100"/>
        <v>0</v>
      </c>
      <c r="F354" s="4" t="s">
        <v>3057</v>
      </c>
      <c r="G354" s="10">
        <f t="shared" si="101"/>
        <v>0</v>
      </c>
      <c r="H354" s="4" t="s">
        <v>3057</v>
      </c>
      <c r="I354" s="10">
        <f t="shared" si="102"/>
        <v>0</v>
      </c>
      <c r="J354" s="4" t="s">
        <v>3057</v>
      </c>
      <c r="K354" s="10">
        <f t="shared" si="103"/>
        <v>0</v>
      </c>
      <c r="L354" s="4" t="s">
        <v>3057</v>
      </c>
      <c r="M354" s="10">
        <f t="shared" si="104"/>
        <v>0</v>
      </c>
      <c r="N354" s="4" t="s">
        <v>3057</v>
      </c>
      <c r="O354" s="10">
        <f t="shared" si="105"/>
        <v>0</v>
      </c>
      <c r="P354" s="4" t="s">
        <v>3057</v>
      </c>
      <c r="Q354" s="10">
        <f t="shared" si="106"/>
        <v>0</v>
      </c>
      <c r="R354" s="4" t="s">
        <v>3057</v>
      </c>
      <c r="S354" s="10">
        <f t="shared" si="107"/>
        <v>0</v>
      </c>
      <c r="T354" s="4" t="s">
        <v>3057</v>
      </c>
      <c r="U354" s="10">
        <f t="shared" si="108"/>
        <v>0</v>
      </c>
      <c r="V354" s="4" t="s">
        <v>3057</v>
      </c>
      <c r="W354" s="10">
        <f t="shared" si="109"/>
        <v>0</v>
      </c>
      <c r="X354" s="4">
        <v>0</v>
      </c>
      <c r="Y354" s="10">
        <f t="shared" si="110"/>
        <v>0</v>
      </c>
      <c r="Z354" s="4" t="s">
        <v>3057</v>
      </c>
      <c r="AA354" s="10">
        <f t="shared" si="111"/>
        <v>0</v>
      </c>
      <c r="AB354" s="4" t="s">
        <v>3057</v>
      </c>
      <c r="AC354" s="10">
        <f t="shared" si="112"/>
        <v>0</v>
      </c>
      <c r="AD354" s="4" t="s">
        <v>3057</v>
      </c>
      <c r="AE354" s="10">
        <f t="shared" si="113"/>
        <v>0</v>
      </c>
      <c r="AF354" s="4" t="s">
        <v>3057</v>
      </c>
      <c r="AG354" s="10">
        <f t="shared" si="114"/>
        <v>0</v>
      </c>
      <c r="AH354" s="4" t="s">
        <v>3057</v>
      </c>
      <c r="AI354" s="10">
        <f t="shared" si="115"/>
        <v>0</v>
      </c>
      <c r="AJ354" s="4" t="s">
        <v>3057</v>
      </c>
      <c r="AK354" s="10">
        <f t="shared" si="116"/>
        <v>0</v>
      </c>
      <c r="AL354" s="4" t="s">
        <v>3057</v>
      </c>
      <c r="AM354" s="10">
        <f t="shared" si="117"/>
        <v>0</v>
      </c>
      <c r="AN354" s="5">
        <f t="shared" si="118"/>
        <v>0</v>
      </c>
      <c r="AO354" s="6" t="str">
        <f t="shared" si="119"/>
        <v>0</v>
      </c>
    </row>
    <row r="355" spans="1:41" x14ac:dyDescent="0.25">
      <c r="A355" t="s">
        <v>2903</v>
      </c>
      <c r="B355" t="s">
        <v>2904</v>
      </c>
      <c r="C355" t="e">
        <f>_xlfn.XLOOKUP(A355,Fore!A:A,Fore!AC:AC)</f>
        <v>#DIV/0!</v>
      </c>
      <c r="D355" s="4" t="s">
        <v>3057</v>
      </c>
      <c r="E355" s="10" t="str">
        <f t="shared" si="100"/>
        <v>0</v>
      </c>
      <c r="F355" s="4" t="s">
        <v>3057</v>
      </c>
      <c r="G355" s="10">
        <f t="shared" si="101"/>
        <v>0</v>
      </c>
      <c r="H355" s="4" t="s">
        <v>3057</v>
      </c>
      <c r="I355" s="10">
        <f t="shared" si="102"/>
        <v>0</v>
      </c>
      <c r="J355" s="4" t="s">
        <v>3057</v>
      </c>
      <c r="K355" s="10">
        <f t="shared" si="103"/>
        <v>0</v>
      </c>
      <c r="L355" s="4" t="s">
        <v>3057</v>
      </c>
      <c r="M355" s="10">
        <f t="shared" si="104"/>
        <v>0</v>
      </c>
      <c r="N355" s="4" t="s">
        <v>3057</v>
      </c>
      <c r="O355" s="10">
        <f t="shared" si="105"/>
        <v>0</v>
      </c>
      <c r="P355" s="4" t="s">
        <v>3057</v>
      </c>
      <c r="Q355" s="10">
        <f t="shared" si="106"/>
        <v>0</v>
      </c>
      <c r="R355" s="4" t="s">
        <v>3057</v>
      </c>
      <c r="S355" s="10">
        <f t="shared" si="107"/>
        <v>0</v>
      </c>
      <c r="T355" s="4" t="s">
        <v>3057</v>
      </c>
      <c r="U355" s="10">
        <f t="shared" si="108"/>
        <v>0</v>
      </c>
      <c r="V355" s="4" t="s">
        <v>3057</v>
      </c>
      <c r="W355" s="10">
        <f t="shared" si="109"/>
        <v>0</v>
      </c>
      <c r="X355" s="4">
        <v>0</v>
      </c>
      <c r="Y355" s="10">
        <f t="shared" si="110"/>
        <v>0</v>
      </c>
      <c r="Z355" s="4" t="s">
        <v>3057</v>
      </c>
      <c r="AA355" s="10">
        <f t="shared" si="111"/>
        <v>0</v>
      </c>
      <c r="AB355" s="4" t="s">
        <v>3057</v>
      </c>
      <c r="AC355" s="10">
        <f t="shared" si="112"/>
        <v>0</v>
      </c>
      <c r="AD355" s="4" t="s">
        <v>3057</v>
      </c>
      <c r="AE355" s="10">
        <f t="shared" si="113"/>
        <v>0</v>
      </c>
      <c r="AF355" s="4" t="s">
        <v>3057</v>
      </c>
      <c r="AG355" s="10">
        <f t="shared" si="114"/>
        <v>0</v>
      </c>
      <c r="AH355" s="4" t="s">
        <v>3057</v>
      </c>
      <c r="AI355" s="10">
        <f t="shared" si="115"/>
        <v>0</v>
      </c>
      <c r="AJ355" s="4" t="s">
        <v>3057</v>
      </c>
      <c r="AK355" s="10">
        <f t="shared" si="116"/>
        <v>0</v>
      </c>
      <c r="AL355" s="4" t="s">
        <v>3057</v>
      </c>
      <c r="AM355" s="10">
        <f t="shared" si="117"/>
        <v>0</v>
      </c>
      <c r="AN355" s="5">
        <f t="shared" si="118"/>
        <v>0</v>
      </c>
      <c r="AO355" s="6" t="str">
        <f t="shared" si="119"/>
        <v>0</v>
      </c>
    </row>
    <row r="356" spans="1:41" x14ac:dyDescent="0.25">
      <c r="A356" t="s">
        <v>2909</v>
      </c>
      <c r="B356" t="s">
        <v>2910</v>
      </c>
      <c r="C356" t="e">
        <f>_xlfn.XLOOKUP(A356,Fore!A:A,Fore!AC:AC)</f>
        <v>#DIV/0!</v>
      </c>
      <c r="D356" s="4" t="s">
        <v>3057</v>
      </c>
      <c r="E356" s="10" t="str">
        <f t="shared" si="100"/>
        <v>0</v>
      </c>
      <c r="F356" s="4" t="s">
        <v>3057</v>
      </c>
      <c r="G356" s="10">
        <f t="shared" si="101"/>
        <v>0</v>
      </c>
      <c r="H356" s="4" t="s">
        <v>3057</v>
      </c>
      <c r="I356" s="10">
        <f t="shared" si="102"/>
        <v>0</v>
      </c>
      <c r="J356" s="4" t="s">
        <v>3057</v>
      </c>
      <c r="K356" s="10">
        <f t="shared" si="103"/>
        <v>0</v>
      </c>
      <c r="L356" s="4" t="s">
        <v>3057</v>
      </c>
      <c r="M356" s="10">
        <f t="shared" si="104"/>
        <v>0</v>
      </c>
      <c r="N356" s="4" t="s">
        <v>3057</v>
      </c>
      <c r="O356" s="10">
        <f t="shared" si="105"/>
        <v>0</v>
      </c>
      <c r="P356" s="4" t="s">
        <v>3057</v>
      </c>
      <c r="Q356" s="10">
        <f t="shared" si="106"/>
        <v>0</v>
      </c>
      <c r="R356" s="4" t="s">
        <v>3057</v>
      </c>
      <c r="S356" s="10">
        <f t="shared" si="107"/>
        <v>0</v>
      </c>
      <c r="T356" s="4" t="s">
        <v>3057</v>
      </c>
      <c r="U356" s="10">
        <f t="shared" si="108"/>
        <v>0</v>
      </c>
      <c r="V356" s="4" t="s">
        <v>3057</v>
      </c>
      <c r="W356" s="10">
        <f t="shared" si="109"/>
        <v>0</v>
      </c>
      <c r="X356" s="4">
        <v>0</v>
      </c>
      <c r="Y356" s="10">
        <f t="shared" si="110"/>
        <v>0</v>
      </c>
      <c r="Z356" s="4" t="s">
        <v>3057</v>
      </c>
      <c r="AA356" s="10">
        <f t="shared" si="111"/>
        <v>0</v>
      </c>
      <c r="AB356" s="4" t="s">
        <v>3057</v>
      </c>
      <c r="AC356" s="10">
        <f t="shared" si="112"/>
        <v>0</v>
      </c>
      <c r="AD356" s="4" t="s">
        <v>3057</v>
      </c>
      <c r="AE356" s="10">
        <f t="shared" si="113"/>
        <v>0</v>
      </c>
      <c r="AF356" s="4" t="s">
        <v>3057</v>
      </c>
      <c r="AG356" s="10">
        <f t="shared" si="114"/>
        <v>0</v>
      </c>
      <c r="AH356" s="4" t="s">
        <v>3057</v>
      </c>
      <c r="AI356" s="10">
        <f t="shared" si="115"/>
        <v>0</v>
      </c>
      <c r="AJ356" s="4" t="s">
        <v>3057</v>
      </c>
      <c r="AK356" s="10">
        <f t="shared" si="116"/>
        <v>0</v>
      </c>
      <c r="AL356" s="4" t="s">
        <v>3057</v>
      </c>
      <c r="AM356" s="10">
        <f t="shared" si="117"/>
        <v>0</v>
      </c>
      <c r="AN356" s="5">
        <f t="shared" si="118"/>
        <v>0</v>
      </c>
      <c r="AO356" s="6" t="str">
        <f t="shared" si="119"/>
        <v>0</v>
      </c>
    </row>
    <row r="357" spans="1:41" x14ac:dyDescent="0.25">
      <c r="A357" t="s">
        <v>2919</v>
      </c>
      <c r="B357" t="s">
        <v>2920</v>
      </c>
      <c r="C357" t="e">
        <f>_xlfn.XLOOKUP(A357,Fore!A:A,Fore!AC:AC)</f>
        <v>#DIV/0!</v>
      </c>
      <c r="D357" s="4" t="s">
        <v>3057</v>
      </c>
      <c r="E357" s="10" t="str">
        <f t="shared" si="100"/>
        <v>0</v>
      </c>
      <c r="F357" s="4" t="s">
        <v>3057</v>
      </c>
      <c r="G357" s="10">
        <f t="shared" si="101"/>
        <v>0</v>
      </c>
      <c r="H357" s="4" t="s">
        <v>3057</v>
      </c>
      <c r="I357" s="10">
        <f t="shared" si="102"/>
        <v>0</v>
      </c>
      <c r="J357" s="4" t="s">
        <v>3057</v>
      </c>
      <c r="K357" s="10">
        <f t="shared" si="103"/>
        <v>0</v>
      </c>
      <c r="L357" s="4" t="s">
        <v>3057</v>
      </c>
      <c r="M357" s="10">
        <f t="shared" si="104"/>
        <v>0</v>
      </c>
      <c r="N357" s="4" t="s">
        <v>3057</v>
      </c>
      <c r="O357" s="10">
        <f t="shared" si="105"/>
        <v>0</v>
      </c>
      <c r="P357" s="4" t="s">
        <v>3057</v>
      </c>
      <c r="Q357" s="10">
        <f t="shared" si="106"/>
        <v>0</v>
      </c>
      <c r="R357" s="4" t="s">
        <v>3057</v>
      </c>
      <c r="S357" s="10">
        <f t="shared" si="107"/>
        <v>0</v>
      </c>
      <c r="T357" s="4" t="s">
        <v>3057</v>
      </c>
      <c r="U357" s="10">
        <f t="shared" si="108"/>
        <v>0</v>
      </c>
      <c r="V357" s="4" t="s">
        <v>3057</v>
      </c>
      <c r="W357" s="10">
        <f t="shared" si="109"/>
        <v>0</v>
      </c>
      <c r="X357" s="4">
        <v>0</v>
      </c>
      <c r="Y357" s="10">
        <f t="shared" si="110"/>
        <v>0</v>
      </c>
      <c r="Z357" s="4" t="s">
        <v>3057</v>
      </c>
      <c r="AA357" s="10">
        <f t="shared" si="111"/>
        <v>0</v>
      </c>
      <c r="AB357" s="4" t="s">
        <v>3057</v>
      </c>
      <c r="AC357" s="10">
        <f t="shared" si="112"/>
        <v>0</v>
      </c>
      <c r="AD357" s="4" t="s">
        <v>3057</v>
      </c>
      <c r="AE357" s="10">
        <f t="shared" si="113"/>
        <v>0</v>
      </c>
      <c r="AF357" s="4" t="s">
        <v>3057</v>
      </c>
      <c r="AG357" s="10">
        <f t="shared" si="114"/>
        <v>0</v>
      </c>
      <c r="AH357" s="4" t="s">
        <v>3057</v>
      </c>
      <c r="AI357" s="10">
        <f t="shared" si="115"/>
        <v>0</v>
      </c>
      <c r="AJ357" s="4" t="s">
        <v>3057</v>
      </c>
      <c r="AK357" s="10">
        <f t="shared" si="116"/>
        <v>0</v>
      </c>
      <c r="AL357" s="4" t="s">
        <v>3057</v>
      </c>
      <c r="AM357" s="10">
        <f t="shared" si="117"/>
        <v>0</v>
      </c>
      <c r="AN357" s="5">
        <f t="shared" si="118"/>
        <v>0</v>
      </c>
      <c r="AO357" s="6" t="str">
        <f t="shared" si="119"/>
        <v>0</v>
      </c>
    </row>
    <row r="358" spans="1:41" x14ac:dyDescent="0.25">
      <c r="A358" t="s">
        <v>2923</v>
      </c>
      <c r="B358" t="s">
        <v>2924</v>
      </c>
      <c r="C358" t="e">
        <f>_xlfn.XLOOKUP(A358,Fore!A:A,Fore!AC:AC)</f>
        <v>#DIV/0!</v>
      </c>
      <c r="D358" s="4" t="s">
        <v>3057</v>
      </c>
      <c r="E358" s="10" t="str">
        <f t="shared" si="100"/>
        <v>0</v>
      </c>
      <c r="F358" s="4" t="s">
        <v>3057</v>
      </c>
      <c r="G358" s="10">
        <f t="shared" si="101"/>
        <v>0</v>
      </c>
      <c r="H358" s="4" t="s">
        <v>3057</v>
      </c>
      <c r="I358" s="10">
        <f t="shared" si="102"/>
        <v>0</v>
      </c>
      <c r="J358" s="4" t="s">
        <v>3057</v>
      </c>
      <c r="K358" s="10">
        <f t="shared" si="103"/>
        <v>0</v>
      </c>
      <c r="L358" s="4" t="s">
        <v>3057</v>
      </c>
      <c r="M358" s="10">
        <f t="shared" si="104"/>
        <v>0</v>
      </c>
      <c r="N358" s="4" t="s">
        <v>3057</v>
      </c>
      <c r="O358" s="10">
        <f t="shared" si="105"/>
        <v>0</v>
      </c>
      <c r="P358" s="4" t="s">
        <v>3057</v>
      </c>
      <c r="Q358" s="10">
        <f t="shared" si="106"/>
        <v>0</v>
      </c>
      <c r="R358" s="4" t="s">
        <v>3057</v>
      </c>
      <c r="S358" s="10">
        <f t="shared" si="107"/>
        <v>0</v>
      </c>
      <c r="T358" s="4" t="s">
        <v>3057</v>
      </c>
      <c r="U358" s="10">
        <f t="shared" si="108"/>
        <v>0</v>
      </c>
      <c r="V358" s="4" t="s">
        <v>3057</v>
      </c>
      <c r="W358" s="10">
        <f t="shared" si="109"/>
        <v>0</v>
      </c>
      <c r="X358" s="4">
        <v>0</v>
      </c>
      <c r="Y358" s="10">
        <f t="shared" si="110"/>
        <v>0</v>
      </c>
      <c r="Z358" s="4" t="s">
        <v>3057</v>
      </c>
      <c r="AA358" s="10">
        <f t="shared" si="111"/>
        <v>0</v>
      </c>
      <c r="AB358" s="4" t="s">
        <v>3057</v>
      </c>
      <c r="AC358" s="10">
        <f t="shared" si="112"/>
        <v>0</v>
      </c>
      <c r="AD358" s="4" t="s">
        <v>3057</v>
      </c>
      <c r="AE358" s="10">
        <f t="shared" si="113"/>
        <v>0</v>
      </c>
      <c r="AF358" s="4" t="s">
        <v>3057</v>
      </c>
      <c r="AG358" s="10">
        <f t="shared" si="114"/>
        <v>0</v>
      </c>
      <c r="AH358" s="4" t="s">
        <v>3057</v>
      </c>
      <c r="AI358" s="10">
        <f t="shared" si="115"/>
        <v>0</v>
      </c>
      <c r="AJ358" s="4" t="s">
        <v>3057</v>
      </c>
      <c r="AK358" s="10">
        <f t="shared" si="116"/>
        <v>0</v>
      </c>
      <c r="AL358" s="4" t="s">
        <v>3057</v>
      </c>
      <c r="AM358" s="10">
        <f t="shared" si="117"/>
        <v>0</v>
      </c>
      <c r="AN358" s="5">
        <f t="shared" si="118"/>
        <v>0</v>
      </c>
      <c r="AO358" s="6" t="str">
        <f t="shared" si="119"/>
        <v>0</v>
      </c>
    </row>
    <row r="359" spans="1:41" x14ac:dyDescent="0.25">
      <c r="A359" t="s">
        <v>2925</v>
      </c>
      <c r="B359" t="s">
        <v>2926</v>
      </c>
      <c r="C359" t="e">
        <f>_xlfn.XLOOKUP(A359,Fore!A:A,Fore!AC:AC)</f>
        <v>#DIV/0!</v>
      </c>
      <c r="D359" s="4" t="s">
        <v>3057</v>
      </c>
      <c r="E359" s="10" t="str">
        <f t="shared" si="100"/>
        <v>0</v>
      </c>
      <c r="F359" s="4" t="s">
        <v>3057</v>
      </c>
      <c r="G359" s="10">
        <f t="shared" si="101"/>
        <v>0</v>
      </c>
      <c r="H359" s="4" t="s">
        <v>3057</v>
      </c>
      <c r="I359" s="10">
        <f t="shared" si="102"/>
        <v>0</v>
      </c>
      <c r="J359" s="4" t="s">
        <v>3057</v>
      </c>
      <c r="K359" s="10">
        <f t="shared" si="103"/>
        <v>0</v>
      </c>
      <c r="L359" s="4" t="s">
        <v>3057</v>
      </c>
      <c r="M359" s="10">
        <f t="shared" si="104"/>
        <v>0</v>
      </c>
      <c r="N359" s="4" t="s">
        <v>3057</v>
      </c>
      <c r="O359" s="10">
        <f t="shared" si="105"/>
        <v>0</v>
      </c>
      <c r="P359" s="4" t="s">
        <v>3057</v>
      </c>
      <c r="Q359" s="10">
        <f t="shared" si="106"/>
        <v>0</v>
      </c>
      <c r="R359" s="4" t="s">
        <v>3057</v>
      </c>
      <c r="S359" s="10">
        <f t="shared" si="107"/>
        <v>0</v>
      </c>
      <c r="T359" s="4" t="s">
        <v>3057</v>
      </c>
      <c r="U359" s="10">
        <f t="shared" si="108"/>
        <v>0</v>
      </c>
      <c r="V359" s="4" t="s">
        <v>3057</v>
      </c>
      <c r="W359" s="10">
        <f t="shared" si="109"/>
        <v>0</v>
      </c>
      <c r="X359" s="4">
        <v>0</v>
      </c>
      <c r="Y359" s="10">
        <f t="shared" si="110"/>
        <v>0</v>
      </c>
      <c r="Z359" s="4" t="s">
        <v>3057</v>
      </c>
      <c r="AA359" s="10">
        <f t="shared" si="111"/>
        <v>0</v>
      </c>
      <c r="AB359" s="4" t="s">
        <v>3057</v>
      </c>
      <c r="AC359" s="10">
        <f t="shared" si="112"/>
        <v>0</v>
      </c>
      <c r="AD359" s="4" t="s">
        <v>3057</v>
      </c>
      <c r="AE359" s="10">
        <f t="shared" si="113"/>
        <v>0</v>
      </c>
      <c r="AF359" s="4" t="s">
        <v>3057</v>
      </c>
      <c r="AG359" s="10">
        <f t="shared" si="114"/>
        <v>0</v>
      </c>
      <c r="AH359" s="4" t="s">
        <v>3057</v>
      </c>
      <c r="AI359" s="10">
        <f t="shared" si="115"/>
        <v>0</v>
      </c>
      <c r="AJ359" s="4" t="s">
        <v>3057</v>
      </c>
      <c r="AK359" s="10">
        <f t="shared" si="116"/>
        <v>0</v>
      </c>
      <c r="AL359" s="4" t="s">
        <v>3057</v>
      </c>
      <c r="AM359" s="10">
        <f t="shared" si="117"/>
        <v>0</v>
      </c>
      <c r="AN359" s="5">
        <f t="shared" si="118"/>
        <v>0</v>
      </c>
      <c r="AO359" s="6" t="str">
        <f t="shared" si="119"/>
        <v>0</v>
      </c>
    </row>
    <row r="360" spans="1:41" x14ac:dyDescent="0.25">
      <c r="A360" t="s">
        <v>2931</v>
      </c>
      <c r="B360" t="s">
        <v>2932</v>
      </c>
      <c r="C360" t="e">
        <f>_xlfn.XLOOKUP(A360,Fore!A:A,Fore!AC:AC)</f>
        <v>#DIV/0!</v>
      </c>
      <c r="D360" s="4" t="s">
        <v>3057</v>
      </c>
      <c r="E360" s="10" t="str">
        <f t="shared" si="100"/>
        <v>0</v>
      </c>
      <c r="F360" s="4" t="s">
        <v>3057</v>
      </c>
      <c r="G360" s="10">
        <f t="shared" si="101"/>
        <v>0</v>
      </c>
      <c r="H360" s="4" t="s">
        <v>3057</v>
      </c>
      <c r="I360" s="10">
        <f t="shared" si="102"/>
        <v>0</v>
      </c>
      <c r="J360" s="4" t="s">
        <v>3057</v>
      </c>
      <c r="K360" s="10">
        <f t="shared" si="103"/>
        <v>0</v>
      </c>
      <c r="L360" s="4" t="s">
        <v>3057</v>
      </c>
      <c r="M360" s="10">
        <f t="shared" si="104"/>
        <v>0</v>
      </c>
      <c r="N360" s="4" t="s">
        <v>3057</v>
      </c>
      <c r="O360" s="10">
        <f t="shared" si="105"/>
        <v>0</v>
      </c>
      <c r="P360" s="4" t="s">
        <v>3057</v>
      </c>
      <c r="Q360" s="10">
        <f t="shared" si="106"/>
        <v>0</v>
      </c>
      <c r="R360" s="4" t="s">
        <v>3057</v>
      </c>
      <c r="S360" s="10">
        <f t="shared" si="107"/>
        <v>0</v>
      </c>
      <c r="T360" s="4" t="s">
        <v>3057</v>
      </c>
      <c r="U360" s="10">
        <f t="shared" si="108"/>
        <v>0</v>
      </c>
      <c r="V360" s="4" t="s">
        <v>3057</v>
      </c>
      <c r="W360" s="10">
        <f t="shared" si="109"/>
        <v>0</v>
      </c>
      <c r="X360" s="4">
        <v>0</v>
      </c>
      <c r="Y360" s="10">
        <f t="shared" si="110"/>
        <v>0</v>
      </c>
      <c r="Z360" s="4" t="s">
        <v>3057</v>
      </c>
      <c r="AA360" s="10">
        <f t="shared" si="111"/>
        <v>0</v>
      </c>
      <c r="AB360" s="4" t="s">
        <v>3057</v>
      </c>
      <c r="AC360" s="10">
        <f t="shared" si="112"/>
        <v>0</v>
      </c>
      <c r="AD360" s="4" t="s">
        <v>3057</v>
      </c>
      <c r="AE360" s="10">
        <f t="shared" si="113"/>
        <v>0</v>
      </c>
      <c r="AF360" s="4" t="s">
        <v>3057</v>
      </c>
      <c r="AG360" s="10">
        <f t="shared" si="114"/>
        <v>0</v>
      </c>
      <c r="AH360" s="4" t="s">
        <v>3057</v>
      </c>
      <c r="AI360" s="10">
        <f t="shared" si="115"/>
        <v>0</v>
      </c>
      <c r="AJ360" s="4" t="s">
        <v>3057</v>
      </c>
      <c r="AK360" s="10">
        <f t="shared" si="116"/>
        <v>0</v>
      </c>
      <c r="AL360" s="4" t="s">
        <v>3057</v>
      </c>
      <c r="AM360" s="10">
        <f t="shared" si="117"/>
        <v>0</v>
      </c>
      <c r="AN360" s="5">
        <f t="shared" si="118"/>
        <v>0</v>
      </c>
      <c r="AO360" s="6" t="str">
        <f t="shared" si="119"/>
        <v>0</v>
      </c>
    </row>
    <row r="361" spans="1:41" x14ac:dyDescent="0.25">
      <c r="A361" t="s">
        <v>2933</v>
      </c>
      <c r="B361" t="s">
        <v>2934</v>
      </c>
      <c r="C361" t="e">
        <f>_xlfn.XLOOKUP(A361,Fore!A:A,Fore!AC:AC)</f>
        <v>#DIV/0!</v>
      </c>
      <c r="D361" s="4" t="s">
        <v>3057</v>
      </c>
      <c r="E361" s="10" t="str">
        <f t="shared" si="100"/>
        <v>0</v>
      </c>
      <c r="F361" s="4" t="s">
        <v>3057</v>
      </c>
      <c r="G361" s="10">
        <f t="shared" si="101"/>
        <v>0</v>
      </c>
      <c r="H361" s="4" t="s">
        <v>3057</v>
      </c>
      <c r="I361" s="10">
        <f t="shared" si="102"/>
        <v>0</v>
      </c>
      <c r="J361" s="4" t="s">
        <v>3057</v>
      </c>
      <c r="K361" s="10">
        <f t="shared" si="103"/>
        <v>0</v>
      </c>
      <c r="L361" s="4" t="s">
        <v>3057</v>
      </c>
      <c r="M361" s="10">
        <f t="shared" si="104"/>
        <v>0</v>
      </c>
      <c r="N361" s="4" t="s">
        <v>3057</v>
      </c>
      <c r="O361" s="10">
        <f t="shared" si="105"/>
        <v>0</v>
      </c>
      <c r="P361" s="4" t="s">
        <v>3057</v>
      </c>
      <c r="Q361" s="10">
        <f t="shared" si="106"/>
        <v>0</v>
      </c>
      <c r="R361" s="4" t="s">
        <v>3057</v>
      </c>
      <c r="S361" s="10">
        <f t="shared" si="107"/>
        <v>0</v>
      </c>
      <c r="T361" s="4" t="s">
        <v>3057</v>
      </c>
      <c r="U361" s="10">
        <f t="shared" si="108"/>
        <v>0</v>
      </c>
      <c r="V361" s="4" t="s">
        <v>3057</v>
      </c>
      <c r="W361" s="10">
        <f t="shared" si="109"/>
        <v>0</v>
      </c>
      <c r="X361" s="4">
        <v>0</v>
      </c>
      <c r="Y361" s="10">
        <f t="shared" si="110"/>
        <v>0</v>
      </c>
      <c r="Z361" s="4" t="s">
        <v>3057</v>
      </c>
      <c r="AA361" s="10">
        <f t="shared" si="111"/>
        <v>0</v>
      </c>
      <c r="AB361" s="4" t="s">
        <v>3057</v>
      </c>
      <c r="AC361" s="10">
        <f t="shared" si="112"/>
        <v>0</v>
      </c>
      <c r="AD361" s="4" t="s">
        <v>3057</v>
      </c>
      <c r="AE361" s="10">
        <f t="shared" si="113"/>
        <v>0</v>
      </c>
      <c r="AF361" s="4" t="s">
        <v>3057</v>
      </c>
      <c r="AG361" s="10">
        <f t="shared" si="114"/>
        <v>0</v>
      </c>
      <c r="AH361" s="4" t="s">
        <v>3057</v>
      </c>
      <c r="AI361" s="10">
        <f t="shared" si="115"/>
        <v>0</v>
      </c>
      <c r="AJ361" s="4" t="s">
        <v>3057</v>
      </c>
      <c r="AK361" s="10">
        <f t="shared" si="116"/>
        <v>0</v>
      </c>
      <c r="AL361" s="4" t="s">
        <v>3057</v>
      </c>
      <c r="AM361" s="10">
        <f t="shared" si="117"/>
        <v>0</v>
      </c>
      <c r="AN361" s="5">
        <f t="shared" si="118"/>
        <v>0</v>
      </c>
      <c r="AO361" s="6" t="str">
        <f t="shared" si="119"/>
        <v>0</v>
      </c>
    </row>
    <row r="362" spans="1:41" x14ac:dyDescent="0.25">
      <c r="A362" t="s">
        <v>2937</v>
      </c>
      <c r="B362" t="s">
        <v>2938</v>
      </c>
      <c r="C362" t="e">
        <f>_xlfn.XLOOKUP(A362,Fore!A:A,Fore!AC:AC)</f>
        <v>#DIV/0!</v>
      </c>
      <c r="D362" s="4" t="s">
        <v>3057</v>
      </c>
      <c r="E362" s="10" t="str">
        <f t="shared" si="100"/>
        <v>0</v>
      </c>
      <c r="F362" s="4" t="s">
        <v>3057</v>
      </c>
      <c r="G362" s="10">
        <f t="shared" si="101"/>
        <v>0</v>
      </c>
      <c r="H362" s="4" t="s">
        <v>3057</v>
      </c>
      <c r="I362" s="10">
        <f t="shared" si="102"/>
        <v>0</v>
      </c>
      <c r="J362" s="4" t="s">
        <v>3057</v>
      </c>
      <c r="K362" s="10">
        <f t="shared" si="103"/>
        <v>0</v>
      </c>
      <c r="L362" s="4" t="s">
        <v>3057</v>
      </c>
      <c r="M362" s="10">
        <f t="shared" si="104"/>
        <v>0</v>
      </c>
      <c r="N362" s="4" t="s">
        <v>3057</v>
      </c>
      <c r="O362" s="10">
        <f t="shared" si="105"/>
        <v>0</v>
      </c>
      <c r="P362" s="4" t="s">
        <v>3057</v>
      </c>
      <c r="Q362" s="10">
        <f t="shared" si="106"/>
        <v>0</v>
      </c>
      <c r="R362" s="4" t="s">
        <v>3057</v>
      </c>
      <c r="S362" s="10">
        <f t="shared" si="107"/>
        <v>0</v>
      </c>
      <c r="T362" s="4" t="s">
        <v>3057</v>
      </c>
      <c r="U362" s="10">
        <f t="shared" si="108"/>
        <v>0</v>
      </c>
      <c r="V362" s="4" t="s">
        <v>3057</v>
      </c>
      <c r="W362" s="10">
        <f t="shared" si="109"/>
        <v>0</v>
      </c>
      <c r="X362" s="4">
        <v>0</v>
      </c>
      <c r="Y362" s="10">
        <f t="shared" si="110"/>
        <v>0</v>
      </c>
      <c r="Z362" s="4" t="s">
        <v>3057</v>
      </c>
      <c r="AA362" s="10">
        <f t="shared" si="111"/>
        <v>0</v>
      </c>
      <c r="AB362" s="4" t="s">
        <v>3057</v>
      </c>
      <c r="AC362" s="10">
        <f t="shared" si="112"/>
        <v>0</v>
      </c>
      <c r="AD362" s="4" t="s">
        <v>3057</v>
      </c>
      <c r="AE362" s="10">
        <f t="shared" si="113"/>
        <v>0</v>
      </c>
      <c r="AF362" s="4" t="s">
        <v>3057</v>
      </c>
      <c r="AG362" s="10">
        <f t="shared" si="114"/>
        <v>0</v>
      </c>
      <c r="AH362" s="4" t="s">
        <v>3057</v>
      </c>
      <c r="AI362" s="10">
        <f t="shared" si="115"/>
        <v>0</v>
      </c>
      <c r="AJ362" s="4" t="s">
        <v>3057</v>
      </c>
      <c r="AK362" s="10">
        <f t="shared" si="116"/>
        <v>0</v>
      </c>
      <c r="AL362" s="4" t="s">
        <v>3057</v>
      </c>
      <c r="AM362" s="10">
        <f t="shared" si="117"/>
        <v>0</v>
      </c>
      <c r="AN362" s="5">
        <f t="shared" si="118"/>
        <v>0</v>
      </c>
      <c r="AO362" s="6" t="str">
        <f t="shared" si="119"/>
        <v>0</v>
      </c>
    </row>
    <row r="363" spans="1:41" x14ac:dyDescent="0.25">
      <c r="A363" t="s">
        <v>2939</v>
      </c>
      <c r="B363" t="s">
        <v>2940</v>
      </c>
      <c r="C363" t="e">
        <f>_xlfn.XLOOKUP(A363,Fore!A:A,Fore!AC:AC)</f>
        <v>#DIV/0!</v>
      </c>
      <c r="D363" s="4" t="s">
        <v>3057</v>
      </c>
      <c r="E363" s="10" t="str">
        <f t="shared" si="100"/>
        <v>0</v>
      </c>
      <c r="F363" s="4" t="s">
        <v>3057</v>
      </c>
      <c r="G363" s="10">
        <f t="shared" si="101"/>
        <v>0</v>
      </c>
      <c r="H363" s="4" t="s">
        <v>3057</v>
      </c>
      <c r="I363" s="10">
        <f t="shared" si="102"/>
        <v>0</v>
      </c>
      <c r="J363" s="4" t="s">
        <v>3057</v>
      </c>
      <c r="K363" s="10">
        <f t="shared" si="103"/>
        <v>0</v>
      </c>
      <c r="L363" s="4" t="s">
        <v>3057</v>
      </c>
      <c r="M363" s="10">
        <f t="shared" si="104"/>
        <v>0</v>
      </c>
      <c r="N363" s="4" t="s">
        <v>3057</v>
      </c>
      <c r="O363" s="10">
        <f t="shared" si="105"/>
        <v>0</v>
      </c>
      <c r="P363" s="4" t="s">
        <v>3057</v>
      </c>
      <c r="Q363" s="10">
        <f t="shared" si="106"/>
        <v>0</v>
      </c>
      <c r="R363" s="4" t="s">
        <v>3057</v>
      </c>
      <c r="S363" s="10">
        <f t="shared" si="107"/>
        <v>0</v>
      </c>
      <c r="T363" s="4" t="s">
        <v>3057</v>
      </c>
      <c r="U363" s="10">
        <f t="shared" si="108"/>
        <v>0</v>
      </c>
      <c r="V363" s="4" t="s">
        <v>3057</v>
      </c>
      <c r="W363" s="10">
        <f t="shared" si="109"/>
        <v>0</v>
      </c>
      <c r="X363" s="4">
        <v>0</v>
      </c>
      <c r="Y363" s="10">
        <f t="shared" si="110"/>
        <v>0</v>
      </c>
      <c r="Z363" s="4" t="s">
        <v>3057</v>
      </c>
      <c r="AA363" s="10">
        <f t="shared" si="111"/>
        <v>0</v>
      </c>
      <c r="AB363" s="4" t="s">
        <v>3057</v>
      </c>
      <c r="AC363" s="10">
        <f t="shared" si="112"/>
        <v>0</v>
      </c>
      <c r="AD363" s="4" t="s">
        <v>3057</v>
      </c>
      <c r="AE363" s="10">
        <f t="shared" si="113"/>
        <v>0</v>
      </c>
      <c r="AF363" s="4" t="s">
        <v>3057</v>
      </c>
      <c r="AG363" s="10">
        <f t="shared" si="114"/>
        <v>0</v>
      </c>
      <c r="AH363" s="4" t="s">
        <v>3057</v>
      </c>
      <c r="AI363" s="10">
        <f t="shared" si="115"/>
        <v>0</v>
      </c>
      <c r="AJ363" s="4" t="s">
        <v>3057</v>
      </c>
      <c r="AK363" s="10">
        <f t="shared" si="116"/>
        <v>0</v>
      </c>
      <c r="AL363" s="4" t="s">
        <v>3057</v>
      </c>
      <c r="AM363" s="10">
        <f t="shared" si="117"/>
        <v>0</v>
      </c>
      <c r="AN363" s="5">
        <f t="shared" si="118"/>
        <v>0</v>
      </c>
      <c r="AO363" s="6" t="str">
        <f t="shared" si="119"/>
        <v>0</v>
      </c>
    </row>
    <row r="364" spans="1:41" x14ac:dyDescent="0.25">
      <c r="A364" t="s">
        <v>2941</v>
      </c>
      <c r="B364" t="s">
        <v>2942</v>
      </c>
      <c r="C364" t="e">
        <f>_xlfn.XLOOKUP(A364,Fore!A:A,Fore!AC:AC)</f>
        <v>#DIV/0!</v>
      </c>
      <c r="D364" s="4" t="s">
        <v>3057</v>
      </c>
      <c r="E364" s="10" t="str">
        <f t="shared" si="100"/>
        <v>0</v>
      </c>
      <c r="F364" s="4" t="s">
        <v>3057</v>
      </c>
      <c r="G364" s="10">
        <f t="shared" si="101"/>
        <v>0</v>
      </c>
      <c r="H364" s="4" t="s">
        <v>3057</v>
      </c>
      <c r="I364" s="10">
        <f t="shared" si="102"/>
        <v>0</v>
      </c>
      <c r="J364" s="4" t="s">
        <v>3057</v>
      </c>
      <c r="K364" s="10">
        <f t="shared" si="103"/>
        <v>0</v>
      </c>
      <c r="L364" s="4" t="s">
        <v>3057</v>
      </c>
      <c r="M364" s="10">
        <f t="shared" si="104"/>
        <v>0</v>
      </c>
      <c r="N364" s="4" t="s">
        <v>3057</v>
      </c>
      <c r="O364" s="10">
        <f t="shared" si="105"/>
        <v>0</v>
      </c>
      <c r="P364" s="4" t="s">
        <v>3057</v>
      </c>
      <c r="Q364" s="10">
        <f t="shared" si="106"/>
        <v>0</v>
      </c>
      <c r="R364" s="4" t="s">
        <v>3057</v>
      </c>
      <c r="S364" s="10">
        <f t="shared" si="107"/>
        <v>0</v>
      </c>
      <c r="T364" s="4" t="s">
        <v>3057</v>
      </c>
      <c r="U364" s="10">
        <f t="shared" si="108"/>
        <v>0</v>
      </c>
      <c r="V364" s="4" t="s">
        <v>3057</v>
      </c>
      <c r="W364" s="10">
        <f t="shared" si="109"/>
        <v>0</v>
      </c>
      <c r="X364" s="4">
        <v>0</v>
      </c>
      <c r="Y364" s="10">
        <f t="shared" si="110"/>
        <v>0</v>
      </c>
      <c r="Z364" s="4" t="s">
        <v>3057</v>
      </c>
      <c r="AA364" s="10">
        <f t="shared" si="111"/>
        <v>0</v>
      </c>
      <c r="AB364" s="4" t="s">
        <v>3057</v>
      </c>
      <c r="AC364" s="10">
        <f t="shared" si="112"/>
        <v>0</v>
      </c>
      <c r="AD364" s="4" t="s">
        <v>3057</v>
      </c>
      <c r="AE364" s="10">
        <f t="shared" si="113"/>
        <v>0</v>
      </c>
      <c r="AF364" s="4" t="s">
        <v>3057</v>
      </c>
      <c r="AG364" s="10">
        <f t="shared" si="114"/>
        <v>0</v>
      </c>
      <c r="AH364" s="4" t="s">
        <v>3057</v>
      </c>
      <c r="AI364" s="10">
        <f t="shared" si="115"/>
        <v>0</v>
      </c>
      <c r="AJ364" s="4" t="s">
        <v>3057</v>
      </c>
      <c r="AK364" s="10">
        <f t="shared" si="116"/>
        <v>0</v>
      </c>
      <c r="AL364" s="4" t="s">
        <v>3057</v>
      </c>
      <c r="AM364" s="10">
        <f t="shared" si="117"/>
        <v>0</v>
      </c>
      <c r="AN364" s="5">
        <f t="shared" si="118"/>
        <v>0</v>
      </c>
      <c r="AO364" s="6" t="str">
        <f t="shared" si="119"/>
        <v>0</v>
      </c>
    </row>
    <row r="365" spans="1:41" x14ac:dyDescent="0.25">
      <c r="B365" t="s">
        <v>2943</v>
      </c>
      <c r="C365" t="e">
        <f>_xlfn.XLOOKUP(A365,Fore!A:A,Fore!AC:AC)</f>
        <v>#DIV/0!</v>
      </c>
      <c r="D365" s="4" t="s">
        <v>3057</v>
      </c>
      <c r="E365" s="10" t="str">
        <f t="shared" si="100"/>
        <v>0</v>
      </c>
      <c r="F365" s="4" t="s">
        <v>3057</v>
      </c>
      <c r="G365" s="10">
        <f t="shared" si="101"/>
        <v>0</v>
      </c>
      <c r="H365" s="4">
        <v>0</v>
      </c>
      <c r="I365" s="10">
        <f t="shared" si="102"/>
        <v>0</v>
      </c>
      <c r="J365" s="4" t="s">
        <v>3057</v>
      </c>
      <c r="K365" s="10">
        <f t="shared" si="103"/>
        <v>0</v>
      </c>
      <c r="L365" s="4" t="s">
        <v>3057</v>
      </c>
      <c r="M365" s="10">
        <f t="shared" si="104"/>
        <v>0</v>
      </c>
      <c r="N365" s="4">
        <v>0</v>
      </c>
      <c r="O365" s="10">
        <f t="shared" si="105"/>
        <v>0</v>
      </c>
      <c r="P365" s="4">
        <v>0</v>
      </c>
      <c r="Q365" s="10">
        <f t="shared" si="106"/>
        <v>0</v>
      </c>
      <c r="R365" s="4">
        <v>0</v>
      </c>
      <c r="S365" s="10">
        <f t="shared" si="107"/>
        <v>0</v>
      </c>
      <c r="T365" s="4">
        <v>0</v>
      </c>
      <c r="U365" s="10">
        <f t="shared" si="108"/>
        <v>0</v>
      </c>
      <c r="V365" s="4">
        <v>0</v>
      </c>
      <c r="W365" s="10">
        <f t="shared" si="109"/>
        <v>0</v>
      </c>
      <c r="X365" s="4">
        <v>0</v>
      </c>
      <c r="Y365" s="10">
        <f t="shared" si="110"/>
        <v>0</v>
      </c>
      <c r="Z365" s="4">
        <v>0</v>
      </c>
      <c r="AA365" s="10">
        <f t="shared" si="111"/>
        <v>0</v>
      </c>
      <c r="AB365" s="4">
        <v>0</v>
      </c>
      <c r="AC365" s="10">
        <f t="shared" si="112"/>
        <v>0</v>
      </c>
      <c r="AD365" s="4">
        <v>0</v>
      </c>
      <c r="AE365" s="10">
        <f t="shared" si="113"/>
        <v>0</v>
      </c>
      <c r="AF365" s="4">
        <v>0</v>
      </c>
      <c r="AG365" s="10">
        <f t="shared" si="114"/>
        <v>0</v>
      </c>
      <c r="AH365" s="4">
        <v>0</v>
      </c>
      <c r="AI365" s="10">
        <f t="shared" si="115"/>
        <v>0</v>
      </c>
      <c r="AJ365" s="4">
        <v>0</v>
      </c>
      <c r="AK365" s="10">
        <f t="shared" si="116"/>
        <v>0</v>
      </c>
      <c r="AL365" s="4">
        <v>0</v>
      </c>
      <c r="AM365" s="10">
        <f t="shared" si="117"/>
        <v>0</v>
      </c>
      <c r="AN365" s="5">
        <f t="shared" si="118"/>
        <v>0</v>
      </c>
      <c r="AO365" s="6" t="str">
        <f t="shared" si="119"/>
        <v>0</v>
      </c>
    </row>
    <row r="366" spans="1:41" x14ac:dyDescent="0.25">
      <c r="B366" t="s">
        <v>2944</v>
      </c>
      <c r="C366" t="e">
        <f>_xlfn.XLOOKUP(A366,Fore!A:A,Fore!AC:AC)</f>
        <v>#DIV/0!</v>
      </c>
      <c r="D366" s="4" t="s">
        <v>3057</v>
      </c>
      <c r="E366" s="10" t="str">
        <f t="shared" si="100"/>
        <v>0</v>
      </c>
      <c r="F366" s="4" t="s">
        <v>3057</v>
      </c>
      <c r="G366" s="10">
        <f t="shared" si="101"/>
        <v>0</v>
      </c>
      <c r="H366" s="4" t="s">
        <v>3057</v>
      </c>
      <c r="I366" s="10">
        <f t="shared" si="102"/>
        <v>0</v>
      </c>
      <c r="J366" s="4" t="s">
        <v>3057</v>
      </c>
      <c r="K366" s="10">
        <f t="shared" si="103"/>
        <v>0</v>
      </c>
      <c r="L366" s="4" t="s">
        <v>3057</v>
      </c>
      <c r="M366" s="10">
        <f t="shared" si="104"/>
        <v>0</v>
      </c>
      <c r="N366" s="4">
        <v>0</v>
      </c>
      <c r="O366" s="10">
        <f t="shared" si="105"/>
        <v>0</v>
      </c>
      <c r="P366" s="4">
        <v>0</v>
      </c>
      <c r="Q366" s="10">
        <f t="shared" si="106"/>
        <v>0</v>
      </c>
      <c r="R366" s="4">
        <v>0</v>
      </c>
      <c r="S366" s="10">
        <f t="shared" si="107"/>
        <v>0</v>
      </c>
      <c r="T366" s="4">
        <v>0</v>
      </c>
      <c r="U366" s="10">
        <f t="shared" si="108"/>
        <v>0</v>
      </c>
      <c r="V366" s="4">
        <v>0</v>
      </c>
      <c r="W366" s="10">
        <f t="shared" si="109"/>
        <v>0</v>
      </c>
      <c r="X366" s="4">
        <v>0</v>
      </c>
      <c r="Y366" s="10">
        <f t="shared" si="110"/>
        <v>0</v>
      </c>
      <c r="Z366" s="4">
        <v>0</v>
      </c>
      <c r="AA366" s="10">
        <f t="shared" si="111"/>
        <v>0</v>
      </c>
      <c r="AB366" s="4">
        <v>0</v>
      </c>
      <c r="AC366" s="10">
        <f t="shared" si="112"/>
        <v>0</v>
      </c>
      <c r="AD366" s="4">
        <v>0</v>
      </c>
      <c r="AE366" s="10">
        <f t="shared" si="113"/>
        <v>0</v>
      </c>
      <c r="AF366" s="4">
        <v>0</v>
      </c>
      <c r="AG366" s="10">
        <f t="shared" si="114"/>
        <v>0</v>
      </c>
      <c r="AH366" s="4">
        <v>0</v>
      </c>
      <c r="AI366" s="10">
        <f t="shared" si="115"/>
        <v>0</v>
      </c>
      <c r="AJ366" s="4">
        <v>0</v>
      </c>
      <c r="AK366" s="10">
        <f t="shared" si="116"/>
        <v>0</v>
      </c>
      <c r="AL366" s="4">
        <v>0</v>
      </c>
      <c r="AM366" s="10">
        <f t="shared" si="117"/>
        <v>0</v>
      </c>
      <c r="AN366" s="5">
        <f t="shared" si="118"/>
        <v>0</v>
      </c>
      <c r="AO366" s="6" t="str">
        <f t="shared" si="119"/>
        <v>0</v>
      </c>
    </row>
    <row r="367" spans="1:41" x14ac:dyDescent="0.25">
      <c r="A367" t="s">
        <v>2945</v>
      </c>
      <c r="B367" t="s">
        <v>2946</v>
      </c>
      <c r="C367" t="e">
        <f>_xlfn.XLOOKUP(A367,Fore!A:A,Fore!AC:AC)</f>
        <v>#DIV/0!</v>
      </c>
      <c r="D367" s="4" t="s">
        <v>3057</v>
      </c>
      <c r="E367" s="10" t="str">
        <f t="shared" si="100"/>
        <v>0</v>
      </c>
      <c r="F367" s="4" t="s">
        <v>3057</v>
      </c>
      <c r="G367" s="10">
        <f t="shared" si="101"/>
        <v>0</v>
      </c>
      <c r="H367" s="4" t="s">
        <v>3057</v>
      </c>
      <c r="I367" s="10">
        <f t="shared" si="102"/>
        <v>0</v>
      </c>
      <c r="J367" s="4" t="s">
        <v>3057</v>
      </c>
      <c r="K367" s="10">
        <f t="shared" si="103"/>
        <v>0</v>
      </c>
      <c r="L367" s="4" t="s">
        <v>3057</v>
      </c>
      <c r="M367" s="10">
        <f t="shared" si="104"/>
        <v>0</v>
      </c>
      <c r="N367" s="4" t="s">
        <v>3057</v>
      </c>
      <c r="O367" s="10">
        <f t="shared" si="105"/>
        <v>0</v>
      </c>
      <c r="P367" s="4" t="s">
        <v>3057</v>
      </c>
      <c r="Q367" s="10">
        <f t="shared" si="106"/>
        <v>0</v>
      </c>
      <c r="R367" s="4" t="s">
        <v>3057</v>
      </c>
      <c r="S367" s="10">
        <f t="shared" si="107"/>
        <v>0</v>
      </c>
      <c r="T367" s="4" t="s">
        <v>3057</v>
      </c>
      <c r="U367" s="10">
        <f t="shared" si="108"/>
        <v>0</v>
      </c>
      <c r="V367" s="4" t="s">
        <v>3057</v>
      </c>
      <c r="W367" s="10">
        <f t="shared" si="109"/>
        <v>0</v>
      </c>
      <c r="X367" s="4">
        <v>0</v>
      </c>
      <c r="Y367" s="10">
        <f t="shared" si="110"/>
        <v>0</v>
      </c>
      <c r="Z367" s="4" t="s">
        <v>3057</v>
      </c>
      <c r="AA367" s="10">
        <f t="shared" si="111"/>
        <v>0</v>
      </c>
      <c r="AB367" s="4" t="s">
        <v>3057</v>
      </c>
      <c r="AC367" s="10">
        <f t="shared" si="112"/>
        <v>0</v>
      </c>
      <c r="AD367" s="4" t="s">
        <v>3057</v>
      </c>
      <c r="AE367" s="10">
        <f t="shared" si="113"/>
        <v>0</v>
      </c>
      <c r="AF367" s="4" t="s">
        <v>3057</v>
      </c>
      <c r="AG367" s="10">
        <f t="shared" si="114"/>
        <v>0</v>
      </c>
      <c r="AH367" s="4" t="s">
        <v>3057</v>
      </c>
      <c r="AI367" s="10">
        <f t="shared" si="115"/>
        <v>0</v>
      </c>
      <c r="AJ367" s="4" t="s">
        <v>3057</v>
      </c>
      <c r="AK367" s="10">
        <f t="shared" si="116"/>
        <v>0</v>
      </c>
      <c r="AL367" s="4" t="s">
        <v>3057</v>
      </c>
      <c r="AM367" s="10">
        <f t="shared" si="117"/>
        <v>0</v>
      </c>
      <c r="AN367" s="5">
        <f t="shared" si="118"/>
        <v>0</v>
      </c>
      <c r="AO367" s="6" t="str">
        <f t="shared" si="119"/>
        <v>0</v>
      </c>
    </row>
    <row r="368" spans="1:41" x14ac:dyDescent="0.25">
      <c r="A368" t="s">
        <v>2952</v>
      </c>
      <c r="B368" t="s">
        <v>2953</v>
      </c>
      <c r="C368" t="e">
        <f>_xlfn.XLOOKUP(A368,Fore!A:A,Fore!AC:AC)</f>
        <v>#DIV/0!</v>
      </c>
      <c r="D368" s="4" t="s">
        <v>3057</v>
      </c>
      <c r="E368" s="10" t="str">
        <f t="shared" si="100"/>
        <v>0</v>
      </c>
      <c r="F368" s="4" t="s">
        <v>3057</v>
      </c>
      <c r="G368" s="10">
        <f t="shared" si="101"/>
        <v>0</v>
      </c>
      <c r="H368" s="4" t="s">
        <v>3057</v>
      </c>
      <c r="I368" s="10">
        <f t="shared" si="102"/>
        <v>0</v>
      </c>
      <c r="J368" s="4" t="s">
        <v>3057</v>
      </c>
      <c r="K368" s="10">
        <f t="shared" si="103"/>
        <v>0</v>
      </c>
      <c r="L368" s="4" t="s">
        <v>3057</v>
      </c>
      <c r="M368" s="10">
        <f t="shared" si="104"/>
        <v>0</v>
      </c>
      <c r="N368" s="4" t="s">
        <v>3057</v>
      </c>
      <c r="O368" s="10">
        <f t="shared" si="105"/>
        <v>0</v>
      </c>
      <c r="P368" s="4" t="s">
        <v>3057</v>
      </c>
      <c r="Q368" s="10">
        <f t="shared" si="106"/>
        <v>0</v>
      </c>
      <c r="R368" s="4" t="s">
        <v>3057</v>
      </c>
      <c r="S368" s="10">
        <f t="shared" si="107"/>
        <v>0</v>
      </c>
      <c r="T368" s="4" t="s">
        <v>3057</v>
      </c>
      <c r="U368" s="10">
        <f t="shared" si="108"/>
        <v>0</v>
      </c>
      <c r="V368" s="4" t="s">
        <v>3057</v>
      </c>
      <c r="W368" s="10">
        <f t="shared" si="109"/>
        <v>0</v>
      </c>
      <c r="X368" s="4">
        <v>0</v>
      </c>
      <c r="Y368" s="10">
        <f t="shared" si="110"/>
        <v>0</v>
      </c>
      <c r="Z368" s="4" t="s">
        <v>3057</v>
      </c>
      <c r="AA368" s="10">
        <f t="shared" si="111"/>
        <v>0</v>
      </c>
      <c r="AB368" s="4" t="s">
        <v>3057</v>
      </c>
      <c r="AC368" s="10">
        <f t="shared" si="112"/>
        <v>0</v>
      </c>
      <c r="AD368" s="4" t="s">
        <v>3057</v>
      </c>
      <c r="AE368" s="10">
        <f t="shared" si="113"/>
        <v>0</v>
      </c>
      <c r="AF368" s="4" t="s">
        <v>3057</v>
      </c>
      <c r="AG368" s="10">
        <f t="shared" si="114"/>
        <v>0</v>
      </c>
      <c r="AH368" s="4" t="s">
        <v>3057</v>
      </c>
      <c r="AI368" s="10">
        <f t="shared" si="115"/>
        <v>0</v>
      </c>
      <c r="AJ368" s="4" t="s">
        <v>3057</v>
      </c>
      <c r="AK368" s="10">
        <f t="shared" si="116"/>
        <v>0</v>
      </c>
      <c r="AL368" s="4" t="s">
        <v>3057</v>
      </c>
      <c r="AM368" s="10">
        <f t="shared" si="117"/>
        <v>0</v>
      </c>
      <c r="AN368" s="5">
        <f t="shared" si="118"/>
        <v>0</v>
      </c>
      <c r="AO368" s="6" t="str">
        <f t="shared" si="119"/>
        <v>0</v>
      </c>
    </row>
    <row r="369" spans="1:41" x14ac:dyDescent="0.25">
      <c r="A369" t="s">
        <v>2954</v>
      </c>
      <c r="B369" t="s">
        <v>2955</v>
      </c>
      <c r="C369" t="e">
        <f>_xlfn.XLOOKUP(A369,Fore!A:A,Fore!AC:AC)</f>
        <v>#DIV/0!</v>
      </c>
      <c r="D369" s="4" t="s">
        <v>3057</v>
      </c>
      <c r="E369" s="10" t="str">
        <f t="shared" si="100"/>
        <v>0</v>
      </c>
      <c r="F369" s="4" t="s">
        <v>3057</v>
      </c>
      <c r="G369" s="10">
        <f t="shared" si="101"/>
        <v>0</v>
      </c>
      <c r="H369" s="4" t="s">
        <v>3057</v>
      </c>
      <c r="I369" s="10">
        <f t="shared" si="102"/>
        <v>0</v>
      </c>
      <c r="J369" s="4" t="s">
        <v>3057</v>
      </c>
      <c r="K369" s="10">
        <f t="shared" si="103"/>
        <v>0</v>
      </c>
      <c r="L369" s="4" t="s">
        <v>3057</v>
      </c>
      <c r="M369" s="10">
        <f t="shared" si="104"/>
        <v>0</v>
      </c>
      <c r="N369" s="4" t="s">
        <v>3057</v>
      </c>
      <c r="O369" s="10">
        <f t="shared" si="105"/>
        <v>0</v>
      </c>
      <c r="P369" s="4" t="s">
        <v>3057</v>
      </c>
      <c r="Q369" s="10">
        <f t="shared" si="106"/>
        <v>0</v>
      </c>
      <c r="R369" s="4" t="s">
        <v>3057</v>
      </c>
      <c r="S369" s="10">
        <f t="shared" si="107"/>
        <v>0</v>
      </c>
      <c r="T369" s="4" t="s">
        <v>3057</v>
      </c>
      <c r="U369" s="10">
        <f t="shared" si="108"/>
        <v>0</v>
      </c>
      <c r="V369" s="4" t="s">
        <v>3057</v>
      </c>
      <c r="W369" s="10">
        <f t="shared" si="109"/>
        <v>0</v>
      </c>
      <c r="X369" s="4">
        <v>0</v>
      </c>
      <c r="Y369" s="10">
        <f t="shared" si="110"/>
        <v>0</v>
      </c>
      <c r="Z369" s="4" t="s">
        <v>3057</v>
      </c>
      <c r="AA369" s="10">
        <f t="shared" si="111"/>
        <v>0</v>
      </c>
      <c r="AB369" s="4" t="s">
        <v>3057</v>
      </c>
      <c r="AC369" s="10">
        <f t="shared" si="112"/>
        <v>0</v>
      </c>
      <c r="AD369" s="4" t="s">
        <v>3057</v>
      </c>
      <c r="AE369" s="10">
        <f t="shared" si="113"/>
        <v>0</v>
      </c>
      <c r="AF369" s="4" t="s">
        <v>3057</v>
      </c>
      <c r="AG369" s="10">
        <f t="shared" si="114"/>
        <v>0</v>
      </c>
      <c r="AH369" s="4" t="s">
        <v>3057</v>
      </c>
      <c r="AI369" s="10">
        <f t="shared" si="115"/>
        <v>0</v>
      </c>
      <c r="AJ369" s="4" t="s">
        <v>3057</v>
      </c>
      <c r="AK369" s="10">
        <f t="shared" si="116"/>
        <v>0</v>
      </c>
      <c r="AL369" s="4" t="s">
        <v>3057</v>
      </c>
      <c r="AM369" s="10">
        <f t="shared" si="117"/>
        <v>0</v>
      </c>
      <c r="AN369" s="5">
        <f t="shared" si="118"/>
        <v>0</v>
      </c>
      <c r="AO369" s="6" t="str">
        <f t="shared" si="119"/>
        <v>0</v>
      </c>
    </row>
    <row r="370" spans="1:41" x14ac:dyDescent="0.25">
      <c r="A370" t="s">
        <v>2957</v>
      </c>
      <c r="B370" t="s">
        <v>2958</v>
      </c>
      <c r="C370" t="e">
        <f>_xlfn.XLOOKUP(A370,Fore!A:A,Fore!AC:AC)</f>
        <v>#DIV/0!</v>
      </c>
      <c r="D370" s="4" t="s">
        <v>3057</v>
      </c>
      <c r="E370" s="10" t="str">
        <f t="shared" si="100"/>
        <v>0</v>
      </c>
      <c r="F370" s="4" t="s">
        <v>3057</v>
      </c>
      <c r="G370" s="10">
        <f t="shared" si="101"/>
        <v>0</v>
      </c>
      <c r="H370" s="4" t="s">
        <v>3057</v>
      </c>
      <c r="I370" s="10">
        <f t="shared" si="102"/>
        <v>0</v>
      </c>
      <c r="J370" s="4" t="s">
        <v>3057</v>
      </c>
      <c r="K370" s="10">
        <f t="shared" si="103"/>
        <v>0</v>
      </c>
      <c r="L370" s="4" t="s">
        <v>3057</v>
      </c>
      <c r="M370" s="10">
        <f t="shared" si="104"/>
        <v>0</v>
      </c>
      <c r="N370" s="4" t="s">
        <v>3057</v>
      </c>
      <c r="O370" s="10">
        <f t="shared" si="105"/>
        <v>0</v>
      </c>
      <c r="P370" s="4" t="s">
        <v>3057</v>
      </c>
      <c r="Q370" s="10">
        <f t="shared" si="106"/>
        <v>0</v>
      </c>
      <c r="R370" s="4" t="s">
        <v>3057</v>
      </c>
      <c r="S370" s="10">
        <f t="shared" si="107"/>
        <v>0</v>
      </c>
      <c r="T370" s="4" t="s">
        <v>3057</v>
      </c>
      <c r="U370" s="10">
        <f t="shared" si="108"/>
        <v>0</v>
      </c>
      <c r="V370" s="4" t="s">
        <v>3057</v>
      </c>
      <c r="W370" s="10">
        <f t="shared" si="109"/>
        <v>0</v>
      </c>
      <c r="X370" s="4">
        <v>0</v>
      </c>
      <c r="Y370" s="10">
        <f t="shared" si="110"/>
        <v>0</v>
      </c>
      <c r="Z370" s="4" t="s">
        <v>3057</v>
      </c>
      <c r="AA370" s="10">
        <f t="shared" si="111"/>
        <v>0</v>
      </c>
      <c r="AB370" s="4" t="s">
        <v>3057</v>
      </c>
      <c r="AC370" s="10">
        <f t="shared" si="112"/>
        <v>0</v>
      </c>
      <c r="AD370" s="4" t="s">
        <v>3057</v>
      </c>
      <c r="AE370" s="10">
        <f t="shared" si="113"/>
        <v>0</v>
      </c>
      <c r="AF370" s="4" t="s">
        <v>3057</v>
      </c>
      <c r="AG370" s="10">
        <f t="shared" si="114"/>
        <v>0</v>
      </c>
      <c r="AH370" s="4" t="s">
        <v>3057</v>
      </c>
      <c r="AI370" s="10">
        <f t="shared" si="115"/>
        <v>0</v>
      </c>
      <c r="AJ370" s="4" t="s">
        <v>3057</v>
      </c>
      <c r="AK370" s="10">
        <f t="shared" si="116"/>
        <v>0</v>
      </c>
      <c r="AL370" s="4" t="s">
        <v>3057</v>
      </c>
      <c r="AM370" s="10">
        <f t="shared" si="117"/>
        <v>0</v>
      </c>
      <c r="AN370" s="5">
        <f t="shared" si="118"/>
        <v>0</v>
      </c>
      <c r="AO370" s="6" t="str">
        <f t="shared" si="119"/>
        <v>0</v>
      </c>
    </row>
    <row r="371" spans="1:41" x14ac:dyDescent="0.25">
      <c r="A371" t="s">
        <v>2959</v>
      </c>
      <c r="B371" t="s">
        <v>2960</v>
      </c>
      <c r="C371" t="e">
        <f>_xlfn.XLOOKUP(A371,Fore!A:A,Fore!AC:AC)</f>
        <v>#DIV/0!</v>
      </c>
      <c r="D371" s="4" t="s">
        <v>3057</v>
      </c>
      <c r="E371" s="10" t="str">
        <f t="shared" si="100"/>
        <v>0</v>
      </c>
      <c r="F371" s="4" t="s">
        <v>3057</v>
      </c>
      <c r="G371" s="10">
        <f t="shared" si="101"/>
        <v>0</v>
      </c>
      <c r="H371" s="4" t="s">
        <v>3057</v>
      </c>
      <c r="I371" s="10">
        <f t="shared" si="102"/>
        <v>0</v>
      </c>
      <c r="J371" s="4" t="s">
        <v>3057</v>
      </c>
      <c r="K371" s="10">
        <f t="shared" si="103"/>
        <v>0</v>
      </c>
      <c r="L371" s="4" t="s">
        <v>3057</v>
      </c>
      <c r="M371" s="10">
        <f t="shared" si="104"/>
        <v>0</v>
      </c>
      <c r="N371" s="4" t="s">
        <v>3057</v>
      </c>
      <c r="O371" s="10">
        <f t="shared" si="105"/>
        <v>0</v>
      </c>
      <c r="P371" s="4" t="s">
        <v>3057</v>
      </c>
      <c r="Q371" s="10">
        <f t="shared" si="106"/>
        <v>0</v>
      </c>
      <c r="R371" s="4" t="s">
        <v>3057</v>
      </c>
      <c r="S371" s="10">
        <f t="shared" si="107"/>
        <v>0</v>
      </c>
      <c r="T371" s="4" t="s">
        <v>3057</v>
      </c>
      <c r="U371" s="10">
        <f t="shared" si="108"/>
        <v>0</v>
      </c>
      <c r="V371" s="4" t="s">
        <v>3057</v>
      </c>
      <c r="W371" s="10">
        <f t="shared" si="109"/>
        <v>0</v>
      </c>
      <c r="X371" s="4">
        <v>0</v>
      </c>
      <c r="Y371" s="10">
        <f t="shared" si="110"/>
        <v>0</v>
      </c>
      <c r="Z371" s="4" t="s">
        <v>3057</v>
      </c>
      <c r="AA371" s="10">
        <f t="shared" si="111"/>
        <v>0</v>
      </c>
      <c r="AB371" s="4" t="s">
        <v>3057</v>
      </c>
      <c r="AC371" s="10">
        <f t="shared" si="112"/>
        <v>0</v>
      </c>
      <c r="AD371" s="4" t="s">
        <v>3057</v>
      </c>
      <c r="AE371" s="10">
        <f t="shared" si="113"/>
        <v>0</v>
      </c>
      <c r="AF371" s="4" t="s">
        <v>3057</v>
      </c>
      <c r="AG371" s="10">
        <f t="shared" si="114"/>
        <v>0</v>
      </c>
      <c r="AH371" s="4" t="s">
        <v>3057</v>
      </c>
      <c r="AI371" s="10">
        <f t="shared" si="115"/>
        <v>0</v>
      </c>
      <c r="AJ371" s="4" t="s">
        <v>3057</v>
      </c>
      <c r="AK371" s="10">
        <f t="shared" si="116"/>
        <v>0</v>
      </c>
      <c r="AL371" s="4" t="s">
        <v>3057</v>
      </c>
      <c r="AM371" s="10">
        <f t="shared" si="117"/>
        <v>0</v>
      </c>
      <c r="AN371" s="5">
        <f t="shared" si="118"/>
        <v>0</v>
      </c>
      <c r="AO371" s="6" t="str">
        <f t="shared" si="119"/>
        <v>0</v>
      </c>
    </row>
    <row r="372" spans="1:41" x14ac:dyDescent="0.25">
      <c r="A372" t="s">
        <v>2961</v>
      </c>
      <c r="B372" t="s">
        <v>2962</v>
      </c>
      <c r="C372" t="e">
        <f>_xlfn.XLOOKUP(A372,Fore!A:A,Fore!AC:AC)</f>
        <v>#DIV/0!</v>
      </c>
      <c r="D372" s="4" t="s">
        <v>3057</v>
      </c>
      <c r="E372" s="10" t="str">
        <f t="shared" si="100"/>
        <v>0</v>
      </c>
      <c r="F372" s="4" t="s">
        <v>3057</v>
      </c>
      <c r="G372" s="10">
        <f t="shared" si="101"/>
        <v>0</v>
      </c>
      <c r="H372" s="4" t="s">
        <v>3057</v>
      </c>
      <c r="I372" s="10">
        <f t="shared" si="102"/>
        <v>0</v>
      </c>
      <c r="J372" s="4" t="s">
        <v>3057</v>
      </c>
      <c r="K372" s="10">
        <f t="shared" si="103"/>
        <v>0</v>
      </c>
      <c r="L372" s="4" t="s">
        <v>3057</v>
      </c>
      <c r="M372" s="10">
        <f t="shared" si="104"/>
        <v>0</v>
      </c>
      <c r="N372" s="4" t="s">
        <v>3057</v>
      </c>
      <c r="O372" s="10">
        <f t="shared" si="105"/>
        <v>0</v>
      </c>
      <c r="P372" s="4" t="s">
        <v>3057</v>
      </c>
      <c r="Q372" s="10">
        <f t="shared" si="106"/>
        <v>0</v>
      </c>
      <c r="R372" s="4" t="s">
        <v>3057</v>
      </c>
      <c r="S372" s="10">
        <f t="shared" si="107"/>
        <v>0</v>
      </c>
      <c r="T372" s="4" t="s">
        <v>3057</v>
      </c>
      <c r="U372" s="10">
        <f t="shared" si="108"/>
        <v>0</v>
      </c>
      <c r="V372" s="4" t="s">
        <v>3057</v>
      </c>
      <c r="W372" s="10">
        <f t="shared" si="109"/>
        <v>0</v>
      </c>
      <c r="X372" s="4">
        <v>0</v>
      </c>
      <c r="Y372" s="10">
        <f t="shared" si="110"/>
        <v>0</v>
      </c>
      <c r="Z372" s="4" t="s">
        <v>3057</v>
      </c>
      <c r="AA372" s="10">
        <f t="shared" si="111"/>
        <v>0</v>
      </c>
      <c r="AB372" s="4" t="s">
        <v>3057</v>
      </c>
      <c r="AC372" s="10">
        <f t="shared" si="112"/>
        <v>0</v>
      </c>
      <c r="AD372" s="4" t="s">
        <v>3057</v>
      </c>
      <c r="AE372" s="10">
        <f t="shared" si="113"/>
        <v>0</v>
      </c>
      <c r="AF372" s="4" t="s">
        <v>3057</v>
      </c>
      <c r="AG372" s="10">
        <f t="shared" si="114"/>
        <v>0</v>
      </c>
      <c r="AH372" s="4" t="s">
        <v>3057</v>
      </c>
      <c r="AI372" s="10">
        <f t="shared" si="115"/>
        <v>0</v>
      </c>
      <c r="AJ372" s="4" t="s">
        <v>3057</v>
      </c>
      <c r="AK372" s="10">
        <f t="shared" si="116"/>
        <v>0</v>
      </c>
      <c r="AL372" s="4" t="s">
        <v>3057</v>
      </c>
      <c r="AM372" s="10">
        <f t="shared" si="117"/>
        <v>0</v>
      </c>
      <c r="AN372" s="5">
        <f t="shared" si="118"/>
        <v>0</v>
      </c>
      <c r="AO372" s="6" t="str">
        <f t="shared" si="119"/>
        <v>0</v>
      </c>
    </row>
    <row r="373" spans="1:41" x14ac:dyDescent="0.25">
      <c r="A373" t="s">
        <v>2965</v>
      </c>
      <c r="B373" t="s">
        <v>2966</v>
      </c>
      <c r="C373" t="e">
        <f>_xlfn.XLOOKUP(A373,Fore!A:A,Fore!AC:AC)</f>
        <v>#DIV/0!</v>
      </c>
      <c r="D373" s="4" t="s">
        <v>3057</v>
      </c>
      <c r="E373" s="10" t="str">
        <f t="shared" si="100"/>
        <v>0</v>
      </c>
      <c r="F373" s="4" t="s">
        <v>3057</v>
      </c>
      <c r="G373" s="10">
        <f t="shared" si="101"/>
        <v>0</v>
      </c>
      <c r="H373" s="4" t="s">
        <v>3057</v>
      </c>
      <c r="I373" s="10">
        <f t="shared" si="102"/>
        <v>0</v>
      </c>
      <c r="J373" s="4" t="s">
        <v>3057</v>
      </c>
      <c r="K373" s="10">
        <f t="shared" si="103"/>
        <v>0</v>
      </c>
      <c r="L373" s="4" t="s">
        <v>3057</v>
      </c>
      <c r="M373" s="10">
        <f t="shared" si="104"/>
        <v>0</v>
      </c>
      <c r="N373" s="4" t="s">
        <v>3057</v>
      </c>
      <c r="O373" s="10">
        <f t="shared" si="105"/>
        <v>0</v>
      </c>
      <c r="P373" s="4" t="s">
        <v>3057</v>
      </c>
      <c r="Q373" s="10">
        <f t="shared" si="106"/>
        <v>0</v>
      </c>
      <c r="R373" s="4" t="s">
        <v>3057</v>
      </c>
      <c r="S373" s="10">
        <f t="shared" si="107"/>
        <v>0</v>
      </c>
      <c r="T373" s="4" t="s">
        <v>3057</v>
      </c>
      <c r="U373" s="10">
        <f t="shared" si="108"/>
        <v>0</v>
      </c>
      <c r="V373" s="4" t="s">
        <v>3057</v>
      </c>
      <c r="W373" s="10">
        <f t="shared" si="109"/>
        <v>0</v>
      </c>
      <c r="X373" s="4">
        <v>0</v>
      </c>
      <c r="Y373" s="10">
        <f t="shared" si="110"/>
        <v>0</v>
      </c>
      <c r="Z373" s="4" t="s">
        <v>3057</v>
      </c>
      <c r="AA373" s="10">
        <f t="shared" si="111"/>
        <v>0</v>
      </c>
      <c r="AB373" s="4" t="s">
        <v>3057</v>
      </c>
      <c r="AC373" s="10">
        <f t="shared" si="112"/>
        <v>0</v>
      </c>
      <c r="AD373" s="4" t="s">
        <v>3057</v>
      </c>
      <c r="AE373" s="10">
        <f t="shared" si="113"/>
        <v>0</v>
      </c>
      <c r="AF373" s="4" t="s">
        <v>3057</v>
      </c>
      <c r="AG373" s="10">
        <f t="shared" si="114"/>
        <v>0</v>
      </c>
      <c r="AH373" s="4" t="s">
        <v>3057</v>
      </c>
      <c r="AI373" s="10">
        <f t="shared" si="115"/>
        <v>0</v>
      </c>
      <c r="AJ373" s="4" t="s">
        <v>3057</v>
      </c>
      <c r="AK373" s="10">
        <f t="shared" si="116"/>
        <v>0</v>
      </c>
      <c r="AL373" s="4" t="s">
        <v>3057</v>
      </c>
      <c r="AM373" s="10">
        <f t="shared" si="117"/>
        <v>0</v>
      </c>
      <c r="AN373" s="5">
        <f t="shared" si="118"/>
        <v>0</v>
      </c>
      <c r="AO373" s="6" t="str">
        <f t="shared" si="119"/>
        <v>0</v>
      </c>
    </row>
    <row r="374" spans="1:41" x14ac:dyDescent="0.25">
      <c r="A374" t="s">
        <v>2967</v>
      </c>
      <c r="B374" t="s">
        <v>2968</v>
      </c>
      <c r="C374" t="e">
        <f>_xlfn.XLOOKUP(A374,Fore!A:A,Fore!AC:AC)</f>
        <v>#DIV/0!</v>
      </c>
      <c r="D374" s="4" t="s">
        <v>3057</v>
      </c>
      <c r="E374" s="10" t="str">
        <f t="shared" si="100"/>
        <v>0</v>
      </c>
      <c r="F374" s="4" t="s">
        <v>3057</v>
      </c>
      <c r="G374" s="10">
        <f t="shared" si="101"/>
        <v>0</v>
      </c>
      <c r="H374" s="4" t="s">
        <v>3057</v>
      </c>
      <c r="I374" s="10">
        <f t="shared" si="102"/>
        <v>0</v>
      </c>
      <c r="J374" s="4" t="s">
        <v>3057</v>
      </c>
      <c r="K374" s="10">
        <f t="shared" si="103"/>
        <v>0</v>
      </c>
      <c r="L374" s="4" t="s">
        <v>3057</v>
      </c>
      <c r="M374" s="10">
        <f t="shared" si="104"/>
        <v>0</v>
      </c>
      <c r="N374" s="4" t="s">
        <v>3057</v>
      </c>
      <c r="O374" s="10">
        <f t="shared" si="105"/>
        <v>0</v>
      </c>
      <c r="P374" s="4" t="s">
        <v>3057</v>
      </c>
      <c r="Q374" s="10">
        <f t="shared" si="106"/>
        <v>0</v>
      </c>
      <c r="R374" s="4" t="s">
        <v>3057</v>
      </c>
      <c r="S374" s="10">
        <f t="shared" si="107"/>
        <v>0</v>
      </c>
      <c r="T374" s="4" t="s">
        <v>3057</v>
      </c>
      <c r="U374" s="10">
        <f t="shared" si="108"/>
        <v>0</v>
      </c>
      <c r="V374" s="4" t="s">
        <v>3057</v>
      </c>
      <c r="W374" s="10">
        <f t="shared" si="109"/>
        <v>0</v>
      </c>
      <c r="X374" s="4">
        <v>0</v>
      </c>
      <c r="Y374" s="10">
        <f t="shared" si="110"/>
        <v>0</v>
      </c>
      <c r="Z374" s="4" t="s">
        <v>3057</v>
      </c>
      <c r="AA374" s="10">
        <f t="shared" si="111"/>
        <v>0</v>
      </c>
      <c r="AB374" s="4" t="s">
        <v>3057</v>
      </c>
      <c r="AC374" s="10">
        <f t="shared" si="112"/>
        <v>0</v>
      </c>
      <c r="AD374" s="4" t="s">
        <v>3057</v>
      </c>
      <c r="AE374" s="10">
        <f t="shared" si="113"/>
        <v>0</v>
      </c>
      <c r="AF374" s="4" t="s">
        <v>3057</v>
      </c>
      <c r="AG374" s="10">
        <f t="shared" si="114"/>
        <v>0</v>
      </c>
      <c r="AH374" s="4" t="s">
        <v>3057</v>
      </c>
      <c r="AI374" s="10">
        <f t="shared" si="115"/>
        <v>0</v>
      </c>
      <c r="AJ374" s="4" t="s">
        <v>3057</v>
      </c>
      <c r="AK374" s="10">
        <f t="shared" si="116"/>
        <v>0</v>
      </c>
      <c r="AL374" s="4" t="s">
        <v>3057</v>
      </c>
      <c r="AM374" s="10">
        <f t="shared" si="117"/>
        <v>0</v>
      </c>
      <c r="AN374" s="5">
        <f t="shared" si="118"/>
        <v>0</v>
      </c>
      <c r="AO374" s="6" t="str">
        <f t="shared" si="119"/>
        <v>0</v>
      </c>
    </row>
    <row r="375" spans="1:41" x14ac:dyDescent="0.25">
      <c r="A375" t="s">
        <v>2969</v>
      </c>
      <c r="B375" t="s">
        <v>2970</v>
      </c>
      <c r="C375" t="e">
        <f>_xlfn.XLOOKUP(A375,Fore!A:A,Fore!AC:AC)</f>
        <v>#DIV/0!</v>
      </c>
      <c r="D375" s="4" t="s">
        <v>3057</v>
      </c>
      <c r="E375" s="10" t="str">
        <f t="shared" si="100"/>
        <v>0</v>
      </c>
      <c r="F375" s="4" t="s">
        <v>3057</v>
      </c>
      <c r="G375" s="10">
        <f t="shared" si="101"/>
        <v>0</v>
      </c>
      <c r="H375" s="4" t="s">
        <v>3057</v>
      </c>
      <c r="I375" s="10">
        <f t="shared" si="102"/>
        <v>0</v>
      </c>
      <c r="J375" s="4" t="s">
        <v>3057</v>
      </c>
      <c r="K375" s="10">
        <f t="shared" si="103"/>
        <v>0</v>
      </c>
      <c r="L375" s="4" t="s">
        <v>3057</v>
      </c>
      <c r="M375" s="10">
        <f t="shared" si="104"/>
        <v>0</v>
      </c>
      <c r="N375" s="4" t="s">
        <v>3057</v>
      </c>
      <c r="O375" s="10">
        <f t="shared" si="105"/>
        <v>0</v>
      </c>
      <c r="P375" s="4" t="s">
        <v>3057</v>
      </c>
      <c r="Q375" s="10">
        <f t="shared" si="106"/>
        <v>0</v>
      </c>
      <c r="R375" s="4" t="s">
        <v>3057</v>
      </c>
      <c r="S375" s="10">
        <f t="shared" si="107"/>
        <v>0</v>
      </c>
      <c r="T375" s="4" t="s">
        <v>3057</v>
      </c>
      <c r="U375" s="10">
        <f t="shared" si="108"/>
        <v>0</v>
      </c>
      <c r="V375" s="4" t="s">
        <v>3057</v>
      </c>
      <c r="W375" s="10">
        <f t="shared" si="109"/>
        <v>0</v>
      </c>
      <c r="X375" s="4">
        <v>0</v>
      </c>
      <c r="Y375" s="10">
        <f t="shared" si="110"/>
        <v>0</v>
      </c>
      <c r="Z375" s="4" t="s">
        <v>3057</v>
      </c>
      <c r="AA375" s="10">
        <f t="shared" si="111"/>
        <v>0</v>
      </c>
      <c r="AB375" s="4" t="s">
        <v>3057</v>
      </c>
      <c r="AC375" s="10">
        <f t="shared" si="112"/>
        <v>0</v>
      </c>
      <c r="AD375" s="4" t="s">
        <v>3057</v>
      </c>
      <c r="AE375" s="10">
        <f t="shared" si="113"/>
        <v>0</v>
      </c>
      <c r="AF375" s="4" t="s">
        <v>3057</v>
      </c>
      <c r="AG375" s="10">
        <f t="shared" si="114"/>
        <v>0</v>
      </c>
      <c r="AH375" s="4" t="s">
        <v>3057</v>
      </c>
      <c r="AI375" s="10">
        <f t="shared" si="115"/>
        <v>0</v>
      </c>
      <c r="AJ375" s="4" t="s">
        <v>3057</v>
      </c>
      <c r="AK375" s="10">
        <f t="shared" si="116"/>
        <v>0</v>
      </c>
      <c r="AL375" s="4" t="s">
        <v>3057</v>
      </c>
      <c r="AM375" s="10">
        <f t="shared" si="117"/>
        <v>0</v>
      </c>
      <c r="AN375" s="5">
        <f t="shared" si="118"/>
        <v>0</v>
      </c>
      <c r="AO375" s="6" t="str">
        <f t="shared" si="119"/>
        <v>0</v>
      </c>
    </row>
    <row r="376" spans="1:41" x14ac:dyDescent="0.25">
      <c r="A376" t="s">
        <v>2971</v>
      </c>
      <c r="B376" t="s">
        <v>2826</v>
      </c>
      <c r="C376" t="e">
        <f>_xlfn.XLOOKUP(A376,Fore!A:A,Fore!AC:AC)</f>
        <v>#DIV/0!</v>
      </c>
      <c r="D376" s="4" t="s">
        <v>3057</v>
      </c>
      <c r="E376" s="10" t="str">
        <f t="shared" si="100"/>
        <v>0</v>
      </c>
      <c r="F376" s="4" t="s">
        <v>3057</v>
      </c>
      <c r="G376" s="10">
        <f t="shared" si="101"/>
        <v>0</v>
      </c>
      <c r="H376" s="4" t="s">
        <v>3057</v>
      </c>
      <c r="I376" s="10">
        <f t="shared" si="102"/>
        <v>0</v>
      </c>
      <c r="J376" s="4" t="s">
        <v>3057</v>
      </c>
      <c r="K376" s="10">
        <f t="shared" si="103"/>
        <v>0</v>
      </c>
      <c r="L376" s="4" t="s">
        <v>3057</v>
      </c>
      <c r="M376" s="10">
        <f t="shared" si="104"/>
        <v>0</v>
      </c>
      <c r="N376" s="4" t="s">
        <v>3057</v>
      </c>
      <c r="O376" s="10">
        <f t="shared" si="105"/>
        <v>0</v>
      </c>
      <c r="P376" s="4" t="s">
        <v>3057</v>
      </c>
      <c r="Q376" s="10">
        <f t="shared" si="106"/>
        <v>0</v>
      </c>
      <c r="R376" s="4" t="s">
        <v>3057</v>
      </c>
      <c r="S376" s="10">
        <f t="shared" si="107"/>
        <v>0</v>
      </c>
      <c r="T376" s="4" t="s">
        <v>3057</v>
      </c>
      <c r="U376" s="10">
        <f t="shared" si="108"/>
        <v>0</v>
      </c>
      <c r="V376" s="4" t="s">
        <v>3057</v>
      </c>
      <c r="W376" s="10">
        <f t="shared" si="109"/>
        <v>0</v>
      </c>
      <c r="X376" s="4">
        <v>0</v>
      </c>
      <c r="Y376" s="10">
        <f t="shared" si="110"/>
        <v>0</v>
      </c>
      <c r="Z376" s="4" t="s">
        <v>3057</v>
      </c>
      <c r="AA376" s="10">
        <f t="shared" si="111"/>
        <v>0</v>
      </c>
      <c r="AB376" s="4" t="s">
        <v>3057</v>
      </c>
      <c r="AC376" s="10">
        <f t="shared" si="112"/>
        <v>0</v>
      </c>
      <c r="AD376" s="4" t="s">
        <v>3057</v>
      </c>
      <c r="AE376" s="10">
        <f t="shared" si="113"/>
        <v>0</v>
      </c>
      <c r="AF376" s="4" t="s">
        <v>3057</v>
      </c>
      <c r="AG376" s="10">
        <f t="shared" si="114"/>
        <v>0</v>
      </c>
      <c r="AH376" s="4" t="s">
        <v>3057</v>
      </c>
      <c r="AI376" s="10">
        <f t="shared" si="115"/>
        <v>0</v>
      </c>
      <c r="AJ376" s="4" t="s">
        <v>3057</v>
      </c>
      <c r="AK376" s="10">
        <f t="shared" si="116"/>
        <v>0</v>
      </c>
      <c r="AL376" s="4" t="s">
        <v>3057</v>
      </c>
      <c r="AM376" s="10">
        <f t="shared" si="117"/>
        <v>0</v>
      </c>
      <c r="AN376" s="5">
        <f t="shared" si="118"/>
        <v>0</v>
      </c>
      <c r="AO376" s="6" t="str">
        <f t="shared" si="119"/>
        <v>0</v>
      </c>
    </row>
    <row r="377" spans="1:41" x14ac:dyDescent="0.25">
      <c r="A377" t="s">
        <v>2972</v>
      </c>
      <c r="B377" t="s">
        <v>2973</v>
      </c>
      <c r="C377" t="e">
        <f>_xlfn.XLOOKUP(A377,Fore!A:A,Fore!AC:AC)</f>
        <v>#DIV/0!</v>
      </c>
      <c r="D377" s="4" t="s">
        <v>3057</v>
      </c>
      <c r="E377" s="10" t="str">
        <f t="shared" si="100"/>
        <v>0</v>
      </c>
      <c r="F377" s="4" t="s">
        <v>3057</v>
      </c>
      <c r="G377" s="10">
        <f t="shared" si="101"/>
        <v>0</v>
      </c>
      <c r="H377" s="4" t="s">
        <v>3057</v>
      </c>
      <c r="I377" s="10">
        <f t="shared" si="102"/>
        <v>0</v>
      </c>
      <c r="J377" s="4" t="s">
        <v>3057</v>
      </c>
      <c r="K377" s="10">
        <f t="shared" si="103"/>
        <v>0</v>
      </c>
      <c r="L377" s="4" t="s">
        <v>3057</v>
      </c>
      <c r="M377" s="10">
        <f t="shared" si="104"/>
        <v>0</v>
      </c>
      <c r="N377" s="4" t="s">
        <v>3057</v>
      </c>
      <c r="O377" s="10">
        <f t="shared" si="105"/>
        <v>0</v>
      </c>
      <c r="P377" s="4" t="s">
        <v>3057</v>
      </c>
      <c r="Q377" s="10">
        <f t="shared" si="106"/>
        <v>0</v>
      </c>
      <c r="R377" s="4" t="s">
        <v>3057</v>
      </c>
      <c r="S377" s="10">
        <f t="shared" si="107"/>
        <v>0</v>
      </c>
      <c r="T377" s="4" t="s">
        <v>3057</v>
      </c>
      <c r="U377" s="10">
        <f t="shared" si="108"/>
        <v>0</v>
      </c>
      <c r="V377" s="4" t="s">
        <v>3057</v>
      </c>
      <c r="W377" s="10">
        <f t="shared" si="109"/>
        <v>0</v>
      </c>
      <c r="X377" s="4">
        <v>0</v>
      </c>
      <c r="Y377" s="10">
        <f t="shared" si="110"/>
        <v>0</v>
      </c>
      <c r="Z377" s="4" t="s">
        <v>3057</v>
      </c>
      <c r="AA377" s="10">
        <f t="shared" si="111"/>
        <v>0</v>
      </c>
      <c r="AB377" s="4" t="s">
        <v>3057</v>
      </c>
      <c r="AC377" s="10">
        <f t="shared" si="112"/>
        <v>0</v>
      </c>
      <c r="AD377" s="4" t="s">
        <v>3057</v>
      </c>
      <c r="AE377" s="10">
        <f t="shared" si="113"/>
        <v>0</v>
      </c>
      <c r="AF377" s="4" t="s">
        <v>3057</v>
      </c>
      <c r="AG377" s="10">
        <f t="shared" si="114"/>
        <v>0</v>
      </c>
      <c r="AH377" s="4" t="s">
        <v>3057</v>
      </c>
      <c r="AI377" s="10">
        <f t="shared" si="115"/>
        <v>0</v>
      </c>
      <c r="AJ377" s="4" t="s">
        <v>3057</v>
      </c>
      <c r="AK377" s="10">
        <f t="shared" si="116"/>
        <v>0</v>
      </c>
      <c r="AL377" s="4" t="s">
        <v>3057</v>
      </c>
      <c r="AM377" s="10">
        <f t="shared" si="117"/>
        <v>0</v>
      </c>
      <c r="AN377" s="5">
        <f t="shared" si="118"/>
        <v>0</v>
      </c>
      <c r="AO377" s="6" t="str">
        <f t="shared" si="119"/>
        <v>0</v>
      </c>
    </row>
    <row r="378" spans="1:41" x14ac:dyDescent="0.25">
      <c r="A378" t="s">
        <v>2974</v>
      </c>
      <c r="B378" t="s">
        <v>2975</v>
      </c>
      <c r="C378" t="e">
        <f>_xlfn.XLOOKUP(A378,Fore!A:A,Fore!AC:AC)</f>
        <v>#DIV/0!</v>
      </c>
      <c r="D378" s="4" t="s">
        <v>3057</v>
      </c>
      <c r="E378" s="10" t="str">
        <f t="shared" si="100"/>
        <v>0</v>
      </c>
      <c r="F378" s="4" t="s">
        <v>3057</v>
      </c>
      <c r="G378" s="10">
        <f t="shared" si="101"/>
        <v>0</v>
      </c>
      <c r="H378" s="4" t="s">
        <v>3057</v>
      </c>
      <c r="I378" s="10">
        <f t="shared" si="102"/>
        <v>0</v>
      </c>
      <c r="J378" s="4" t="s">
        <v>3057</v>
      </c>
      <c r="K378" s="10">
        <f t="shared" si="103"/>
        <v>0</v>
      </c>
      <c r="L378" s="4" t="s">
        <v>3057</v>
      </c>
      <c r="M378" s="10">
        <f t="shared" si="104"/>
        <v>0</v>
      </c>
      <c r="N378" s="4" t="s">
        <v>3057</v>
      </c>
      <c r="O378" s="10">
        <f t="shared" si="105"/>
        <v>0</v>
      </c>
      <c r="P378" s="4" t="s">
        <v>3057</v>
      </c>
      <c r="Q378" s="10">
        <f t="shared" si="106"/>
        <v>0</v>
      </c>
      <c r="R378" s="4" t="s">
        <v>3057</v>
      </c>
      <c r="S378" s="10">
        <f t="shared" si="107"/>
        <v>0</v>
      </c>
      <c r="T378" s="4" t="s">
        <v>3057</v>
      </c>
      <c r="U378" s="10">
        <f t="shared" si="108"/>
        <v>0</v>
      </c>
      <c r="V378" s="4" t="s">
        <v>3057</v>
      </c>
      <c r="W378" s="10">
        <f t="shared" si="109"/>
        <v>0</v>
      </c>
      <c r="X378" s="4">
        <v>0</v>
      </c>
      <c r="Y378" s="10">
        <f t="shared" si="110"/>
        <v>0</v>
      </c>
      <c r="Z378" s="4" t="s">
        <v>3057</v>
      </c>
      <c r="AA378" s="10">
        <f t="shared" si="111"/>
        <v>0</v>
      </c>
      <c r="AB378" s="4" t="s">
        <v>3057</v>
      </c>
      <c r="AC378" s="10">
        <f t="shared" si="112"/>
        <v>0</v>
      </c>
      <c r="AD378" s="4" t="s">
        <v>3057</v>
      </c>
      <c r="AE378" s="10">
        <f t="shared" si="113"/>
        <v>0</v>
      </c>
      <c r="AF378" s="4" t="s">
        <v>3057</v>
      </c>
      <c r="AG378" s="10">
        <f t="shared" si="114"/>
        <v>0</v>
      </c>
      <c r="AH378" s="4" t="s">
        <v>3057</v>
      </c>
      <c r="AI378" s="10">
        <f t="shared" si="115"/>
        <v>0</v>
      </c>
      <c r="AJ378" s="4" t="s">
        <v>3057</v>
      </c>
      <c r="AK378" s="10">
        <f t="shared" si="116"/>
        <v>0</v>
      </c>
      <c r="AL378" s="4" t="s">
        <v>3057</v>
      </c>
      <c r="AM378" s="10">
        <f t="shared" si="117"/>
        <v>0</v>
      </c>
      <c r="AN378" s="5">
        <f t="shared" si="118"/>
        <v>0</v>
      </c>
      <c r="AO378" s="6" t="str">
        <f t="shared" si="119"/>
        <v>0</v>
      </c>
    </row>
    <row r="379" spans="1:41" x14ac:dyDescent="0.25">
      <c r="A379" t="s">
        <v>2981</v>
      </c>
      <c r="B379" t="s">
        <v>2982</v>
      </c>
      <c r="C379" t="e">
        <f>_xlfn.XLOOKUP(A379,Fore!A:A,Fore!AC:AC)</f>
        <v>#DIV/0!</v>
      </c>
      <c r="D379" s="4" t="s">
        <v>3057</v>
      </c>
      <c r="E379" s="10" t="str">
        <f t="shared" si="100"/>
        <v>0</v>
      </c>
      <c r="F379" s="4" t="s">
        <v>3057</v>
      </c>
      <c r="G379" s="10">
        <f t="shared" si="101"/>
        <v>0</v>
      </c>
      <c r="H379" s="4" t="s">
        <v>3057</v>
      </c>
      <c r="I379" s="10">
        <f t="shared" si="102"/>
        <v>0</v>
      </c>
      <c r="J379" s="4" t="s">
        <v>3057</v>
      </c>
      <c r="K379" s="10">
        <f t="shared" si="103"/>
        <v>0</v>
      </c>
      <c r="L379" s="4" t="s">
        <v>3057</v>
      </c>
      <c r="M379" s="10">
        <f t="shared" si="104"/>
        <v>0</v>
      </c>
      <c r="N379" s="4" t="s">
        <v>3057</v>
      </c>
      <c r="O379" s="10">
        <f t="shared" si="105"/>
        <v>0</v>
      </c>
      <c r="P379" s="4" t="s">
        <v>3057</v>
      </c>
      <c r="Q379" s="10">
        <f t="shared" si="106"/>
        <v>0</v>
      </c>
      <c r="R379" s="4" t="s">
        <v>3057</v>
      </c>
      <c r="S379" s="10">
        <f t="shared" si="107"/>
        <v>0</v>
      </c>
      <c r="T379" s="4" t="s">
        <v>3057</v>
      </c>
      <c r="U379" s="10">
        <f t="shared" si="108"/>
        <v>0</v>
      </c>
      <c r="V379" s="4" t="s">
        <v>3057</v>
      </c>
      <c r="W379" s="10">
        <f t="shared" si="109"/>
        <v>0</v>
      </c>
      <c r="X379" s="4">
        <v>0</v>
      </c>
      <c r="Y379" s="10">
        <f t="shared" si="110"/>
        <v>0</v>
      </c>
      <c r="Z379" s="4" t="s">
        <v>3057</v>
      </c>
      <c r="AA379" s="10">
        <f t="shared" si="111"/>
        <v>0</v>
      </c>
      <c r="AB379" s="4" t="s">
        <v>3057</v>
      </c>
      <c r="AC379" s="10">
        <f t="shared" si="112"/>
        <v>0</v>
      </c>
      <c r="AD379" s="4" t="s">
        <v>3057</v>
      </c>
      <c r="AE379" s="10">
        <f t="shared" si="113"/>
        <v>0</v>
      </c>
      <c r="AF379" s="4" t="s">
        <v>3057</v>
      </c>
      <c r="AG379" s="10">
        <f t="shared" si="114"/>
        <v>0</v>
      </c>
      <c r="AH379" s="4" t="s">
        <v>3057</v>
      </c>
      <c r="AI379" s="10">
        <f t="shared" si="115"/>
        <v>0</v>
      </c>
      <c r="AJ379" s="4" t="s">
        <v>3057</v>
      </c>
      <c r="AK379" s="10">
        <f t="shared" si="116"/>
        <v>0</v>
      </c>
      <c r="AL379" s="4" t="s">
        <v>3057</v>
      </c>
      <c r="AM379" s="10">
        <f t="shared" si="117"/>
        <v>0</v>
      </c>
      <c r="AN379" s="5">
        <f t="shared" si="118"/>
        <v>0</v>
      </c>
      <c r="AO379" s="6" t="str">
        <f t="shared" si="119"/>
        <v>0</v>
      </c>
    </row>
    <row r="380" spans="1:41" x14ac:dyDescent="0.25">
      <c r="A380" t="s">
        <v>2983</v>
      </c>
      <c r="B380" t="s">
        <v>2984</v>
      </c>
      <c r="C380" t="e">
        <f>_xlfn.XLOOKUP(A380,Fore!A:A,Fore!AC:AC)</f>
        <v>#DIV/0!</v>
      </c>
      <c r="D380" s="4" t="s">
        <v>3057</v>
      </c>
      <c r="E380" s="10" t="str">
        <f t="shared" si="100"/>
        <v>0</v>
      </c>
      <c r="F380" s="4" t="s">
        <v>3057</v>
      </c>
      <c r="G380" s="10">
        <f t="shared" si="101"/>
        <v>0</v>
      </c>
      <c r="H380" s="4" t="s">
        <v>3057</v>
      </c>
      <c r="I380" s="10">
        <f t="shared" si="102"/>
        <v>0</v>
      </c>
      <c r="J380" s="4" t="s">
        <v>3057</v>
      </c>
      <c r="K380" s="10">
        <f t="shared" si="103"/>
        <v>0</v>
      </c>
      <c r="L380" s="4" t="s">
        <v>3057</v>
      </c>
      <c r="M380" s="10">
        <f t="shared" si="104"/>
        <v>0</v>
      </c>
      <c r="N380" s="4" t="s">
        <v>3057</v>
      </c>
      <c r="O380" s="10">
        <f t="shared" si="105"/>
        <v>0</v>
      </c>
      <c r="P380" s="4" t="s">
        <v>3057</v>
      </c>
      <c r="Q380" s="10">
        <f t="shared" si="106"/>
        <v>0</v>
      </c>
      <c r="R380" s="4" t="s">
        <v>3057</v>
      </c>
      <c r="S380" s="10">
        <f t="shared" si="107"/>
        <v>0</v>
      </c>
      <c r="T380" s="4" t="s">
        <v>3057</v>
      </c>
      <c r="U380" s="10">
        <f t="shared" si="108"/>
        <v>0</v>
      </c>
      <c r="V380" s="4" t="s">
        <v>3057</v>
      </c>
      <c r="W380" s="10">
        <f t="shared" si="109"/>
        <v>0</v>
      </c>
      <c r="X380" s="4">
        <v>0</v>
      </c>
      <c r="Y380" s="10">
        <f t="shared" si="110"/>
        <v>0</v>
      </c>
      <c r="Z380" s="4" t="s">
        <v>3057</v>
      </c>
      <c r="AA380" s="10">
        <f t="shared" si="111"/>
        <v>0</v>
      </c>
      <c r="AB380" s="4" t="s">
        <v>3057</v>
      </c>
      <c r="AC380" s="10">
        <f t="shared" si="112"/>
        <v>0</v>
      </c>
      <c r="AD380" s="4" t="s">
        <v>3057</v>
      </c>
      <c r="AE380" s="10">
        <f t="shared" si="113"/>
        <v>0</v>
      </c>
      <c r="AF380" s="4" t="s">
        <v>3057</v>
      </c>
      <c r="AG380" s="10">
        <f t="shared" si="114"/>
        <v>0</v>
      </c>
      <c r="AH380" s="4" t="s">
        <v>3057</v>
      </c>
      <c r="AI380" s="10">
        <f t="shared" si="115"/>
        <v>0</v>
      </c>
      <c r="AJ380" s="4" t="s">
        <v>3057</v>
      </c>
      <c r="AK380" s="10">
        <f t="shared" si="116"/>
        <v>0</v>
      </c>
      <c r="AL380" s="4" t="s">
        <v>3057</v>
      </c>
      <c r="AM380" s="10">
        <f t="shared" si="117"/>
        <v>0</v>
      </c>
      <c r="AN380" s="5">
        <f t="shared" si="118"/>
        <v>0</v>
      </c>
      <c r="AO380" s="6" t="str">
        <f t="shared" si="119"/>
        <v>0</v>
      </c>
    </row>
    <row r="381" spans="1:41" x14ac:dyDescent="0.25">
      <c r="A381" t="s">
        <v>2987</v>
      </c>
      <c r="B381" t="s">
        <v>2988</v>
      </c>
      <c r="C381" t="e">
        <f>_xlfn.XLOOKUP(A381,Fore!A:A,Fore!AC:AC)</f>
        <v>#DIV/0!</v>
      </c>
      <c r="D381" s="4" t="s">
        <v>3057</v>
      </c>
      <c r="E381" s="10" t="str">
        <f t="shared" si="100"/>
        <v>0</v>
      </c>
      <c r="F381" s="4" t="s">
        <v>3057</v>
      </c>
      <c r="G381" s="10">
        <f t="shared" si="101"/>
        <v>0</v>
      </c>
      <c r="H381" s="4" t="s">
        <v>3057</v>
      </c>
      <c r="I381" s="10">
        <f t="shared" si="102"/>
        <v>0</v>
      </c>
      <c r="J381" s="4" t="s">
        <v>3057</v>
      </c>
      <c r="K381" s="10">
        <f t="shared" si="103"/>
        <v>0</v>
      </c>
      <c r="L381" s="4" t="s">
        <v>3057</v>
      </c>
      <c r="M381" s="10">
        <f t="shared" si="104"/>
        <v>0</v>
      </c>
      <c r="N381" s="4" t="s">
        <v>3057</v>
      </c>
      <c r="O381" s="10">
        <f t="shared" si="105"/>
        <v>0</v>
      </c>
      <c r="P381" s="4" t="s">
        <v>3057</v>
      </c>
      <c r="Q381" s="10">
        <f t="shared" si="106"/>
        <v>0</v>
      </c>
      <c r="R381" s="4" t="s">
        <v>3057</v>
      </c>
      <c r="S381" s="10">
        <f t="shared" si="107"/>
        <v>0</v>
      </c>
      <c r="T381" s="4" t="s">
        <v>3057</v>
      </c>
      <c r="U381" s="10">
        <f t="shared" si="108"/>
        <v>0</v>
      </c>
      <c r="V381" s="4" t="s">
        <v>3057</v>
      </c>
      <c r="W381" s="10">
        <f t="shared" si="109"/>
        <v>0</v>
      </c>
      <c r="X381" s="4">
        <v>0</v>
      </c>
      <c r="Y381" s="10">
        <f t="shared" si="110"/>
        <v>0</v>
      </c>
      <c r="Z381" s="4" t="s">
        <v>3057</v>
      </c>
      <c r="AA381" s="10">
        <f t="shared" si="111"/>
        <v>0</v>
      </c>
      <c r="AB381" s="4" t="s">
        <v>3057</v>
      </c>
      <c r="AC381" s="10">
        <f t="shared" si="112"/>
        <v>0</v>
      </c>
      <c r="AD381" s="4" t="s">
        <v>3057</v>
      </c>
      <c r="AE381" s="10">
        <f t="shared" si="113"/>
        <v>0</v>
      </c>
      <c r="AF381" s="4" t="s">
        <v>3057</v>
      </c>
      <c r="AG381" s="10">
        <f t="shared" si="114"/>
        <v>0</v>
      </c>
      <c r="AH381" s="4" t="s">
        <v>3057</v>
      </c>
      <c r="AI381" s="10">
        <f t="shared" si="115"/>
        <v>0</v>
      </c>
      <c r="AJ381" s="4" t="s">
        <v>3057</v>
      </c>
      <c r="AK381" s="10">
        <f t="shared" si="116"/>
        <v>0</v>
      </c>
      <c r="AL381" s="4" t="s">
        <v>3057</v>
      </c>
      <c r="AM381" s="10">
        <f t="shared" si="117"/>
        <v>0</v>
      </c>
      <c r="AN381" s="5">
        <f t="shared" si="118"/>
        <v>0</v>
      </c>
      <c r="AO381" s="6" t="str">
        <f t="shared" si="119"/>
        <v>0</v>
      </c>
    </row>
    <row r="382" spans="1:41" x14ac:dyDescent="0.25">
      <c r="A382" t="s">
        <v>2989</v>
      </c>
      <c r="B382" t="s">
        <v>2990</v>
      </c>
      <c r="C382" t="e">
        <f>_xlfn.XLOOKUP(A382,Fore!A:A,Fore!AC:AC)</f>
        <v>#DIV/0!</v>
      </c>
      <c r="D382" s="4" t="s">
        <v>3057</v>
      </c>
      <c r="E382" s="10" t="str">
        <f t="shared" si="100"/>
        <v>0</v>
      </c>
      <c r="F382" s="4" t="s">
        <v>3057</v>
      </c>
      <c r="G382" s="10">
        <f t="shared" si="101"/>
        <v>0</v>
      </c>
      <c r="H382" s="4" t="s">
        <v>3057</v>
      </c>
      <c r="I382" s="10">
        <f t="shared" si="102"/>
        <v>0</v>
      </c>
      <c r="J382" s="4" t="s">
        <v>3057</v>
      </c>
      <c r="K382" s="10">
        <f t="shared" si="103"/>
        <v>0</v>
      </c>
      <c r="L382" s="4" t="s">
        <v>3057</v>
      </c>
      <c r="M382" s="10">
        <f t="shared" si="104"/>
        <v>0</v>
      </c>
      <c r="N382" s="4" t="s">
        <v>3057</v>
      </c>
      <c r="O382" s="10">
        <f t="shared" si="105"/>
        <v>0</v>
      </c>
      <c r="P382" s="4" t="s">
        <v>3057</v>
      </c>
      <c r="Q382" s="10">
        <f t="shared" si="106"/>
        <v>0</v>
      </c>
      <c r="R382" s="4" t="s">
        <v>3057</v>
      </c>
      <c r="S382" s="10">
        <f t="shared" si="107"/>
        <v>0</v>
      </c>
      <c r="T382" s="4" t="s">
        <v>3057</v>
      </c>
      <c r="U382" s="10">
        <f t="shared" si="108"/>
        <v>0</v>
      </c>
      <c r="V382" s="4" t="s">
        <v>3057</v>
      </c>
      <c r="W382" s="10">
        <f t="shared" si="109"/>
        <v>0</v>
      </c>
      <c r="X382" s="4">
        <v>0</v>
      </c>
      <c r="Y382" s="10">
        <f t="shared" si="110"/>
        <v>0</v>
      </c>
      <c r="Z382" s="4" t="s">
        <v>3057</v>
      </c>
      <c r="AA382" s="10">
        <f t="shared" si="111"/>
        <v>0</v>
      </c>
      <c r="AB382" s="4" t="s">
        <v>3057</v>
      </c>
      <c r="AC382" s="10">
        <f t="shared" si="112"/>
        <v>0</v>
      </c>
      <c r="AD382" s="4" t="s">
        <v>3057</v>
      </c>
      <c r="AE382" s="10">
        <f t="shared" si="113"/>
        <v>0</v>
      </c>
      <c r="AF382" s="4" t="s">
        <v>3057</v>
      </c>
      <c r="AG382" s="10">
        <f t="shared" si="114"/>
        <v>0</v>
      </c>
      <c r="AH382" s="4" t="s">
        <v>3057</v>
      </c>
      <c r="AI382" s="10">
        <f t="shared" si="115"/>
        <v>0</v>
      </c>
      <c r="AJ382" s="4" t="s">
        <v>3057</v>
      </c>
      <c r="AK382" s="10">
        <f t="shared" si="116"/>
        <v>0</v>
      </c>
      <c r="AL382" s="4" t="s">
        <v>3057</v>
      </c>
      <c r="AM382" s="10">
        <f t="shared" si="117"/>
        <v>0</v>
      </c>
      <c r="AN382" s="5">
        <f t="shared" si="118"/>
        <v>0</v>
      </c>
      <c r="AO382" s="6" t="str">
        <f t="shared" si="119"/>
        <v>0</v>
      </c>
    </row>
    <row r="383" spans="1:41" x14ac:dyDescent="0.25">
      <c r="A383" t="s">
        <v>2995</v>
      </c>
      <c r="B383" t="s">
        <v>2996</v>
      </c>
      <c r="C383" t="e">
        <f>_xlfn.XLOOKUP(A383,Fore!A:A,Fore!AC:AC)</f>
        <v>#DIV/0!</v>
      </c>
      <c r="D383" s="4" t="s">
        <v>3057</v>
      </c>
      <c r="E383" s="10" t="str">
        <f t="shared" si="100"/>
        <v>0</v>
      </c>
      <c r="F383" s="4" t="s">
        <v>3057</v>
      </c>
      <c r="G383" s="10">
        <f t="shared" si="101"/>
        <v>0</v>
      </c>
      <c r="H383" s="4" t="s">
        <v>3057</v>
      </c>
      <c r="I383" s="10">
        <f t="shared" si="102"/>
        <v>0</v>
      </c>
      <c r="J383" s="4" t="s">
        <v>3057</v>
      </c>
      <c r="K383" s="10">
        <f t="shared" si="103"/>
        <v>0</v>
      </c>
      <c r="L383" s="4" t="s">
        <v>3057</v>
      </c>
      <c r="M383" s="10">
        <f t="shared" si="104"/>
        <v>0</v>
      </c>
      <c r="N383" s="4" t="s">
        <v>3057</v>
      </c>
      <c r="O383" s="10">
        <f t="shared" si="105"/>
        <v>0</v>
      </c>
      <c r="P383" s="4" t="s">
        <v>3057</v>
      </c>
      <c r="Q383" s="10">
        <f t="shared" si="106"/>
        <v>0</v>
      </c>
      <c r="R383" s="4" t="s">
        <v>3057</v>
      </c>
      <c r="S383" s="10">
        <f t="shared" si="107"/>
        <v>0</v>
      </c>
      <c r="T383" s="4" t="s">
        <v>3057</v>
      </c>
      <c r="U383" s="10">
        <f t="shared" si="108"/>
        <v>0</v>
      </c>
      <c r="V383" s="4" t="s">
        <v>3057</v>
      </c>
      <c r="W383" s="10">
        <f t="shared" si="109"/>
        <v>0</v>
      </c>
      <c r="X383" s="4">
        <v>0</v>
      </c>
      <c r="Y383" s="10">
        <f t="shared" si="110"/>
        <v>0</v>
      </c>
      <c r="Z383" s="4" t="s">
        <v>3057</v>
      </c>
      <c r="AA383" s="10">
        <f t="shared" si="111"/>
        <v>0</v>
      </c>
      <c r="AB383" s="4" t="s">
        <v>3057</v>
      </c>
      <c r="AC383" s="10">
        <f t="shared" si="112"/>
        <v>0</v>
      </c>
      <c r="AD383" s="4" t="s">
        <v>3057</v>
      </c>
      <c r="AE383" s="10">
        <f t="shared" si="113"/>
        <v>0</v>
      </c>
      <c r="AF383" s="4" t="s">
        <v>3057</v>
      </c>
      <c r="AG383" s="10">
        <f t="shared" si="114"/>
        <v>0</v>
      </c>
      <c r="AH383" s="4" t="s">
        <v>3057</v>
      </c>
      <c r="AI383" s="10">
        <f t="shared" si="115"/>
        <v>0</v>
      </c>
      <c r="AJ383" s="4" t="s">
        <v>3057</v>
      </c>
      <c r="AK383" s="10">
        <f t="shared" si="116"/>
        <v>0</v>
      </c>
      <c r="AL383" s="4" t="s">
        <v>3057</v>
      </c>
      <c r="AM383" s="10">
        <f t="shared" si="117"/>
        <v>0</v>
      </c>
      <c r="AN383" s="5">
        <f t="shared" si="118"/>
        <v>0</v>
      </c>
      <c r="AO383" s="6" t="str">
        <f t="shared" si="119"/>
        <v>0</v>
      </c>
    </row>
    <row r="384" spans="1:41" x14ac:dyDescent="0.25">
      <c r="A384" t="s">
        <v>2997</v>
      </c>
      <c r="B384" t="s">
        <v>2998</v>
      </c>
      <c r="C384" t="e">
        <f>_xlfn.XLOOKUP(A384,Fore!A:A,Fore!AC:AC)</f>
        <v>#DIV/0!</v>
      </c>
      <c r="D384" s="4" t="s">
        <v>3057</v>
      </c>
      <c r="E384" s="10" t="str">
        <f t="shared" si="100"/>
        <v>0</v>
      </c>
      <c r="F384" s="4" t="s">
        <v>3057</v>
      </c>
      <c r="G384" s="10">
        <f t="shared" si="101"/>
        <v>0</v>
      </c>
      <c r="H384" s="4" t="s">
        <v>3057</v>
      </c>
      <c r="I384" s="10">
        <f t="shared" si="102"/>
        <v>0</v>
      </c>
      <c r="J384" s="4" t="s">
        <v>3057</v>
      </c>
      <c r="K384" s="10">
        <f t="shared" si="103"/>
        <v>0</v>
      </c>
      <c r="L384" s="4" t="s">
        <v>3057</v>
      </c>
      <c r="M384" s="10">
        <f t="shared" si="104"/>
        <v>0</v>
      </c>
      <c r="N384" s="4" t="s">
        <v>3057</v>
      </c>
      <c r="O384" s="10">
        <f t="shared" si="105"/>
        <v>0</v>
      </c>
      <c r="P384" s="4" t="s">
        <v>3057</v>
      </c>
      <c r="Q384" s="10">
        <f t="shared" si="106"/>
        <v>0</v>
      </c>
      <c r="R384" s="4" t="s">
        <v>3057</v>
      </c>
      <c r="S384" s="10">
        <f t="shared" si="107"/>
        <v>0</v>
      </c>
      <c r="T384" s="4" t="s">
        <v>3057</v>
      </c>
      <c r="U384" s="10">
        <f t="shared" si="108"/>
        <v>0</v>
      </c>
      <c r="V384" s="4" t="s">
        <v>3057</v>
      </c>
      <c r="W384" s="10">
        <f t="shared" si="109"/>
        <v>0</v>
      </c>
      <c r="X384" s="4">
        <v>0</v>
      </c>
      <c r="Y384" s="10">
        <f t="shared" si="110"/>
        <v>0</v>
      </c>
      <c r="Z384" s="4" t="s">
        <v>3057</v>
      </c>
      <c r="AA384" s="10">
        <f t="shared" si="111"/>
        <v>0</v>
      </c>
      <c r="AB384" s="4" t="s">
        <v>3057</v>
      </c>
      <c r="AC384" s="10">
        <f t="shared" si="112"/>
        <v>0</v>
      </c>
      <c r="AD384" s="4" t="s">
        <v>3057</v>
      </c>
      <c r="AE384" s="10">
        <f t="shared" si="113"/>
        <v>0</v>
      </c>
      <c r="AF384" s="4" t="s">
        <v>3057</v>
      </c>
      <c r="AG384" s="10">
        <f t="shared" si="114"/>
        <v>0</v>
      </c>
      <c r="AH384" s="4" t="s">
        <v>3057</v>
      </c>
      <c r="AI384" s="10">
        <f t="shared" si="115"/>
        <v>0</v>
      </c>
      <c r="AJ384" s="4" t="s">
        <v>3057</v>
      </c>
      <c r="AK384" s="10">
        <f t="shared" si="116"/>
        <v>0</v>
      </c>
      <c r="AL384" s="4" t="s">
        <v>3057</v>
      </c>
      <c r="AM384" s="10">
        <f t="shared" si="117"/>
        <v>0</v>
      </c>
      <c r="AN384" s="5">
        <f t="shared" si="118"/>
        <v>0</v>
      </c>
      <c r="AO384" s="6" t="str">
        <f t="shared" si="119"/>
        <v>0</v>
      </c>
    </row>
    <row r="385" spans="1:41" x14ac:dyDescent="0.25">
      <c r="A385" t="s">
        <v>2999</v>
      </c>
      <c r="B385" t="s">
        <v>3000</v>
      </c>
      <c r="C385" t="e">
        <f>_xlfn.XLOOKUP(A385,Fore!A:A,Fore!AC:AC)</f>
        <v>#DIV/0!</v>
      </c>
      <c r="D385" s="4" t="s">
        <v>3057</v>
      </c>
      <c r="E385" s="10" t="str">
        <f t="shared" si="100"/>
        <v>0</v>
      </c>
      <c r="F385" s="4" t="s">
        <v>3057</v>
      </c>
      <c r="G385" s="10">
        <f t="shared" si="101"/>
        <v>0</v>
      </c>
      <c r="H385" s="4" t="s">
        <v>3057</v>
      </c>
      <c r="I385" s="10">
        <f t="shared" si="102"/>
        <v>0</v>
      </c>
      <c r="J385" s="4" t="s">
        <v>3057</v>
      </c>
      <c r="K385" s="10">
        <f t="shared" si="103"/>
        <v>0</v>
      </c>
      <c r="L385" s="4" t="s">
        <v>3057</v>
      </c>
      <c r="M385" s="10">
        <f t="shared" si="104"/>
        <v>0</v>
      </c>
      <c r="N385" s="4" t="s">
        <v>3057</v>
      </c>
      <c r="O385" s="10">
        <f t="shared" si="105"/>
        <v>0</v>
      </c>
      <c r="P385" s="4" t="s">
        <v>3057</v>
      </c>
      <c r="Q385" s="10">
        <f t="shared" si="106"/>
        <v>0</v>
      </c>
      <c r="R385" s="4" t="s">
        <v>3057</v>
      </c>
      <c r="S385" s="10">
        <f t="shared" si="107"/>
        <v>0</v>
      </c>
      <c r="T385" s="4" t="s">
        <v>3057</v>
      </c>
      <c r="U385" s="10">
        <f t="shared" si="108"/>
        <v>0</v>
      </c>
      <c r="V385" s="4" t="s">
        <v>3057</v>
      </c>
      <c r="W385" s="10">
        <f t="shared" si="109"/>
        <v>0</v>
      </c>
      <c r="X385" s="4">
        <v>0</v>
      </c>
      <c r="Y385" s="10">
        <f t="shared" si="110"/>
        <v>0</v>
      </c>
      <c r="Z385" s="4" t="s">
        <v>3057</v>
      </c>
      <c r="AA385" s="10">
        <f t="shared" si="111"/>
        <v>0</v>
      </c>
      <c r="AB385" s="4" t="s">
        <v>3057</v>
      </c>
      <c r="AC385" s="10">
        <f t="shared" si="112"/>
        <v>0</v>
      </c>
      <c r="AD385" s="4" t="s">
        <v>3057</v>
      </c>
      <c r="AE385" s="10">
        <f t="shared" si="113"/>
        <v>0</v>
      </c>
      <c r="AF385" s="4" t="s">
        <v>3057</v>
      </c>
      <c r="AG385" s="10">
        <f t="shared" si="114"/>
        <v>0</v>
      </c>
      <c r="AH385" s="4" t="s">
        <v>3057</v>
      </c>
      <c r="AI385" s="10">
        <f t="shared" si="115"/>
        <v>0</v>
      </c>
      <c r="AJ385" s="4" t="s">
        <v>3057</v>
      </c>
      <c r="AK385" s="10">
        <f t="shared" si="116"/>
        <v>0</v>
      </c>
      <c r="AL385" s="4" t="s">
        <v>3057</v>
      </c>
      <c r="AM385" s="10">
        <f t="shared" si="117"/>
        <v>0</v>
      </c>
      <c r="AN385" s="5">
        <f t="shared" si="118"/>
        <v>0</v>
      </c>
      <c r="AO385" s="6" t="str">
        <f t="shared" si="119"/>
        <v>0</v>
      </c>
    </row>
    <row r="386" spans="1:41" x14ac:dyDescent="0.25">
      <c r="A386" t="s">
        <v>3001</v>
      </c>
      <c r="B386" t="s">
        <v>3002</v>
      </c>
      <c r="C386" t="e">
        <f>_xlfn.XLOOKUP(A386,Fore!A:A,Fore!AC:AC)</f>
        <v>#DIV/0!</v>
      </c>
      <c r="D386" s="4" t="s">
        <v>3057</v>
      </c>
      <c r="E386" s="10" t="str">
        <f t="shared" si="100"/>
        <v>0</v>
      </c>
      <c r="F386" s="4" t="s">
        <v>3057</v>
      </c>
      <c r="G386" s="10">
        <f t="shared" si="101"/>
        <v>0</v>
      </c>
      <c r="H386" s="4" t="s">
        <v>3057</v>
      </c>
      <c r="I386" s="10">
        <f t="shared" si="102"/>
        <v>0</v>
      </c>
      <c r="J386" s="4" t="s">
        <v>3057</v>
      </c>
      <c r="K386" s="10">
        <f t="shared" si="103"/>
        <v>0</v>
      </c>
      <c r="L386" s="4" t="s">
        <v>3057</v>
      </c>
      <c r="M386" s="10">
        <f t="shared" si="104"/>
        <v>0</v>
      </c>
      <c r="N386" s="4" t="s">
        <v>3057</v>
      </c>
      <c r="O386" s="10">
        <f t="shared" si="105"/>
        <v>0</v>
      </c>
      <c r="P386" s="4" t="s">
        <v>3057</v>
      </c>
      <c r="Q386" s="10">
        <f t="shared" si="106"/>
        <v>0</v>
      </c>
      <c r="R386" s="4" t="s">
        <v>3057</v>
      </c>
      <c r="S386" s="10">
        <f t="shared" si="107"/>
        <v>0</v>
      </c>
      <c r="T386" s="4" t="s">
        <v>3057</v>
      </c>
      <c r="U386" s="10">
        <f t="shared" si="108"/>
        <v>0</v>
      </c>
      <c r="V386" s="4" t="s">
        <v>3057</v>
      </c>
      <c r="W386" s="10">
        <f t="shared" si="109"/>
        <v>0</v>
      </c>
      <c r="X386" s="4">
        <v>0</v>
      </c>
      <c r="Y386" s="10">
        <f t="shared" si="110"/>
        <v>0</v>
      </c>
      <c r="Z386" s="4" t="s">
        <v>3057</v>
      </c>
      <c r="AA386" s="10">
        <f t="shared" si="111"/>
        <v>0</v>
      </c>
      <c r="AB386" s="4" t="s">
        <v>3057</v>
      </c>
      <c r="AC386" s="10">
        <f t="shared" si="112"/>
        <v>0</v>
      </c>
      <c r="AD386" s="4" t="s">
        <v>3057</v>
      </c>
      <c r="AE386" s="10">
        <f t="shared" si="113"/>
        <v>0</v>
      </c>
      <c r="AF386" s="4" t="s">
        <v>3057</v>
      </c>
      <c r="AG386" s="10">
        <f t="shared" si="114"/>
        <v>0</v>
      </c>
      <c r="AH386" s="4" t="s">
        <v>3057</v>
      </c>
      <c r="AI386" s="10">
        <f t="shared" si="115"/>
        <v>0</v>
      </c>
      <c r="AJ386" s="4" t="s">
        <v>3057</v>
      </c>
      <c r="AK386" s="10">
        <f t="shared" si="116"/>
        <v>0</v>
      </c>
      <c r="AL386" s="4" t="s">
        <v>3057</v>
      </c>
      <c r="AM386" s="10">
        <f t="shared" si="117"/>
        <v>0</v>
      </c>
      <c r="AN386" s="5">
        <f t="shared" si="118"/>
        <v>0</v>
      </c>
      <c r="AO386" s="6" t="str">
        <f t="shared" si="119"/>
        <v>0</v>
      </c>
    </row>
    <row r="387" spans="1:41" x14ac:dyDescent="0.25">
      <c r="A387" t="s">
        <v>3003</v>
      </c>
      <c r="B387" t="s">
        <v>3004</v>
      </c>
      <c r="C387" t="e">
        <f>_xlfn.XLOOKUP(A387,Fore!A:A,Fore!AC:AC)</f>
        <v>#DIV/0!</v>
      </c>
      <c r="D387" s="4" t="s">
        <v>3057</v>
      </c>
      <c r="E387" s="10" t="str">
        <f t="shared" si="100"/>
        <v>0</v>
      </c>
      <c r="F387" s="4" t="s">
        <v>3057</v>
      </c>
      <c r="G387" s="10">
        <f t="shared" si="101"/>
        <v>0</v>
      </c>
      <c r="H387" s="4" t="s">
        <v>3057</v>
      </c>
      <c r="I387" s="10">
        <f t="shared" si="102"/>
        <v>0</v>
      </c>
      <c r="J387" s="4" t="s">
        <v>3057</v>
      </c>
      <c r="K387" s="10">
        <f t="shared" si="103"/>
        <v>0</v>
      </c>
      <c r="L387" s="4" t="s">
        <v>3057</v>
      </c>
      <c r="M387" s="10">
        <f t="shared" si="104"/>
        <v>0</v>
      </c>
      <c r="N387" s="4" t="s">
        <v>3057</v>
      </c>
      <c r="O387" s="10">
        <f t="shared" si="105"/>
        <v>0</v>
      </c>
      <c r="P387" s="4" t="s">
        <v>3057</v>
      </c>
      <c r="Q387" s="10">
        <f t="shared" si="106"/>
        <v>0</v>
      </c>
      <c r="R387" s="4" t="s">
        <v>3057</v>
      </c>
      <c r="S387" s="10">
        <f t="shared" si="107"/>
        <v>0</v>
      </c>
      <c r="T387" s="4" t="s">
        <v>3057</v>
      </c>
      <c r="U387" s="10">
        <f t="shared" si="108"/>
        <v>0</v>
      </c>
      <c r="V387" s="4" t="s">
        <v>3057</v>
      </c>
      <c r="W387" s="10">
        <f t="shared" si="109"/>
        <v>0</v>
      </c>
      <c r="X387" s="4">
        <v>0</v>
      </c>
      <c r="Y387" s="10">
        <f t="shared" si="110"/>
        <v>0</v>
      </c>
      <c r="Z387" s="4" t="s">
        <v>3057</v>
      </c>
      <c r="AA387" s="10">
        <f t="shared" si="111"/>
        <v>0</v>
      </c>
      <c r="AB387" s="4" t="s">
        <v>3057</v>
      </c>
      <c r="AC387" s="10">
        <f t="shared" si="112"/>
        <v>0</v>
      </c>
      <c r="AD387" s="4" t="s">
        <v>3057</v>
      </c>
      <c r="AE387" s="10">
        <f t="shared" si="113"/>
        <v>0</v>
      </c>
      <c r="AF387" s="4" t="s">
        <v>3057</v>
      </c>
      <c r="AG387" s="10">
        <f t="shared" si="114"/>
        <v>0</v>
      </c>
      <c r="AH387" s="4" t="s">
        <v>3057</v>
      </c>
      <c r="AI387" s="10">
        <f t="shared" si="115"/>
        <v>0</v>
      </c>
      <c r="AJ387" s="4" t="s">
        <v>3057</v>
      </c>
      <c r="AK387" s="10">
        <f t="shared" si="116"/>
        <v>0</v>
      </c>
      <c r="AL387" s="4" t="s">
        <v>3057</v>
      </c>
      <c r="AM387" s="10">
        <f t="shared" si="117"/>
        <v>0</v>
      </c>
      <c r="AN387" s="5">
        <f t="shared" si="118"/>
        <v>0</v>
      </c>
      <c r="AO387" s="6" t="str">
        <f t="shared" si="119"/>
        <v>0</v>
      </c>
    </row>
    <row r="388" spans="1:41" x14ac:dyDescent="0.25">
      <c r="A388" t="s">
        <v>3005</v>
      </c>
      <c r="B388" t="s">
        <v>3006</v>
      </c>
      <c r="C388" t="e">
        <f>_xlfn.XLOOKUP(A388,Fore!A:A,Fore!AC:AC)</f>
        <v>#DIV/0!</v>
      </c>
      <c r="D388" s="4" t="s">
        <v>3057</v>
      </c>
      <c r="E388" s="10" t="str">
        <f t="shared" ref="E388:E411" si="120">D388</f>
        <v>0</v>
      </c>
      <c r="F388" s="4" t="s">
        <v>3057</v>
      </c>
      <c r="G388" s="10">
        <f t="shared" ref="G388:G411" si="121">$C$1*D388+(1-$C$1)*E388</f>
        <v>0</v>
      </c>
      <c r="H388" s="4" t="s">
        <v>3057</v>
      </c>
      <c r="I388" s="10">
        <f t="shared" ref="I388:I411" si="122">$C$1*F388+(1-$C$1)*G388</f>
        <v>0</v>
      </c>
      <c r="J388" s="4" t="s">
        <v>3057</v>
      </c>
      <c r="K388" s="10">
        <f t="shared" ref="K388:K411" si="123">$C$1*H388+(1-$C$1)*I388</f>
        <v>0</v>
      </c>
      <c r="L388" s="4" t="s">
        <v>3057</v>
      </c>
      <c r="M388" s="10">
        <f t="shared" ref="M388:M411" si="124">$C$1*J388+(1-$C$1)*K388</f>
        <v>0</v>
      </c>
      <c r="N388" s="4" t="s">
        <v>3057</v>
      </c>
      <c r="O388" s="10">
        <f t="shared" ref="O388:O411" si="125">$C$1*M388+(1-$C$1)*L388</f>
        <v>0</v>
      </c>
      <c r="P388" s="4" t="s">
        <v>3057</v>
      </c>
      <c r="Q388" s="10">
        <f t="shared" ref="Q388:Q411" si="126">$C$1*N388+(1-$C$1)*O388</f>
        <v>0</v>
      </c>
      <c r="R388" s="4" t="s">
        <v>3057</v>
      </c>
      <c r="S388" s="10">
        <f t="shared" ref="S388:S411" si="127">$C$1*P388+(1-$C$1)*Q388</f>
        <v>0</v>
      </c>
      <c r="T388" s="4" t="s">
        <v>3057</v>
      </c>
      <c r="U388" s="10">
        <f t="shared" ref="U388:U411" si="128">$C$1*R388+(1-$C$1)*S388</f>
        <v>0</v>
      </c>
      <c r="V388" s="4" t="s">
        <v>3057</v>
      </c>
      <c r="W388" s="10">
        <f t="shared" ref="W388:W411" si="129">$C$1*T388+(1-$C$1)*U388</f>
        <v>0</v>
      </c>
      <c r="X388" s="4">
        <v>0</v>
      </c>
      <c r="Y388" s="10">
        <f t="shared" ref="Y388:Y411" si="130">$C$1*V388+(1-$C$1)*W388</f>
        <v>0</v>
      </c>
      <c r="Z388" s="4" t="s">
        <v>3057</v>
      </c>
      <c r="AA388" s="10">
        <f t="shared" ref="AA388:AA411" si="131">$C$1*X388+(1-$C$1)*Y388</f>
        <v>0</v>
      </c>
      <c r="AB388" s="4" t="s">
        <v>3057</v>
      </c>
      <c r="AC388" s="10">
        <f t="shared" ref="AC388:AC411" si="132">$C$1*Z388+(1-$C$1)*AA388</f>
        <v>0</v>
      </c>
      <c r="AD388" s="4" t="s">
        <v>3057</v>
      </c>
      <c r="AE388" s="10">
        <f t="shared" ref="AE388:AE411" si="133">$C$1*AB388+(1-$C$1)*AC388</f>
        <v>0</v>
      </c>
      <c r="AF388" s="4" t="s">
        <v>3057</v>
      </c>
      <c r="AG388" s="10">
        <f t="shared" ref="AG388:AG411" si="134">$C$1*AD388+(1-$C$1)*AE388</f>
        <v>0</v>
      </c>
      <c r="AH388" s="4" t="s">
        <v>3057</v>
      </c>
      <c r="AI388" s="10">
        <f t="shared" ref="AI388:AI411" si="135">$C$1*AF388+(1-$C$1)*AG388</f>
        <v>0</v>
      </c>
      <c r="AJ388" s="4" t="s">
        <v>3057</v>
      </c>
      <c r="AK388" s="10">
        <f t="shared" ref="AK388:AK411" si="136">$C$1*AH388+(1-$C$1)*AI388</f>
        <v>0</v>
      </c>
      <c r="AL388" s="4" t="s">
        <v>3057</v>
      </c>
      <c r="AM388" s="10">
        <f t="shared" ref="AM388:AM411" si="137">$C$1*AJ388+(1-$C$1)*AK388</f>
        <v>0</v>
      </c>
      <c r="AN388" s="5">
        <f t="shared" ref="AN388:AN411" si="138">ABS(AL388-AM388)</f>
        <v>0</v>
      </c>
      <c r="AO388" s="6" t="str">
        <f t="shared" ref="AO388:AO411" si="139">IFERROR(ABS((AL388-AM388)/AL388),"0")</f>
        <v>0</v>
      </c>
    </row>
    <row r="389" spans="1:41" x14ac:dyDescent="0.25">
      <c r="A389" t="s">
        <v>3007</v>
      </c>
      <c r="B389" t="s">
        <v>3008</v>
      </c>
      <c r="C389" t="e">
        <f>_xlfn.XLOOKUP(A389,Fore!A:A,Fore!AC:AC)</f>
        <v>#DIV/0!</v>
      </c>
      <c r="D389" s="4" t="s">
        <v>3057</v>
      </c>
      <c r="E389" s="10" t="str">
        <f t="shared" si="120"/>
        <v>0</v>
      </c>
      <c r="F389" s="4" t="s">
        <v>3057</v>
      </c>
      <c r="G389" s="10">
        <f t="shared" si="121"/>
        <v>0</v>
      </c>
      <c r="H389" s="4" t="s">
        <v>3057</v>
      </c>
      <c r="I389" s="10">
        <f t="shared" si="122"/>
        <v>0</v>
      </c>
      <c r="J389" s="4" t="s">
        <v>3057</v>
      </c>
      <c r="K389" s="10">
        <f t="shared" si="123"/>
        <v>0</v>
      </c>
      <c r="L389" s="4" t="s">
        <v>3057</v>
      </c>
      <c r="M389" s="10">
        <f t="shared" si="124"/>
        <v>0</v>
      </c>
      <c r="N389" s="4" t="s">
        <v>3057</v>
      </c>
      <c r="O389" s="10">
        <f t="shared" si="125"/>
        <v>0</v>
      </c>
      <c r="P389" s="4" t="s">
        <v>3057</v>
      </c>
      <c r="Q389" s="10">
        <f t="shared" si="126"/>
        <v>0</v>
      </c>
      <c r="R389" s="4" t="s">
        <v>3057</v>
      </c>
      <c r="S389" s="10">
        <f t="shared" si="127"/>
        <v>0</v>
      </c>
      <c r="T389" s="4" t="s">
        <v>3057</v>
      </c>
      <c r="U389" s="10">
        <f t="shared" si="128"/>
        <v>0</v>
      </c>
      <c r="V389" s="4" t="s">
        <v>3057</v>
      </c>
      <c r="W389" s="10">
        <f t="shared" si="129"/>
        <v>0</v>
      </c>
      <c r="X389" s="4">
        <v>0</v>
      </c>
      <c r="Y389" s="10">
        <f t="shared" si="130"/>
        <v>0</v>
      </c>
      <c r="Z389" s="4" t="s">
        <v>3057</v>
      </c>
      <c r="AA389" s="10">
        <f t="shared" si="131"/>
        <v>0</v>
      </c>
      <c r="AB389" s="4" t="s">
        <v>3057</v>
      </c>
      <c r="AC389" s="10">
        <f t="shared" si="132"/>
        <v>0</v>
      </c>
      <c r="AD389" s="4" t="s">
        <v>3057</v>
      </c>
      <c r="AE389" s="10">
        <f t="shared" si="133"/>
        <v>0</v>
      </c>
      <c r="AF389" s="4" t="s">
        <v>3057</v>
      </c>
      <c r="AG389" s="10">
        <f t="shared" si="134"/>
        <v>0</v>
      </c>
      <c r="AH389" s="4" t="s">
        <v>3057</v>
      </c>
      <c r="AI389" s="10">
        <f t="shared" si="135"/>
        <v>0</v>
      </c>
      <c r="AJ389" s="4" t="s">
        <v>3057</v>
      </c>
      <c r="AK389" s="10">
        <f t="shared" si="136"/>
        <v>0</v>
      </c>
      <c r="AL389" s="4" t="s">
        <v>3057</v>
      </c>
      <c r="AM389" s="10">
        <f t="shared" si="137"/>
        <v>0</v>
      </c>
      <c r="AN389" s="5">
        <f t="shared" si="138"/>
        <v>0</v>
      </c>
      <c r="AO389" s="6" t="str">
        <f t="shared" si="139"/>
        <v>0</v>
      </c>
    </row>
    <row r="390" spans="1:41" x14ac:dyDescent="0.25">
      <c r="A390" t="s">
        <v>3009</v>
      </c>
      <c r="B390" t="s">
        <v>3010</v>
      </c>
      <c r="C390" t="e">
        <f>_xlfn.XLOOKUP(A390,Fore!A:A,Fore!AC:AC)</f>
        <v>#DIV/0!</v>
      </c>
      <c r="D390" s="4" t="s">
        <v>3057</v>
      </c>
      <c r="E390" s="10" t="str">
        <f t="shared" si="120"/>
        <v>0</v>
      </c>
      <c r="F390" s="4" t="s">
        <v>3057</v>
      </c>
      <c r="G390" s="10">
        <f t="shared" si="121"/>
        <v>0</v>
      </c>
      <c r="H390" s="4" t="s">
        <v>3057</v>
      </c>
      <c r="I390" s="10">
        <f t="shared" si="122"/>
        <v>0</v>
      </c>
      <c r="J390" s="4" t="s">
        <v>3057</v>
      </c>
      <c r="K390" s="10">
        <f t="shared" si="123"/>
        <v>0</v>
      </c>
      <c r="L390" s="4" t="s">
        <v>3057</v>
      </c>
      <c r="M390" s="10">
        <f t="shared" si="124"/>
        <v>0</v>
      </c>
      <c r="N390" s="4" t="s">
        <v>3057</v>
      </c>
      <c r="O390" s="10">
        <f t="shared" si="125"/>
        <v>0</v>
      </c>
      <c r="P390" s="4" t="s">
        <v>3057</v>
      </c>
      <c r="Q390" s="10">
        <f t="shared" si="126"/>
        <v>0</v>
      </c>
      <c r="R390" s="4" t="s">
        <v>3057</v>
      </c>
      <c r="S390" s="10">
        <f t="shared" si="127"/>
        <v>0</v>
      </c>
      <c r="T390" s="4" t="s">
        <v>3057</v>
      </c>
      <c r="U390" s="10">
        <f t="shared" si="128"/>
        <v>0</v>
      </c>
      <c r="V390" s="4" t="s">
        <v>3057</v>
      </c>
      <c r="W390" s="10">
        <f t="shared" si="129"/>
        <v>0</v>
      </c>
      <c r="X390" s="4">
        <v>0</v>
      </c>
      <c r="Y390" s="10">
        <f t="shared" si="130"/>
        <v>0</v>
      </c>
      <c r="Z390" s="4" t="s">
        <v>3057</v>
      </c>
      <c r="AA390" s="10">
        <f t="shared" si="131"/>
        <v>0</v>
      </c>
      <c r="AB390" s="4" t="s">
        <v>3057</v>
      </c>
      <c r="AC390" s="10">
        <f t="shared" si="132"/>
        <v>0</v>
      </c>
      <c r="AD390" s="4" t="s">
        <v>3057</v>
      </c>
      <c r="AE390" s="10">
        <f t="shared" si="133"/>
        <v>0</v>
      </c>
      <c r="AF390" s="4" t="s">
        <v>3057</v>
      </c>
      <c r="AG390" s="10">
        <f t="shared" si="134"/>
        <v>0</v>
      </c>
      <c r="AH390" s="4" t="s">
        <v>3057</v>
      </c>
      <c r="AI390" s="10">
        <f t="shared" si="135"/>
        <v>0</v>
      </c>
      <c r="AJ390" s="4" t="s">
        <v>3057</v>
      </c>
      <c r="AK390" s="10">
        <f t="shared" si="136"/>
        <v>0</v>
      </c>
      <c r="AL390" s="4" t="s">
        <v>3057</v>
      </c>
      <c r="AM390" s="10">
        <f t="shared" si="137"/>
        <v>0</v>
      </c>
      <c r="AN390" s="5">
        <f t="shared" si="138"/>
        <v>0</v>
      </c>
      <c r="AO390" s="6" t="str">
        <f t="shared" si="139"/>
        <v>0</v>
      </c>
    </row>
    <row r="391" spans="1:41" x14ac:dyDescent="0.25">
      <c r="A391" t="s">
        <v>3011</v>
      </c>
      <c r="B391" t="s">
        <v>3012</v>
      </c>
      <c r="C391" t="e">
        <f>_xlfn.XLOOKUP(A391,Fore!A:A,Fore!AC:AC)</f>
        <v>#DIV/0!</v>
      </c>
      <c r="D391" s="4" t="s">
        <v>3057</v>
      </c>
      <c r="E391" s="10" t="str">
        <f t="shared" si="120"/>
        <v>0</v>
      </c>
      <c r="F391" s="4" t="s">
        <v>3057</v>
      </c>
      <c r="G391" s="10">
        <f t="shared" si="121"/>
        <v>0</v>
      </c>
      <c r="H391" s="4" t="s">
        <v>3057</v>
      </c>
      <c r="I391" s="10">
        <f t="shared" si="122"/>
        <v>0</v>
      </c>
      <c r="J391" s="4" t="s">
        <v>3057</v>
      </c>
      <c r="K391" s="10">
        <f t="shared" si="123"/>
        <v>0</v>
      </c>
      <c r="L391" s="4" t="s">
        <v>3057</v>
      </c>
      <c r="M391" s="10">
        <f t="shared" si="124"/>
        <v>0</v>
      </c>
      <c r="N391" s="4" t="s">
        <v>3057</v>
      </c>
      <c r="O391" s="10">
        <f t="shared" si="125"/>
        <v>0</v>
      </c>
      <c r="P391" s="4" t="s">
        <v>3057</v>
      </c>
      <c r="Q391" s="10">
        <f t="shared" si="126"/>
        <v>0</v>
      </c>
      <c r="R391" s="4" t="s">
        <v>3057</v>
      </c>
      <c r="S391" s="10">
        <f t="shared" si="127"/>
        <v>0</v>
      </c>
      <c r="T391" s="4" t="s">
        <v>3057</v>
      </c>
      <c r="U391" s="10">
        <f t="shared" si="128"/>
        <v>0</v>
      </c>
      <c r="V391" s="4" t="s">
        <v>3057</v>
      </c>
      <c r="W391" s="10">
        <f t="shared" si="129"/>
        <v>0</v>
      </c>
      <c r="X391" s="4">
        <v>0</v>
      </c>
      <c r="Y391" s="10">
        <f t="shared" si="130"/>
        <v>0</v>
      </c>
      <c r="Z391" s="4" t="s">
        <v>3057</v>
      </c>
      <c r="AA391" s="10">
        <f t="shared" si="131"/>
        <v>0</v>
      </c>
      <c r="AB391" s="4" t="s">
        <v>3057</v>
      </c>
      <c r="AC391" s="10">
        <f t="shared" si="132"/>
        <v>0</v>
      </c>
      <c r="AD391" s="4" t="s">
        <v>3057</v>
      </c>
      <c r="AE391" s="10">
        <f t="shared" si="133"/>
        <v>0</v>
      </c>
      <c r="AF391" s="4" t="s">
        <v>3057</v>
      </c>
      <c r="AG391" s="10">
        <f t="shared" si="134"/>
        <v>0</v>
      </c>
      <c r="AH391" s="4" t="s">
        <v>3057</v>
      </c>
      <c r="AI391" s="10">
        <f t="shared" si="135"/>
        <v>0</v>
      </c>
      <c r="AJ391" s="4" t="s">
        <v>3057</v>
      </c>
      <c r="AK391" s="10">
        <f t="shared" si="136"/>
        <v>0</v>
      </c>
      <c r="AL391" s="4" t="s">
        <v>3057</v>
      </c>
      <c r="AM391" s="10">
        <f t="shared" si="137"/>
        <v>0</v>
      </c>
      <c r="AN391" s="5">
        <f t="shared" si="138"/>
        <v>0</v>
      </c>
      <c r="AO391" s="6" t="str">
        <f t="shared" si="139"/>
        <v>0</v>
      </c>
    </row>
    <row r="392" spans="1:41" x14ac:dyDescent="0.25">
      <c r="A392" t="s">
        <v>3013</v>
      </c>
      <c r="B392" t="s">
        <v>3014</v>
      </c>
      <c r="C392" t="e">
        <f>_xlfn.XLOOKUP(A392,Fore!A:A,Fore!AC:AC)</f>
        <v>#DIV/0!</v>
      </c>
      <c r="D392" s="4" t="s">
        <v>3057</v>
      </c>
      <c r="E392" s="10" t="str">
        <f t="shared" si="120"/>
        <v>0</v>
      </c>
      <c r="F392" s="4" t="s">
        <v>3057</v>
      </c>
      <c r="G392" s="10">
        <f t="shared" si="121"/>
        <v>0</v>
      </c>
      <c r="H392" s="4" t="s">
        <v>3057</v>
      </c>
      <c r="I392" s="10">
        <f t="shared" si="122"/>
        <v>0</v>
      </c>
      <c r="J392" s="4" t="s">
        <v>3057</v>
      </c>
      <c r="K392" s="10">
        <f t="shared" si="123"/>
        <v>0</v>
      </c>
      <c r="L392" s="4" t="s">
        <v>3057</v>
      </c>
      <c r="M392" s="10">
        <f t="shared" si="124"/>
        <v>0</v>
      </c>
      <c r="N392" s="4" t="s">
        <v>3057</v>
      </c>
      <c r="O392" s="10">
        <f t="shared" si="125"/>
        <v>0</v>
      </c>
      <c r="P392" s="4" t="s">
        <v>3057</v>
      </c>
      <c r="Q392" s="10">
        <f t="shared" si="126"/>
        <v>0</v>
      </c>
      <c r="R392" s="4" t="s">
        <v>3057</v>
      </c>
      <c r="S392" s="10">
        <f t="shared" si="127"/>
        <v>0</v>
      </c>
      <c r="T392" s="4" t="s">
        <v>3057</v>
      </c>
      <c r="U392" s="10">
        <f t="shared" si="128"/>
        <v>0</v>
      </c>
      <c r="V392" s="4" t="s">
        <v>3057</v>
      </c>
      <c r="W392" s="10">
        <f t="shared" si="129"/>
        <v>0</v>
      </c>
      <c r="X392" s="4">
        <v>0</v>
      </c>
      <c r="Y392" s="10">
        <f t="shared" si="130"/>
        <v>0</v>
      </c>
      <c r="Z392" s="4" t="s">
        <v>3057</v>
      </c>
      <c r="AA392" s="10">
        <f t="shared" si="131"/>
        <v>0</v>
      </c>
      <c r="AB392" s="4" t="s">
        <v>3057</v>
      </c>
      <c r="AC392" s="10">
        <f t="shared" si="132"/>
        <v>0</v>
      </c>
      <c r="AD392" s="4" t="s">
        <v>3057</v>
      </c>
      <c r="AE392" s="10">
        <f t="shared" si="133"/>
        <v>0</v>
      </c>
      <c r="AF392" s="4" t="s">
        <v>3057</v>
      </c>
      <c r="AG392" s="10">
        <f t="shared" si="134"/>
        <v>0</v>
      </c>
      <c r="AH392" s="4" t="s">
        <v>3057</v>
      </c>
      <c r="AI392" s="10">
        <f t="shared" si="135"/>
        <v>0</v>
      </c>
      <c r="AJ392" s="4" t="s">
        <v>3057</v>
      </c>
      <c r="AK392" s="10">
        <f t="shared" si="136"/>
        <v>0</v>
      </c>
      <c r="AL392" s="4" t="s">
        <v>3057</v>
      </c>
      <c r="AM392" s="10">
        <f t="shared" si="137"/>
        <v>0</v>
      </c>
      <c r="AN392" s="5">
        <f t="shared" si="138"/>
        <v>0</v>
      </c>
      <c r="AO392" s="6" t="str">
        <f t="shared" si="139"/>
        <v>0</v>
      </c>
    </row>
    <row r="393" spans="1:41" x14ac:dyDescent="0.25">
      <c r="A393" t="s">
        <v>3015</v>
      </c>
      <c r="B393" t="s">
        <v>3016</v>
      </c>
      <c r="C393" t="e">
        <f>_xlfn.XLOOKUP(A393,Fore!A:A,Fore!AC:AC)</f>
        <v>#DIV/0!</v>
      </c>
      <c r="D393" s="4" t="s">
        <v>3057</v>
      </c>
      <c r="E393" s="10" t="str">
        <f t="shared" si="120"/>
        <v>0</v>
      </c>
      <c r="F393" s="4" t="s">
        <v>3057</v>
      </c>
      <c r="G393" s="10">
        <f t="shared" si="121"/>
        <v>0</v>
      </c>
      <c r="H393" s="4" t="s">
        <v>3057</v>
      </c>
      <c r="I393" s="10">
        <f t="shared" si="122"/>
        <v>0</v>
      </c>
      <c r="J393" s="4" t="s">
        <v>3057</v>
      </c>
      <c r="K393" s="10">
        <f t="shared" si="123"/>
        <v>0</v>
      </c>
      <c r="L393" s="4" t="s">
        <v>3057</v>
      </c>
      <c r="M393" s="10">
        <f t="shared" si="124"/>
        <v>0</v>
      </c>
      <c r="N393" s="4" t="s">
        <v>3057</v>
      </c>
      <c r="O393" s="10">
        <f t="shared" si="125"/>
        <v>0</v>
      </c>
      <c r="P393" s="4" t="s">
        <v>3057</v>
      </c>
      <c r="Q393" s="10">
        <f t="shared" si="126"/>
        <v>0</v>
      </c>
      <c r="R393" s="4" t="s">
        <v>3057</v>
      </c>
      <c r="S393" s="10">
        <f t="shared" si="127"/>
        <v>0</v>
      </c>
      <c r="T393" s="4" t="s">
        <v>3057</v>
      </c>
      <c r="U393" s="10">
        <f t="shared" si="128"/>
        <v>0</v>
      </c>
      <c r="V393" s="4" t="s">
        <v>3057</v>
      </c>
      <c r="W393" s="10">
        <f t="shared" si="129"/>
        <v>0</v>
      </c>
      <c r="X393" s="4">
        <v>0</v>
      </c>
      <c r="Y393" s="10">
        <f t="shared" si="130"/>
        <v>0</v>
      </c>
      <c r="Z393" s="4" t="s">
        <v>3057</v>
      </c>
      <c r="AA393" s="10">
        <f t="shared" si="131"/>
        <v>0</v>
      </c>
      <c r="AB393" s="4" t="s">
        <v>3057</v>
      </c>
      <c r="AC393" s="10">
        <f t="shared" si="132"/>
        <v>0</v>
      </c>
      <c r="AD393" s="4" t="s">
        <v>3057</v>
      </c>
      <c r="AE393" s="10">
        <f t="shared" si="133"/>
        <v>0</v>
      </c>
      <c r="AF393" s="4" t="s">
        <v>3057</v>
      </c>
      <c r="AG393" s="10">
        <f t="shared" si="134"/>
        <v>0</v>
      </c>
      <c r="AH393" s="4" t="s">
        <v>3057</v>
      </c>
      <c r="AI393" s="10">
        <f t="shared" si="135"/>
        <v>0</v>
      </c>
      <c r="AJ393" s="4" t="s">
        <v>3057</v>
      </c>
      <c r="AK393" s="10">
        <f t="shared" si="136"/>
        <v>0</v>
      </c>
      <c r="AL393" s="4" t="s">
        <v>3057</v>
      </c>
      <c r="AM393" s="10">
        <f t="shared" si="137"/>
        <v>0</v>
      </c>
      <c r="AN393" s="5">
        <f t="shared" si="138"/>
        <v>0</v>
      </c>
      <c r="AO393" s="6" t="str">
        <f t="shared" si="139"/>
        <v>0</v>
      </c>
    </row>
    <row r="394" spans="1:41" x14ac:dyDescent="0.25">
      <c r="A394" t="s">
        <v>3017</v>
      </c>
      <c r="B394" t="s">
        <v>3018</v>
      </c>
      <c r="C394" t="e">
        <f>_xlfn.XLOOKUP(A394,Fore!A:A,Fore!AC:AC)</f>
        <v>#DIV/0!</v>
      </c>
      <c r="D394" s="4" t="s">
        <v>3057</v>
      </c>
      <c r="E394" s="10" t="str">
        <f t="shared" si="120"/>
        <v>0</v>
      </c>
      <c r="F394" s="4" t="s">
        <v>3057</v>
      </c>
      <c r="G394" s="10">
        <f t="shared" si="121"/>
        <v>0</v>
      </c>
      <c r="H394" s="4" t="s">
        <v>3057</v>
      </c>
      <c r="I394" s="10">
        <f t="shared" si="122"/>
        <v>0</v>
      </c>
      <c r="J394" s="4" t="s">
        <v>3057</v>
      </c>
      <c r="K394" s="10">
        <f t="shared" si="123"/>
        <v>0</v>
      </c>
      <c r="L394" s="4" t="s">
        <v>3057</v>
      </c>
      <c r="M394" s="10">
        <f t="shared" si="124"/>
        <v>0</v>
      </c>
      <c r="N394" s="4" t="s">
        <v>3057</v>
      </c>
      <c r="O394" s="10">
        <f t="shared" si="125"/>
        <v>0</v>
      </c>
      <c r="P394" s="4" t="s">
        <v>3057</v>
      </c>
      <c r="Q394" s="10">
        <f t="shared" si="126"/>
        <v>0</v>
      </c>
      <c r="R394" s="4" t="s">
        <v>3057</v>
      </c>
      <c r="S394" s="10">
        <f t="shared" si="127"/>
        <v>0</v>
      </c>
      <c r="T394" s="4" t="s">
        <v>3057</v>
      </c>
      <c r="U394" s="10">
        <f t="shared" si="128"/>
        <v>0</v>
      </c>
      <c r="V394" s="4" t="s">
        <v>3057</v>
      </c>
      <c r="W394" s="10">
        <f t="shared" si="129"/>
        <v>0</v>
      </c>
      <c r="X394" s="4">
        <v>0</v>
      </c>
      <c r="Y394" s="10">
        <f t="shared" si="130"/>
        <v>0</v>
      </c>
      <c r="Z394" s="4" t="s">
        <v>3057</v>
      </c>
      <c r="AA394" s="10">
        <f t="shared" si="131"/>
        <v>0</v>
      </c>
      <c r="AB394" s="4" t="s">
        <v>3057</v>
      </c>
      <c r="AC394" s="10">
        <f t="shared" si="132"/>
        <v>0</v>
      </c>
      <c r="AD394" s="4" t="s">
        <v>3057</v>
      </c>
      <c r="AE394" s="10">
        <f t="shared" si="133"/>
        <v>0</v>
      </c>
      <c r="AF394" s="4" t="s">
        <v>3057</v>
      </c>
      <c r="AG394" s="10">
        <f t="shared" si="134"/>
        <v>0</v>
      </c>
      <c r="AH394" s="4" t="s">
        <v>3057</v>
      </c>
      <c r="AI394" s="10">
        <f t="shared" si="135"/>
        <v>0</v>
      </c>
      <c r="AJ394" s="4" t="s">
        <v>3057</v>
      </c>
      <c r="AK394" s="10">
        <f t="shared" si="136"/>
        <v>0</v>
      </c>
      <c r="AL394" s="4" t="s">
        <v>3057</v>
      </c>
      <c r="AM394" s="10">
        <f t="shared" si="137"/>
        <v>0</v>
      </c>
      <c r="AN394" s="5">
        <f t="shared" si="138"/>
        <v>0</v>
      </c>
      <c r="AO394" s="6" t="str">
        <f t="shared" si="139"/>
        <v>0</v>
      </c>
    </row>
    <row r="395" spans="1:41" x14ac:dyDescent="0.25">
      <c r="A395" t="s">
        <v>3019</v>
      </c>
      <c r="B395" t="s">
        <v>3020</v>
      </c>
      <c r="C395" t="e">
        <f>_xlfn.XLOOKUP(A395,Fore!A:A,Fore!AC:AC)</f>
        <v>#DIV/0!</v>
      </c>
      <c r="D395" s="4" t="s">
        <v>3057</v>
      </c>
      <c r="E395" s="10" t="str">
        <f t="shared" si="120"/>
        <v>0</v>
      </c>
      <c r="F395" s="4" t="s">
        <v>3057</v>
      </c>
      <c r="G395" s="10">
        <f t="shared" si="121"/>
        <v>0</v>
      </c>
      <c r="H395" s="4" t="s">
        <v>3057</v>
      </c>
      <c r="I395" s="10">
        <f t="shared" si="122"/>
        <v>0</v>
      </c>
      <c r="J395" s="4" t="s">
        <v>3057</v>
      </c>
      <c r="K395" s="10">
        <f t="shared" si="123"/>
        <v>0</v>
      </c>
      <c r="L395" s="4" t="s">
        <v>3057</v>
      </c>
      <c r="M395" s="10">
        <f t="shared" si="124"/>
        <v>0</v>
      </c>
      <c r="N395" s="4" t="s">
        <v>3057</v>
      </c>
      <c r="O395" s="10">
        <f t="shared" si="125"/>
        <v>0</v>
      </c>
      <c r="P395" s="4" t="s">
        <v>3057</v>
      </c>
      <c r="Q395" s="10">
        <f t="shared" si="126"/>
        <v>0</v>
      </c>
      <c r="R395" s="4" t="s">
        <v>3057</v>
      </c>
      <c r="S395" s="10">
        <f t="shared" si="127"/>
        <v>0</v>
      </c>
      <c r="T395" s="4" t="s">
        <v>3057</v>
      </c>
      <c r="U395" s="10">
        <f t="shared" si="128"/>
        <v>0</v>
      </c>
      <c r="V395" s="4" t="s">
        <v>3057</v>
      </c>
      <c r="W395" s="10">
        <f t="shared" si="129"/>
        <v>0</v>
      </c>
      <c r="X395" s="4">
        <v>0</v>
      </c>
      <c r="Y395" s="10">
        <f t="shared" si="130"/>
        <v>0</v>
      </c>
      <c r="Z395" s="4" t="s">
        <v>3057</v>
      </c>
      <c r="AA395" s="10">
        <f t="shared" si="131"/>
        <v>0</v>
      </c>
      <c r="AB395" s="4" t="s">
        <v>3057</v>
      </c>
      <c r="AC395" s="10">
        <f t="shared" si="132"/>
        <v>0</v>
      </c>
      <c r="AD395" s="4" t="s">
        <v>3057</v>
      </c>
      <c r="AE395" s="10">
        <f t="shared" si="133"/>
        <v>0</v>
      </c>
      <c r="AF395" s="4" t="s">
        <v>3057</v>
      </c>
      <c r="AG395" s="10">
        <f t="shared" si="134"/>
        <v>0</v>
      </c>
      <c r="AH395" s="4" t="s">
        <v>3057</v>
      </c>
      <c r="AI395" s="10">
        <f t="shared" si="135"/>
        <v>0</v>
      </c>
      <c r="AJ395" s="4" t="s">
        <v>3057</v>
      </c>
      <c r="AK395" s="10">
        <f t="shared" si="136"/>
        <v>0</v>
      </c>
      <c r="AL395" s="4" t="s">
        <v>3057</v>
      </c>
      <c r="AM395" s="10">
        <f t="shared" si="137"/>
        <v>0</v>
      </c>
      <c r="AN395" s="5">
        <f t="shared" si="138"/>
        <v>0</v>
      </c>
      <c r="AO395" s="6" t="str">
        <f t="shared" si="139"/>
        <v>0</v>
      </c>
    </row>
    <row r="396" spans="1:41" x14ac:dyDescent="0.25">
      <c r="A396" t="s">
        <v>3021</v>
      </c>
      <c r="B396" t="s">
        <v>3022</v>
      </c>
      <c r="C396" t="e">
        <f>_xlfn.XLOOKUP(A396,Fore!A:A,Fore!AC:AC)</f>
        <v>#DIV/0!</v>
      </c>
      <c r="D396" s="4" t="s">
        <v>3057</v>
      </c>
      <c r="E396" s="10" t="str">
        <f t="shared" si="120"/>
        <v>0</v>
      </c>
      <c r="F396" s="4" t="s">
        <v>3057</v>
      </c>
      <c r="G396" s="10">
        <f t="shared" si="121"/>
        <v>0</v>
      </c>
      <c r="H396" s="4" t="s">
        <v>3057</v>
      </c>
      <c r="I396" s="10">
        <f t="shared" si="122"/>
        <v>0</v>
      </c>
      <c r="J396" s="4" t="s">
        <v>3057</v>
      </c>
      <c r="K396" s="10">
        <f t="shared" si="123"/>
        <v>0</v>
      </c>
      <c r="L396" s="4" t="s">
        <v>3057</v>
      </c>
      <c r="M396" s="10">
        <f t="shared" si="124"/>
        <v>0</v>
      </c>
      <c r="N396" s="4" t="s">
        <v>3057</v>
      </c>
      <c r="O396" s="10">
        <f t="shared" si="125"/>
        <v>0</v>
      </c>
      <c r="P396" s="4" t="s">
        <v>3057</v>
      </c>
      <c r="Q396" s="10">
        <f t="shared" si="126"/>
        <v>0</v>
      </c>
      <c r="R396" s="4" t="s">
        <v>3057</v>
      </c>
      <c r="S396" s="10">
        <f t="shared" si="127"/>
        <v>0</v>
      </c>
      <c r="T396" s="4" t="s">
        <v>3057</v>
      </c>
      <c r="U396" s="10">
        <f t="shared" si="128"/>
        <v>0</v>
      </c>
      <c r="V396" s="4" t="s">
        <v>3057</v>
      </c>
      <c r="W396" s="10">
        <f t="shared" si="129"/>
        <v>0</v>
      </c>
      <c r="X396" s="4">
        <v>0</v>
      </c>
      <c r="Y396" s="10">
        <f t="shared" si="130"/>
        <v>0</v>
      </c>
      <c r="Z396" s="4" t="s">
        <v>3057</v>
      </c>
      <c r="AA396" s="10">
        <f t="shared" si="131"/>
        <v>0</v>
      </c>
      <c r="AB396" s="4" t="s">
        <v>3057</v>
      </c>
      <c r="AC396" s="10">
        <f t="shared" si="132"/>
        <v>0</v>
      </c>
      <c r="AD396" s="4" t="s">
        <v>3057</v>
      </c>
      <c r="AE396" s="10">
        <f t="shared" si="133"/>
        <v>0</v>
      </c>
      <c r="AF396" s="4" t="s">
        <v>3057</v>
      </c>
      <c r="AG396" s="10">
        <f t="shared" si="134"/>
        <v>0</v>
      </c>
      <c r="AH396" s="4" t="s">
        <v>3057</v>
      </c>
      <c r="AI396" s="10">
        <f t="shared" si="135"/>
        <v>0</v>
      </c>
      <c r="AJ396" s="4" t="s">
        <v>3057</v>
      </c>
      <c r="AK396" s="10">
        <f t="shared" si="136"/>
        <v>0</v>
      </c>
      <c r="AL396" s="4" t="s">
        <v>3057</v>
      </c>
      <c r="AM396" s="10">
        <f t="shared" si="137"/>
        <v>0</v>
      </c>
      <c r="AN396" s="5">
        <f t="shared" si="138"/>
        <v>0</v>
      </c>
      <c r="AO396" s="6" t="str">
        <f t="shared" si="139"/>
        <v>0</v>
      </c>
    </row>
    <row r="397" spans="1:41" x14ac:dyDescent="0.25">
      <c r="A397" t="s">
        <v>3023</v>
      </c>
      <c r="B397" t="s">
        <v>3024</v>
      </c>
      <c r="C397" t="e">
        <f>_xlfn.XLOOKUP(A397,Fore!A:A,Fore!AC:AC)</f>
        <v>#DIV/0!</v>
      </c>
      <c r="D397" s="4" t="s">
        <v>3057</v>
      </c>
      <c r="E397" s="10" t="str">
        <f t="shared" si="120"/>
        <v>0</v>
      </c>
      <c r="F397" s="4" t="s">
        <v>3057</v>
      </c>
      <c r="G397" s="10">
        <f t="shared" si="121"/>
        <v>0</v>
      </c>
      <c r="H397" s="4" t="s">
        <v>3057</v>
      </c>
      <c r="I397" s="10">
        <f t="shared" si="122"/>
        <v>0</v>
      </c>
      <c r="J397" s="4" t="s">
        <v>3057</v>
      </c>
      <c r="K397" s="10">
        <f t="shared" si="123"/>
        <v>0</v>
      </c>
      <c r="L397" s="4" t="s">
        <v>3057</v>
      </c>
      <c r="M397" s="10">
        <f t="shared" si="124"/>
        <v>0</v>
      </c>
      <c r="N397" s="4" t="s">
        <v>3057</v>
      </c>
      <c r="O397" s="10">
        <f t="shared" si="125"/>
        <v>0</v>
      </c>
      <c r="P397" s="4" t="s">
        <v>3057</v>
      </c>
      <c r="Q397" s="10">
        <f t="shared" si="126"/>
        <v>0</v>
      </c>
      <c r="R397" s="4" t="s">
        <v>3057</v>
      </c>
      <c r="S397" s="10">
        <f t="shared" si="127"/>
        <v>0</v>
      </c>
      <c r="T397" s="4" t="s">
        <v>3057</v>
      </c>
      <c r="U397" s="10">
        <f t="shared" si="128"/>
        <v>0</v>
      </c>
      <c r="V397" s="4" t="s">
        <v>3057</v>
      </c>
      <c r="W397" s="10">
        <f t="shared" si="129"/>
        <v>0</v>
      </c>
      <c r="X397" s="4">
        <v>0</v>
      </c>
      <c r="Y397" s="10">
        <f t="shared" si="130"/>
        <v>0</v>
      </c>
      <c r="Z397" s="4" t="s">
        <v>3057</v>
      </c>
      <c r="AA397" s="10">
        <f t="shared" si="131"/>
        <v>0</v>
      </c>
      <c r="AB397" s="4" t="s">
        <v>3057</v>
      </c>
      <c r="AC397" s="10">
        <f t="shared" si="132"/>
        <v>0</v>
      </c>
      <c r="AD397" s="4" t="s">
        <v>3057</v>
      </c>
      <c r="AE397" s="10">
        <f t="shared" si="133"/>
        <v>0</v>
      </c>
      <c r="AF397" s="4" t="s">
        <v>3057</v>
      </c>
      <c r="AG397" s="10">
        <f t="shared" si="134"/>
        <v>0</v>
      </c>
      <c r="AH397" s="4" t="s">
        <v>3057</v>
      </c>
      <c r="AI397" s="10">
        <f t="shared" si="135"/>
        <v>0</v>
      </c>
      <c r="AJ397" s="4" t="s">
        <v>3057</v>
      </c>
      <c r="AK397" s="10">
        <f t="shared" si="136"/>
        <v>0</v>
      </c>
      <c r="AL397" s="4" t="s">
        <v>3057</v>
      </c>
      <c r="AM397" s="10">
        <f t="shared" si="137"/>
        <v>0</v>
      </c>
      <c r="AN397" s="5">
        <f t="shared" si="138"/>
        <v>0</v>
      </c>
      <c r="AO397" s="6" t="str">
        <f t="shared" si="139"/>
        <v>0</v>
      </c>
    </row>
    <row r="398" spans="1:41" x14ac:dyDescent="0.25">
      <c r="A398" t="s">
        <v>3025</v>
      </c>
      <c r="B398" t="s">
        <v>3026</v>
      </c>
      <c r="C398" t="e">
        <f>_xlfn.XLOOKUP(A398,Fore!A:A,Fore!AC:AC)</f>
        <v>#DIV/0!</v>
      </c>
      <c r="D398" s="4" t="s">
        <v>3057</v>
      </c>
      <c r="E398" s="10" t="str">
        <f t="shared" si="120"/>
        <v>0</v>
      </c>
      <c r="F398" s="4" t="s">
        <v>3057</v>
      </c>
      <c r="G398" s="10">
        <f t="shared" si="121"/>
        <v>0</v>
      </c>
      <c r="H398" s="4" t="s">
        <v>3057</v>
      </c>
      <c r="I398" s="10">
        <f t="shared" si="122"/>
        <v>0</v>
      </c>
      <c r="J398" s="4" t="s">
        <v>3057</v>
      </c>
      <c r="K398" s="10">
        <f t="shared" si="123"/>
        <v>0</v>
      </c>
      <c r="L398" s="4" t="s">
        <v>3057</v>
      </c>
      <c r="M398" s="10">
        <f t="shared" si="124"/>
        <v>0</v>
      </c>
      <c r="N398" s="4" t="s">
        <v>3057</v>
      </c>
      <c r="O398" s="10">
        <f t="shared" si="125"/>
        <v>0</v>
      </c>
      <c r="P398" s="4" t="s">
        <v>3057</v>
      </c>
      <c r="Q398" s="10">
        <f t="shared" si="126"/>
        <v>0</v>
      </c>
      <c r="R398" s="4" t="s">
        <v>3057</v>
      </c>
      <c r="S398" s="10">
        <f t="shared" si="127"/>
        <v>0</v>
      </c>
      <c r="T398" s="4" t="s">
        <v>3057</v>
      </c>
      <c r="U398" s="10">
        <f t="shared" si="128"/>
        <v>0</v>
      </c>
      <c r="V398" s="4" t="s">
        <v>3057</v>
      </c>
      <c r="W398" s="10">
        <f t="shared" si="129"/>
        <v>0</v>
      </c>
      <c r="X398" s="4">
        <v>0</v>
      </c>
      <c r="Y398" s="10">
        <f t="shared" si="130"/>
        <v>0</v>
      </c>
      <c r="Z398" s="4" t="s">
        <v>3057</v>
      </c>
      <c r="AA398" s="10">
        <f t="shared" si="131"/>
        <v>0</v>
      </c>
      <c r="AB398" s="4" t="s">
        <v>3057</v>
      </c>
      <c r="AC398" s="10">
        <f t="shared" si="132"/>
        <v>0</v>
      </c>
      <c r="AD398" s="4" t="s">
        <v>3057</v>
      </c>
      <c r="AE398" s="10">
        <f t="shared" si="133"/>
        <v>0</v>
      </c>
      <c r="AF398" s="4" t="s">
        <v>3057</v>
      </c>
      <c r="AG398" s="10">
        <f t="shared" si="134"/>
        <v>0</v>
      </c>
      <c r="AH398" s="4" t="s">
        <v>3057</v>
      </c>
      <c r="AI398" s="10">
        <f t="shared" si="135"/>
        <v>0</v>
      </c>
      <c r="AJ398" s="4" t="s">
        <v>3057</v>
      </c>
      <c r="AK398" s="10">
        <f t="shared" si="136"/>
        <v>0</v>
      </c>
      <c r="AL398" s="4" t="s">
        <v>3057</v>
      </c>
      <c r="AM398" s="10">
        <f t="shared" si="137"/>
        <v>0</v>
      </c>
      <c r="AN398" s="5">
        <f t="shared" si="138"/>
        <v>0</v>
      </c>
      <c r="AO398" s="6" t="str">
        <f t="shared" si="139"/>
        <v>0</v>
      </c>
    </row>
    <row r="399" spans="1:41" x14ac:dyDescent="0.25">
      <c r="A399" t="s">
        <v>3027</v>
      </c>
      <c r="B399" t="s">
        <v>3028</v>
      </c>
      <c r="C399" t="e">
        <f>_xlfn.XLOOKUP(A399,Fore!A:A,Fore!AC:AC)</f>
        <v>#DIV/0!</v>
      </c>
      <c r="D399" s="4" t="s">
        <v>3057</v>
      </c>
      <c r="E399" s="10" t="str">
        <f t="shared" si="120"/>
        <v>0</v>
      </c>
      <c r="F399" s="4" t="s">
        <v>3057</v>
      </c>
      <c r="G399" s="10">
        <f t="shared" si="121"/>
        <v>0</v>
      </c>
      <c r="H399" s="4" t="s">
        <v>3057</v>
      </c>
      <c r="I399" s="10">
        <f t="shared" si="122"/>
        <v>0</v>
      </c>
      <c r="J399" s="4" t="s">
        <v>3057</v>
      </c>
      <c r="K399" s="10">
        <f t="shared" si="123"/>
        <v>0</v>
      </c>
      <c r="L399" s="4" t="s">
        <v>3057</v>
      </c>
      <c r="M399" s="10">
        <f t="shared" si="124"/>
        <v>0</v>
      </c>
      <c r="N399" s="4" t="s">
        <v>3057</v>
      </c>
      <c r="O399" s="10">
        <f t="shared" si="125"/>
        <v>0</v>
      </c>
      <c r="P399" s="4" t="s">
        <v>3057</v>
      </c>
      <c r="Q399" s="10">
        <f t="shared" si="126"/>
        <v>0</v>
      </c>
      <c r="R399" s="4" t="s">
        <v>3057</v>
      </c>
      <c r="S399" s="10">
        <f t="shared" si="127"/>
        <v>0</v>
      </c>
      <c r="T399" s="4" t="s">
        <v>3057</v>
      </c>
      <c r="U399" s="10">
        <f t="shared" si="128"/>
        <v>0</v>
      </c>
      <c r="V399" s="4" t="s">
        <v>3057</v>
      </c>
      <c r="W399" s="10">
        <f t="shared" si="129"/>
        <v>0</v>
      </c>
      <c r="X399" s="4">
        <v>0</v>
      </c>
      <c r="Y399" s="10">
        <f t="shared" si="130"/>
        <v>0</v>
      </c>
      <c r="Z399" s="4" t="s">
        <v>3057</v>
      </c>
      <c r="AA399" s="10">
        <f t="shared" si="131"/>
        <v>0</v>
      </c>
      <c r="AB399" s="4" t="s">
        <v>3057</v>
      </c>
      <c r="AC399" s="10">
        <f t="shared" si="132"/>
        <v>0</v>
      </c>
      <c r="AD399" s="4" t="s">
        <v>3057</v>
      </c>
      <c r="AE399" s="10">
        <f t="shared" si="133"/>
        <v>0</v>
      </c>
      <c r="AF399" s="4" t="s">
        <v>3057</v>
      </c>
      <c r="AG399" s="10">
        <f t="shared" si="134"/>
        <v>0</v>
      </c>
      <c r="AH399" s="4" t="s">
        <v>3057</v>
      </c>
      <c r="AI399" s="10">
        <f t="shared" si="135"/>
        <v>0</v>
      </c>
      <c r="AJ399" s="4" t="s">
        <v>3057</v>
      </c>
      <c r="AK399" s="10">
        <f t="shared" si="136"/>
        <v>0</v>
      </c>
      <c r="AL399" s="4" t="s">
        <v>3057</v>
      </c>
      <c r="AM399" s="10">
        <f t="shared" si="137"/>
        <v>0</v>
      </c>
      <c r="AN399" s="5">
        <f t="shared" si="138"/>
        <v>0</v>
      </c>
      <c r="AO399" s="6" t="str">
        <f t="shared" si="139"/>
        <v>0</v>
      </c>
    </row>
    <row r="400" spans="1:41" x14ac:dyDescent="0.25">
      <c r="A400" t="s">
        <v>3029</v>
      </c>
      <c r="B400" t="s">
        <v>3030</v>
      </c>
      <c r="C400" t="e">
        <f>_xlfn.XLOOKUP(A400,Fore!A:A,Fore!AC:AC)</f>
        <v>#DIV/0!</v>
      </c>
      <c r="D400" s="4" t="s">
        <v>3057</v>
      </c>
      <c r="E400" s="10" t="str">
        <f t="shared" si="120"/>
        <v>0</v>
      </c>
      <c r="F400" s="4" t="s">
        <v>3057</v>
      </c>
      <c r="G400" s="10">
        <f t="shared" si="121"/>
        <v>0</v>
      </c>
      <c r="H400" s="4" t="s">
        <v>3057</v>
      </c>
      <c r="I400" s="10">
        <f t="shared" si="122"/>
        <v>0</v>
      </c>
      <c r="J400" s="4" t="s">
        <v>3057</v>
      </c>
      <c r="K400" s="10">
        <f t="shared" si="123"/>
        <v>0</v>
      </c>
      <c r="L400" s="4" t="s">
        <v>3057</v>
      </c>
      <c r="M400" s="10">
        <f t="shared" si="124"/>
        <v>0</v>
      </c>
      <c r="N400" s="4" t="s">
        <v>3057</v>
      </c>
      <c r="O400" s="10">
        <f t="shared" si="125"/>
        <v>0</v>
      </c>
      <c r="P400" s="4" t="s">
        <v>3057</v>
      </c>
      <c r="Q400" s="10">
        <f t="shared" si="126"/>
        <v>0</v>
      </c>
      <c r="R400" s="4" t="s">
        <v>3057</v>
      </c>
      <c r="S400" s="10">
        <f t="shared" si="127"/>
        <v>0</v>
      </c>
      <c r="T400" s="4" t="s">
        <v>3057</v>
      </c>
      <c r="U400" s="10">
        <f t="shared" si="128"/>
        <v>0</v>
      </c>
      <c r="V400" s="4" t="s">
        <v>3057</v>
      </c>
      <c r="W400" s="10">
        <f t="shared" si="129"/>
        <v>0</v>
      </c>
      <c r="X400" s="4">
        <v>0</v>
      </c>
      <c r="Y400" s="10">
        <f t="shared" si="130"/>
        <v>0</v>
      </c>
      <c r="Z400" s="4" t="s">
        <v>3057</v>
      </c>
      <c r="AA400" s="10">
        <f t="shared" si="131"/>
        <v>0</v>
      </c>
      <c r="AB400" s="4" t="s">
        <v>3057</v>
      </c>
      <c r="AC400" s="10">
        <f t="shared" si="132"/>
        <v>0</v>
      </c>
      <c r="AD400" s="4" t="s">
        <v>3057</v>
      </c>
      <c r="AE400" s="10">
        <f t="shared" si="133"/>
        <v>0</v>
      </c>
      <c r="AF400" s="4" t="s">
        <v>3057</v>
      </c>
      <c r="AG400" s="10">
        <f t="shared" si="134"/>
        <v>0</v>
      </c>
      <c r="AH400" s="4" t="s">
        <v>3057</v>
      </c>
      <c r="AI400" s="10">
        <f t="shared" si="135"/>
        <v>0</v>
      </c>
      <c r="AJ400" s="4" t="s">
        <v>3057</v>
      </c>
      <c r="AK400" s="10">
        <f t="shared" si="136"/>
        <v>0</v>
      </c>
      <c r="AL400" s="4" t="s">
        <v>3057</v>
      </c>
      <c r="AM400" s="10">
        <f t="shared" si="137"/>
        <v>0</v>
      </c>
      <c r="AN400" s="5">
        <f t="shared" si="138"/>
        <v>0</v>
      </c>
      <c r="AO400" s="6" t="str">
        <f t="shared" si="139"/>
        <v>0</v>
      </c>
    </row>
    <row r="401" spans="1:41" x14ac:dyDescent="0.25">
      <c r="A401" t="s">
        <v>3032</v>
      </c>
      <c r="B401" t="s">
        <v>3033</v>
      </c>
      <c r="C401" t="e">
        <f>_xlfn.XLOOKUP(A401,Fore!A:A,Fore!AC:AC)</f>
        <v>#DIV/0!</v>
      </c>
      <c r="D401" s="4" t="s">
        <v>3057</v>
      </c>
      <c r="E401" s="10" t="str">
        <f t="shared" si="120"/>
        <v>0</v>
      </c>
      <c r="F401" s="4" t="s">
        <v>3057</v>
      </c>
      <c r="G401" s="10">
        <f t="shared" si="121"/>
        <v>0</v>
      </c>
      <c r="H401" s="4" t="s">
        <v>3057</v>
      </c>
      <c r="I401" s="10">
        <f t="shared" si="122"/>
        <v>0</v>
      </c>
      <c r="J401" s="4" t="s">
        <v>3057</v>
      </c>
      <c r="K401" s="10">
        <f t="shared" si="123"/>
        <v>0</v>
      </c>
      <c r="L401" s="4" t="s">
        <v>3057</v>
      </c>
      <c r="M401" s="10">
        <f t="shared" si="124"/>
        <v>0</v>
      </c>
      <c r="N401" s="4" t="s">
        <v>3057</v>
      </c>
      <c r="O401" s="10">
        <f t="shared" si="125"/>
        <v>0</v>
      </c>
      <c r="P401" s="4" t="s">
        <v>3057</v>
      </c>
      <c r="Q401" s="10">
        <f t="shared" si="126"/>
        <v>0</v>
      </c>
      <c r="R401" s="4" t="s">
        <v>3057</v>
      </c>
      <c r="S401" s="10">
        <f t="shared" si="127"/>
        <v>0</v>
      </c>
      <c r="T401" s="4" t="s">
        <v>3057</v>
      </c>
      <c r="U401" s="10">
        <f t="shared" si="128"/>
        <v>0</v>
      </c>
      <c r="V401" s="4" t="s">
        <v>3057</v>
      </c>
      <c r="W401" s="10">
        <f t="shared" si="129"/>
        <v>0</v>
      </c>
      <c r="X401" s="4">
        <v>0</v>
      </c>
      <c r="Y401" s="10">
        <f t="shared" si="130"/>
        <v>0</v>
      </c>
      <c r="Z401" s="4" t="s">
        <v>3057</v>
      </c>
      <c r="AA401" s="10">
        <f t="shared" si="131"/>
        <v>0</v>
      </c>
      <c r="AB401" s="4" t="s">
        <v>3057</v>
      </c>
      <c r="AC401" s="10">
        <f t="shared" si="132"/>
        <v>0</v>
      </c>
      <c r="AD401" s="4" t="s">
        <v>3057</v>
      </c>
      <c r="AE401" s="10">
        <f t="shared" si="133"/>
        <v>0</v>
      </c>
      <c r="AF401" s="4" t="s">
        <v>3057</v>
      </c>
      <c r="AG401" s="10">
        <f t="shared" si="134"/>
        <v>0</v>
      </c>
      <c r="AH401" s="4" t="s">
        <v>3057</v>
      </c>
      <c r="AI401" s="10">
        <f t="shared" si="135"/>
        <v>0</v>
      </c>
      <c r="AJ401" s="4" t="s">
        <v>3057</v>
      </c>
      <c r="AK401" s="10">
        <f t="shared" si="136"/>
        <v>0</v>
      </c>
      <c r="AL401" s="4" t="s">
        <v>3057</v>
      </c>
      <c r="AM401" s="10">
        <f t="shared" si="137"/>
        <v>0</v>
      </c>
      <c r="AN401" s="5">
        <f t="shared" si="138"/>
        <v>0</v>
      </c>
      <c r="AO401" s="6" t="str">
        <f t="shared" si="139"/>
        <v>0</v>
      </c>
    </row>
    <row r="402" spans="1:41" x14ac:dyDescent="0.25">
      <c r="A402" t="s">
        <v>3035</v>
      </c>
      <c r="B402" t="s">
        <v>3036</v>
      </c>
      <c r="C402" t="e">
        <f>_xlfn.XLOOKUP(A402,Fore!A:A,Fore!AC:AC)</f>
        <v>#DIV/0!</v>
      </c>
      <c r="D402" s="4" t="s">
        <v>3057</v>
      </c>
      <c r="E402" s="10" t="str">
        <f t="shared" si="120"/>
        <v>0</v>
      </c>
      <c r="F402" s="4" t="s">
        <v>3057</v>
      </c>
      <c r="G402" s="10">
        <f t="shared" si="121"/>
        <v>0</v>
      </c>
      <c r="H402" s="4" t="s">
        <v>3057</v>
      </c>
      <c r="I402" s="10">
        <f t="shared" si="122"/>
        <v>0</v>
      </c>
      <c r="J402" s="4" t="s">
        <v>3057</v>
      </c>
      <c r="K402" s="10">
        <f t="shared" si="123"/>
        <v>0</v>
      </c>
      <c r="L402" s="4" t="s">
        <v>3057</v>
      </c>
      <c r="M402" s="10">
        <f t="shared" si="124"/>
        <v>0</v>
      </c>
      <c r="N402" s="4" t="s">
        <v>3057</v>
      </c>
      <c r="O402" s="10">
        <f t="shared" si="125"/>
        <v>0</v>
      </c>
      <c r="P402" s="4" t="s">
        <v>3057</v>
      </c>
      <c r="Q402" s="10">
        <f t="shared" si="126"/>
        <v>0</v>
      </c>
      <c r="R402" s="4" t="s">
        <v>3057</v>
      </c>
      <c r="S402" s="10">
        <f t="shared" si="127"/>
        <v>0</v>
      </c>
      <c r="T402" s="4" t="s">
        <v>3057</v>
      </c>
      <c r="U402" s="10">
        <f t="shared" si="128"/>
        <v>0</v>
      </c>
      <c r="V402" s="4" t="s">
        <v>3057</v>
      </c>
      <c r="W402" s="10">
        <f t="shared" si="129"/>
        <v>0</v>
      </c>
      <c r="X402" s="4">
        <v>0</v>
      </c>
      <c r="Y402" s="10">
        <f t="shared" si="130"/>
        <v>0</v>
      </c>
      <c r="Z402" s="4" t="s">
        <v>3057</v>
      </c>
      <c r="AA402" s="10">
        <f t="shared" si="131"/>
        <v>0</v>
      </c>
      <c r="AB402" s="4" t="s">
        <v>3057</v>
      </c>
      <c r="AC402" s="10">
        <f t="shared" si="132"/>
        <v>0</v>
      </c>
      <c r="AD402" s="4" t="s">
        <v>3057</v>
      </c>
      <c r="AE402" s="10">
        <f t="shared" si="133"/>
        <v>0</v>
      </c>
      <c r="AF402" s="4" t="s">
        <v>3057</v>
      </c>
      <c r="AG402" s="10">
        <f t="shared" si="134"/>
        <v>0</v>
      </c>
      <c r="AH402" s="4" t="s">
        <v>3057</v>
      </c>
      <c r="AI402" s="10">
        <f t="shared" si="135"/>
        <v>0</v>
      </c>
      <c r="AJ402" s="4" t="s">
        <v>3057</v>
      </c>
      <c r="AK402" s="10">
        <f t="shared" si="136"/>
        <v>0</v>
      </c>
      <c r="AL402" s="4" t="s">
        <v>3057</v>
      </c>
      <c r="AM402" s="10">
        <f t="shared" si="137"/>
        <v>0</v>
      </c>
      <c r="AN402" s="5">
        <f t="shared" si="138"/>
        <v>0</v>
      </c>
      <c r="AO402" s="6" t="str">
        <f t="shared" si="139"/>
        <v>0</v>
      </c>
    </row>
    <row r="403" spans="1:41" x14ac:dyDescent="0.25">
      <c r="A403" t="s">
        <v>3037</v>
      </c>
      <c r="B403" t="s">
        <v>3038</v>
      </c>
      <c r="C403" t="e">
        <f>_xlfn.XLOOKUP(A403,Fore!A:A,Fore!AC:AC)</f>
        <v>#DIV/0!</v>
      </c>
      <c r="D403" s="4" t="s">
        <v>3057</v>
      </c>
      <c r="E403" s="10" t="str">
        <f t="shared" si="120"/>
        <v>0</v>
      </c>
      <c r="F403" s="4" t="s">
        <v>3057</v>
      </c>
      <c r="G403" s="10">
        <f t="shared" si="121"/>
        <v>0</v>
      </c>
      <c r="H403" s="4" t="s">
        <v>3057</v>
      </c>
      <c r="I403" s="10">
        <f t="shared" si="122"/>
        <v>0</v>
      </c>
      <c r="J403" s="4" t="s">
        <v>3057</v>
      </c>
      <c r="K403" s="10">
        <f t="shared" si="123"/>
        <v>0</v>
      </c>
      <c r="L403" s="4" t="s">
        <v>3057</v>
      </c>
      <c r="M403" s="10">
        <f t="shared" si="124"/>
        <v>0</v>
      </c>
      <c r="N403" s="4" t="s">
        <v>3057</v>
      </c>
      <c r="O403" s="10">
        <f t="shared" si="125"/>
        <v>0</v>
      </c>
      <c r="P403" s="4" t="s">
        <v>3057</v>
      </c>
      <c r="Q403" s="10">
        <f t="shared" si="126"/>
        <v>0</v>
      </c>
      <c r="R403" s="4" t="s">
        <v>3057</v>
      </c>
      <c r="S403" s="10">
        <f t="shared" si="127"/>
        <v>0</v>
      </c>
      <c r="T403" s="4" t="s">
        <v>3057</v>
      </c>
      <c r="U403" s="10">
        <f t="shared" si="128"/>
        <v>0</v>
      </c>
      <c r="V403" s="4" t="s">
        <v>3057</v>
      </c>
      <c r="W403" s="10">
        <f t="shared" si="129"/>
        <v>0</v>
      </c>
      <c r="X403" s="4">
        <v>0</v>
      </c>
      <c r="Y403" s="10">
        <f t="shared" si="130"/>
        <v>0</v>
      </c>
      <c r="Z403" s="4" t="s">
        <v>3057</v>
      </c>
      <c r="AA403" s="10">
        <f t="shared" si="131"/>
        <v>0</v>
      </c>
      <c r="AB403" s="4" t="s">
        <v>3057</v>
      </c>
      <c r="AC403" s="10">
        <f t="shared" si="132"/>
        <v>0</v>
      </c>
      <c r="AD403" s="4" t="s">
        <v>3057</v>
      </c>
      <c r="AE403" s="10">
        <f t="shared" si="133"/>
        <v>0</v>
      </c>
      <c r="AF403" s="4" t="s">
        <v>3057</v>
      </c>
      <c r="AG403" s="10">
        <f t="shared" si="134"/>
        <v>0</v>
      </c>
      <c r="AH403" s="4" t="s">
        <v>3057</v>
      </c>
      <c r="AI403" s="10">
        <f t="shared" si="135"/>
        <v>0</v>
      </c>
      <c r="AJ403" s="4" t="s">
        <v>3057</v>
      </c>
      <c r="AK403" s="10">
        <f t="shared" si="136"/>
        <v>0</v>
      </c>
      <c r="AL403" s="4" t="s">
        <v>3057</v>
      </c>
      <c r="AM403" s="10">
        <f t="shared" si="137"/>
        <v>0</v>
      </c>
      <c r="AN403" s="5">
        <f t="shared" si="138"/>
        <v>0</v>
      </c>
      <c r="AO403" s="6" t="str">
        <f t="shared" si="139"/>
        <v>0</v>
      </c>
    </row>
    <row r="404" spans="1:41" x14ac:dyDescent="0.25">
      <c r="A404" t="s">
        <v>3039</v>
      </c>
      <c r="B404" t="s">
        <v>3040</v>
      </c>
      <c r="C404" t="e">
        <f>_xlfn.XLOOKUP(A404,Fore!A:A,Fore!AC:AC)</f>
        <v>#DIV/0!</v>
      </c>
      <c r="D404" s="4" t="s">
        <v>3057</v>
      </c>
      <c r="E404" s="10" t="str">
        <f t="shared" si="120"/>
        <v>0</v>
      </c>
      <c r="F404" s="4" t="s">
        <v>3057</v>
      </c>
      <c r="G404" s="10">
        <f t="shared" si="121"/>
        <v>0</v>
      </c>
      <c r="H404" s="4" t="s">
        <v>3057</v>
      </c>
      <c r="I404" s="10">
        <f t="shared" si="122"/>
        <v>0</v>
      </c>
      <c r="J404" s="4" t="s">
        <v>3057</v>
      </c>
      <c r="K404" s="10">
        <f t="shared" si="123"/>
        <v>0</v>
      </c>
      <c r="L404" s="4" t="s">
        <v>3057</v>
      </c>
      <c r="M404" s="10">
        <f t="shared" si="124"/>
        <v>0</v>
      </c>
      <c r="N404" s="4" t="s">
        <v>3057</v>
      </c>
      <c r="O404" s="10">
        <f t="shared" si="125"/>
        <v>0</v>
      </c>
      <c r="P404" s="4" t="s">
        <v>3057</v>
      </c>
      <c r="Q404" s="10">
        <f t="shared" si="126"/>
        <v>0</v>
      </c>
      <c r="R404" s="4" t="s">
        <v>3057</v>
      </c>
      <c r="S404" s="10">
        <f t="shared" si="127"/>
        <v>0</v>
      </c>
      <c r="T404" s="4" t="s">
        <v>3057</v>
      </c>
      <c r="U404" s="10">
        <f t="shared" si="128"/>
        <v>0</v>
      </c>
      <c r="V404" s="4" t="s">
        <v>3057</v>
      </c>
      <c r="W404" s="10">
        <f t="shared" si="129"/>
        <v>0</v>
      </c>
      <c r="X404" s="4">
        <v>0</v>
      </c>
      <c r="Y404" s="10">
        <f t="shared" si="130"/>
        <v>0</v>
      </c>
      <c r="Z404" s="4" t="s">
        <v>3057</v>
      </c>
      <c r="AA404" s="10">
        <f t="shared" si="131"/>
        <v>0</v>
      </c>
      <c r="AB404" s="4" t="s">
        <v>3057</v>
      </c>
      <c r="AC404" s="10">
        <f t="shared" si="132"/>
        <v>0</v>
      </c>
      <c r="AD404" s="4" t="s">
        <v>3057</v>
      </c>
      <c r="AE404" s="10">
        <f t="shared" si="133"/>
        <v>0</v>
      </c>
      <c r="AF404" s="4" t="s">
        <v>3057</v>
      </c>
      <c r="AG404" s="10">
        <f t="shared" si="134"/>
        <v>0</v>
      </c>
      <c r="AH404" s="4" t="s">
        <v>3057</v>
      </c>
      <c r="AI404" s="10">
        <f t="shared" si="135"/>
        <v>0</v>
      </c>
      <c r="AJ404" s="4" t="s">
        <v>3057</v>
      </c>
      <c r="AK404" s="10">
        <f t="shared" si="136"/>
        <v>0</v>
      </c>
      <c r="AL404" s="4" t="s">
        <v>3057</v>
      </c>
      <c r="AM404" s="10">
        <f t="shared" si="137"/>
        <v>0</v>
      </c>
      <c r="AN404" s="5">
        <f t="shared" si="138"/>
        <v>0</v>
      </c>
      <c r="AO404" s="6" t="str">
        <f t="shared" si="139"/>
        <v>0</v>
      </c>
    </row>
    <row r="405" spans="1:41" x14ac:dyDescent="0.25">
      <c r="A405" t="s">
        <v>3043</v>
      </c>
      <c r="B405" t="s">
        <v>3044</v>
      </c>
      <c r="C405" t="e">
        <f>_xlfn.XLOOKUP(A405,Fore!A:A,Fore!AC:AC)</f>
        <v>#DIV/0!</v>
      </c>
      <c r="D405" s="4" t="s">
        <v>3057</v>
      </c>
      <c r="E405" s="10" t="str">
        <f t="shared" si="120"/>
        <v>0</v>
      </c>
      <c r="F405" s="4" t="s">
        <v>3057</v>
      </c>
      <c r="G405" s="10">
        <f t="shared" si="121"/>
        <v>0</v>
      </c>
      <c r="H405" s="4" t="s">
        <v>3057</v>
      </c>
      <c r="I405" s="10">
        <f t="shared" si="122"/>
        <v>0</v>
      </c>
      <c r="J405" s="4" t="s">
        <v>3057</v>
      </c>
      <c r="K405" s="10">
        <f t="shared" si="123"/>
        <v>0</v>
      </c>
      <c r="L405" s="4" t="s">
        <v>3057</v>
      </c>
      <c r="M405" s="10">
        <f t="shared" si="124"/>
        <v>0</v>
      </c>
      <c r="N405" s="4" t="s">
        <v>3057</v>
      </c>
      <c r="O405" s="10">
        <f t="shared" si="125"/>
        <v>0</v>
      </c>
      <c r="P405" s="4" t="s">
        <v>3057</v>
      </c>
      <c r="Q405" s="10">
        <f t="shared" si="126"/>
        <v>0</v>
      </c>
      <c r="R405" s="4" t="s">
        <v>3057</v>
      </c>
      <c r="S405" s="10">
        <f t="shared" si="127"/>
        <v>0</v>
      </c>
      <c r="T405" s="4" t="s">
        <v>3057</v>
      </c>
      <c r="U405" s="10">
        <f t="shared" si="128"/>
        <v>0</v>
      </c>
      <c r="V405" s="4" t="s">
        <v>3057</v>
      </c>
      <c r="W405" s="10">
        <f t="shared" si="129"/>
        <v>0</v>
      </c>
      <c r="X405" s="4">
        <v>0</v>
      </c>
      <c r="Y405" s="10">
        <f t="shared" si="130"/>
        <v>0</v>
      </c>
      <c r="Z405" s="4" t="s">
        <v>3057</v>
      </c>
      <c r="AA405" s="10">
        <f t="shared" si="131"/>
        <v>0</v>
      </c>
      <c r="AB405" s="4" t="s">
        <v>3057</v>
      </c>
      <c r="AC405" s="10">
        <f t="shared" si="132"/>
        <v>0</v>
      </c>
      <c r="AD405" s="4" t="s">
        <v>3057</v>
      </c>
      <c r="AE405" s="10">
        <f t="shared" si="133"/>
        <v>0</v>
      </c>
      <c r="AF405" s="4" t="s">
        <v>3057</v>
      </c>
      <c r="AG405" s="10">
        <f t="shared" si="134"/>
        <v>0</v>
      </c>
      <c r="AH405" s="4" t="s">
        <v>3057</v>
      </c>
      <c r="AI405" s="10">
        <f t="shared" si="135"/>
        <v>0</v>
      </c>
      <c r="AJ405" s="4" t="s">
        <v>3057</v>
      </c>
      <c r="AK405" s="10">
        <f t="shared" si="136"/>
        <v>0</v>
      </c>
      <c r="AL405" s="4" t="s">
        <v>3057</v>
      </c>
      <c r="AM405" s="10">
        <f t="shared" si="137"/>
        <v>0</v>
      </c>
      <c r="AN405" s="5">
        <f t="shared" si="138"/>
        <v>0</v>
      </c>
      <c r="AO405" s="6" t="str">
        <f t="shared" si="139"/>
        <v>0</v>
      </c>
    </row>
    <row r="406" spans="1:41" x14ac:dyDescent="0.25">
      <c r="A406" t="s">
        <v>3045</v>
      </c>
      <c r="B406" t="s">
        <v>3046</v>
      </c>
      <c r="C406" t="e">
        <f>_xlfn.XLOOKUP(A406,Fore!A:A,Fore!AC:AC)</f>
        <v>#DIV/0!</v>
      </c>
      <c r="D406" s="4" t="s">
        <v>3057</v>
      </c>
      <c r="E406" s="10" t="str">
        <f t="shared" si="120"/>
        <v>0</v>
      </c>
      <c r="F406" s="4" t="s">
        <v>3057</v>
      </c>
      <c r="G406" s="10">
        <f t="shared" si="121"/>
        <v>0</v>
      </c>
      <c r="H406" s="4" t="s">
        <v>3057</v>
      </c>
      <c r="I406" s="10">
        <f t="shared" si="122"/>
        <v>0</v>
      </c>
      <c r="J406" s="4" t="s">
        <v>3057</v>
      </c>
      <c r="K406" s="10">
        <f t="shared" si="123"/>
        <v>0</v>
      </c>
      <c r="L406" s="4" t="s">
        <v>3057</v>
      </c>
      <c r="M406" s="10">
        <f t="shared" si="124"/>
        <v>0</v>
      </c>
      <c r="N406" s="4" t="s">
        <v>3057</v>
      </c>
      <c r="O406" s="10">
        <f t="shared" si="125"/>
        <v>0</v>
      </c>
      <c r="P406" s="4" t="s">
        <v>3057</v>
      </c>
      <c r="Q406" s="10">
        <f t="shared" si="126"/>
        <v>0</v>
      </c>
      <c r="R406" s="4" t="s">
        <v>3057</v>
      </c>
      <c r="S406" s="10">
        <f t="shared" si="127"/>
        <v>0</v>
      </c>
      <c r="T406" s="4" t="s">
        <v>3057</v>
      </c>
      <c r="U406" s="10">
        <f t="shared" si="128"/>
        <v>0</v>
      </c>
      <c r="V406" s="4" t="s">
        <v>3057</v>
      </c>
      <c r="W406" s="10">
        <f t="shared" si="129"/>
        <v>0</v>
      </c>
      <c r="X406" s="4">
        <v>0</v>
      </c>
      <c r="Y406" s="10">
        <f t="shared" si="130"/>
        <v>0</v>
      </c>
      <c r="Z406" s="4" t="s">
        <v>3057</v>
      </c>
      <c r="AA406" s="10">
        <f t="shared" si="131"/>
        <v>0</v>
      </c>
      <c r="AB406" s="4" t="s">
        <v>3057</v>
      </c>
      <c r="AC406" s="10">
        <f t="shared" si="132"/>
        <v>0</v>
      </c>
      <c r="AD406" s="4" t="s">
        <v>3057</v>
      </c>
      <c r="AE406" s="10">
        <f t="shared" si="133"/>
        <v>0</v>
      </c>
      <c r="AF406" s="4" t="s">
        <v>3057</v>
      </c>
      <c r="AG406" s="10">
        <f t="shared" si="134"/>
        <v>0</v>
      </c>
      <c r="AH406" s="4" t="s">
        <v>3057</v>
      </c>
      <c r="AI406" s="10">
        <f t="shared" si="135"/>
        <v>0</v>
      </c>
      <c r="AJ406" s="4" t="s">
        <v>3057</v>
      </c>
      <c r="AK406" s="10">
        <f t="shared" si="136"/>
        <v>0</v>
      </c>
      <c r="AL406" s="4" t="s">
        <v>3057</v>
      </c>
      <c r="AM406" s="10">
        <f t="shared" si="137"/>
        <v>0</v>
      </c>
      <c r="AN406" s="5">
        <f t="shared" si="138"/>
        <v>0</v>
      </c>
      <c r="AO406" s="6" t="str">
        <f t="shared" si="139"/>
        <v>0</v>
      </c>
    </row>
    <row r="407" spans="1:41" x14ac:dyDescent="0.25">
      <c r="A407" t="s">
        <v>3047</v>
      </c>
      <c r="B407" t="s">
        <v>3048</v>
      </c>
      <c r="C407" t="e">
        <f>_xlfn.XLOOKUP(A407,Fore!A:A,Fore!AC:AC)</f>
        <v>#DIV/0!</v>
      </c>
      <c r="D407" s="4" t="s">
        <v>3057</v>
      </c>
      <c r="E407" s="10" t="str">
        <f t="shared" si="120"/>
        <v>0</v>
      </c>
      <c r="F407" s="4" t="s">
        <v>3057</v>
      </c>
      <c r="G407" s="10">
        <f t="shared" si="121"/>
        <v>0</v>
      </c>
      <c r="H407" s="4" t="s">
        <v>3057</v>
      </c>
      <c r="I407" s="10">
        <f t="shared" si="122"/>
        <v>0</v>
      </c>
      <c r="J407" s="4" t="s">
        <v>3057</v>
      </c>
      <c r="K407" s="10">
        <f t="shared" si="123"/>
        <v>0</v>
      </c>
      <c r="L407" s="4" t="s">
        <v>3057</v>
      </c>
      <c r="M407" s="10">
        <f t="shared" si="124"/>
        <v>0</v>
      </c>
      <c r="N407" s="4" t="s">
        <v>3057</v>
      </c>
      <c r="O407" s="10">
        <f t="shared" si="125"/>
        <v>0</v>
      </c>
      <c r="P407" s="4" t="s">
        <v>3057</v>
      </c>
      <c r="Q407" s="10">
        <f t="shared" si="126"/>
        <v>0</v>
      </c>
      <c r="R407" s="4" t="s">
        <v>3057</v>
      </c>
      <c r="S407" s="10">
        <f t="shared" si="127"/>
        <v>0</v>
      </c>
      <c r="T407" s="4" t="s">
        <v>3057</v>
      </c>
      <c r="U407" s="10">
        <f t="shared" si="128"/>
        <v>0</v>
      </c>
      <c r="V407" s="4" t="s">
        <v>3057</v>
      </c>
      <c r="W407" s="10">
        <f t="shared" si="129"/>
        <v>0</v>
      </c>
      <c r="X407" s="4">
        <v>0</v>
      </c>
      <c r="Y407" s="10">
        <f t="shared" si="130"/>
        <v>0</v>
      </c>
      <c r="Z407" s="4" t="s">
        <v>3057</v>
      </c>
      <c r="AA407" s="10">
        <f t="shared" si="131"/>
        <v>0</v>
      </c>
      <c r="AB407" s="4" t="s">
        <v>3057</v>
      </c>
      <c r="AC407" s="10">
        <f t="shared" si="132"/>
        <v>0</v>
      </c>
      <c r="AD407" s="4" t="s">
        <v>3057</v>
      </c>
      <c r="AE407" s="10">
        <f t="shared" si="133"/>
        <v>0</v>
      </c>
      <c r="AF407" s="4" t="s">
        <v>3057</v>
      </c>
      <c r="AG407" s="10">
        <f t="shared" si="134"/>
        <v>0</v>
      </c>
      <c r="AH407" s="4" t="s">
        <v>3057</v>
      </c>
      <c r="AI407" s="10">
        <f t="shared" si="135"/>
        <v>0</v>
      </c>
      <c r="AJ407" s="4" t="s">
        <v>3057</v>
      </c>
      <c r="AK407" s="10">
        <f t="shared" si="136"/>
        <v>0</v>
      </c>
      <c r="AL407" s="4" t="s">
        <v>3057</v>
      </c>
      <c r="AM407" s="10">
        <f t="shared" si="137"/>
        <v>0</v>
      </c>
      <c r="AN407" s="5">
        <f t="shared" si="138"/>
        <v>0</v>
      </c>
      <c r="AO407" s="6" t="str">
        <f t="shared" si="139"/>
        <v>0</v>
      </c>
    </row>
    <row r="408" spans="1:41" x14ac:dyDescent="0.25">
      <c r="A408" t="s">
        <v>3049</v>
      </c>
      <c r="B408" t="s">
        <v>3050</v>
      </c>
      <c r="C408" t="e">
        <f>_xlfn.XLOOKUP(A408,Fore!A:A,Fore!AC:AC)</f>
        <v>#DIV/0!</v>
      </c>
      <c r="D408" s="4" t="s">
        <v>3057</v>
      </c>
      <c r="E408" s="10" t="str">
        <f t="shared" si="120"/>
        <v>0</v>
      </c>
      <c r="F408" s="4" t="s">
        <v>3057</v>
      </c>
      <c r="G408" s="10">
        <f t="shared" si="121"/>
        <v>0</v>
      </c>
      <c r="H408" s="4" t="s">
        <v>3057</v>
      </c>
      <c r="I408" s="10">
        <f t="shared" si="122"/>
        <v>0</v>
      </c>
      <c r="J408" s="4" t="s">
        <v>3057</v>
      </c>
      <c r="K408" s="10">
        <f t="shared" si="123"/>
        <v>0</v>
      </c>
      <c r="L408" s="4" t="s">
        <v>3057</v>
      </c>
      <c r="M408" s="10">
        <f t="shared" si="124"/>
        <v>0</v>
      </c>
      <c r="N408" s="4" t="s">
        <v>3057</v>
      </c>
      <c r="O408" s="10">
        <f t="shared" si="125"/>
        <v>0</v>
      </c>
      <c r="P408" s="4" t="s">
        <v>3057</v>
      </c>
      <c r="Q408" s="10">
        <f t="shared" si="126"/>
        <v>0</v>
      </c>
      <c r="R408" s="4" t="s">
        <v>3057</v>
      </c>
      <c r="S408" s="10">
        <f t="shared" si="127"/>
        <v>0</v>
      </c>
      <c r="T408" s="4" t="s">
        <v>3057</v>
      </c>
      <c r="U408" s="10">
        <f t="shared" si="128"/>
        <v>0</v>
      </c>
      <c r="V408" s="4" t="s">
        <v>3057</v>
      </c>
      <c r="W408" s="10">
        <f t="shared" si="129"/>
        <v>0</v>
      </c>
      <c r="X408" s="4">
        <v>0</v>
      </c>
      <c r="Y408" s="10">
        <f t="shared" si="130"/>
        <v>0</v>
      </c>
      <c r="Z408" s="4" t="s">
        <v>3057</v>
      </c>
      <c r="AA408" s="10">
        <f t="shared" si="131"/>
        <v>0</v>
      </c>
      <c r="AB408" s="4" t="s">
        <v>3057</v>
      </c>
      <c r="AC408" s="10">
        <f t="shared" si="132"/>
        <v>0</v>
      </c>
      <c r="AD408" s="4" t="s">
        <v>3057</v>
      </c>
      <c r="AE408" s="10">
        <f t="shared" si="133"/>
        <v>0</v>
      </c>
      <c r="AF408" s="4" t="s">
        <v>3057</v>
      </c>
      <c r="AG408" s="10">
        <f t="shared" si="134"/>
        <v>0</v>
      </c>
      <c r="AH408" s="4" t="s">
        <v>3057</v>
      </c>
      <c r="AI408" s="10">
        <f t="shared" si="135"/>
        <v>0</v>
      </c>
      <c r="AJ408" s="4" t="s">
        <v>3057</v>
      </c>
      <c r="AK408" s="10">
        <f t="shared" si="136"/>
        <v>0</v>
      </c>
      <c r="AL408" s="4" t="s">
        <v>3057</v>
      </c>
      <c r="AM408" s="10">
        <f t="shared" si="137"/>
        <v>0</v>
      </c>
      <c r="AN408" s="5">
        <f t="shared" si="138"/>
        <v>0</v>
      </c>
      <c r="AO408" s="6" t="str">
        <f t="shared" si="139"/>
        <v>0</v>
      </c>
    </row>
    <row r="409" spans="1:41" x14ac:dyDescent="0.25">
      <c r="A409" t="s">
        <v>3051</v>
      </c>
      <c r="B409" t="s">
        <v>3052</v>
      </c>
      <c r="C409" t="e">
        <f>_xlfn.XLOOKUP(A409,Fore!A:A,Fore!AC:AC)</f>
        <v>#DIV/0!</v>
      </c>
      <c r="D409" s="4" t="s">
        <v>3057</v>
      </c>
      <c r="E409" s="10" t="str">
        <f t="shared" si="120"/>
        <v>0</v>
      </c>
      <c r="F409" s="4" t="s">
        <v>3057</v>
      </c>
      <c r="G409" s="10">
        <f t="shared" si="121"/>
        <v>0</v>
      </c>
      <c r="H409" s="4" t="s">
        <v>3057</v>
      </c>
      <c r="I409" s="10">
        <f t="shared" si="122"/>
        <v>0</v>
      </c>
      <c r="J409" s="4" t="s">
        <v>3057</v>
      </c>
      <c r="K409" s="10">
        <f t="shared" si="123"/>
        <v>0</v>
      </c>
      <c r="L409" s="4" t="s">
        <v>3057</v>
      </c>
      <c r="M409" s="10">
        <f t="shared" si="124"/>
        <v>0</v>
      </c>
      <c r="N409" s="4" t="s">
        <v>3057</v>
      </c>
      <c r="O409" s="10">
        <f t="shared" si="125"/>
        <v>0</v>
      </c>
      <c r="P409" s="4" t="s">
        <v>3057</v>
      </c>
      <c r="Q409" s="10">
        <f t="shared" si="126"/>
        <v>0</v>
      </c>
      <c r="R409" s="4" t="s">
        <v>3057</v>
      </c>
      <c r="S409" s="10">
        <f t="shared" si="127"/>
        <v>0</v>
      </c>
      <c r="T409" s="4" t="s">
        <v>3057</v>
      </c>
      <c r="U409" s="10">
        <f t="shared" si="128"/>
        <v>0</v>
      </c>
      <c r="V409" s="4" t="s">
        <v>3057</v>
      </c>
      <c r="W409" s="10">
        <f t="shared" si="129"/>
        <v>0</v>
      </c>
      <c r="X409" s="4">
        <v>0</v>
      </c>
      <c r="Y409" s="10">
        <f t="shared" si="130"/>
        <v>0</v>
      </c>
      <c r="Z409" s="4" t="s">
        <v>3057</v>
      </c>
      <c r="AA409" s="10">
        <f t="shared" si="131"/>
        <v>0</v>
      </c>
      <c r="AB409" s="4" t="s">
        <v>3057</v>
      </c>
      <c r="AC409" s="10">
        <f t="shared" si="132"/>
        <v>0</v>
      </c>
      <c r="AD409" s="4" t="s">
        <v>3057</v>
      </c>
      <c r="AE409" s="10">
        <f t="shared" si="133"/>
        <v>0</v>
      </c>
      <c r="AF409" s="4" t="s">
        <v>3057</v>
      </c>
      <c r="AG409" s="10">
        <f t="shared" si="134"/>
        <v>0</v>
      </c>
      <c r="AH409" s="4" t="s">
        <v>3057</v>
      </c>
      <c r="AI409" s="10">
        <f t="shared" si="135"/>
        <v>0</v>
      </c>
      <c r="AJ409" s="4" t="s">
        <v>3057</v>
      </c>
      <c r="AK409" s="10">
        <f t="shared" si="136"/>
        <v>0</v>
      </c>
      <c r="AL409" s="4" t="s">
        <v>3057</v>
      </c>
      <c r="AM409" s="10">
        <f t="shared" si="137"/>
        <v>0</v>
      </c>
      <c r="AN409" s="5">
        <f t="shared" si="138"/>
        <v>0</v>
      </c>
      <c r="AO409" s="6" t="str">
        <f t="shared" si="139"/>
        <v>0</v>
      </c>
    </row>
    <row r="410" spans="1:41" x14ac:dyDescent="0.25">
      <c r="A410" t="s">
        <v>3053</v>
      </c>
      <c r="B410" t="s">
        <v>3054</v>
      </c>
      <c r="C410" t="e">
        <f>_xlfn.XLOOKUP(A410,Fore!A:A,Fore!AC:AC)</f>
        <v>#DIV/0!</v>
      </c>
      <c r="D410" s="4" t="s">
        <v>3057</v>
      </c>
      <c r="E410" s="10" t="str">
        <f t="shared" si="120"/>
        <v>0</v>
      </c>
      <c r="F410" s="4" t="s">
        <v>3057</v>
      </c>
      <c r="G410" s="10">
        <f t="shared" si="121"/>
        <v>0</v>
      </c>
      <c r="H410" s="4" t="s">
        <v>3057</v>
      </c>
      <c r="I410" s="10">
        <f t="shared" si="122"/>
        <v>0</v>
      </c>
      <c r="J410" s="4" t="s">
        <v>3057</v>
      </c>
      <c r="K410" s="10">
        <f t="shared" si="123"/>
        <v>0</v>
      </c>
      <c r="L410" s="4" t="s">
        <v>3057</v>
      </c>
      <c r="M410" s="10">
        <f t="shared" si="124"/>
        <v>0</v>
      </c>
      <c r="N410" s="4" t="s">
        <v>3057</v>
      </c>
      <c r="O410" s="10">
        <f t="shared" si="125"/>
        <v>0</v>
      </c>
      <c r="P410" s="4" t="s">
        <v>3057</v>
      </c>
      <c r="Q410" s="10">
        <f t="shared" si="126"/>
        <v>0</v>
      </c>
      <c r="R410" s="4" t="s">
        <v>3057</v>
      </c>
      <c r="S410" s="10">
        <f t="shared" si="127"/>
        <v>0</v>
      </c>
      <c r="T410" s="4" t="s">
        <v>3057</v>
      </c>
      <c r="U410" s="10">
        <f t="shared" si="128"/>
        <v>0</v>
      </c>
      <c r="V410" s="4" t="s">
        <v>3057</v>
      </c>
      <c r="W410" s="10">
        <f t="shared" si="129"/>
        <v>0</v>
      </c>
      <c r="X410" s="4">
        <v>0</v>
      </c>
      <c r="Y410" s="10">
        <f t="shared" si="130"/>
        <v>0</v>
      </c>
      <c r="Z410" s="4" t="s">
        <v>3057</v>
      </c>
      <c r="AA410" s="10">
        <f t="shared" si="131"/>
        <v>0</v>
      </c>
      <c r="AB410" s="4" t="s">
        <v>3057</v>
      </c>
      <c r="AC410" s="10">
        <f t="shared" si="132"/>
        <v>0</v>
      </c>
      <c r="AD410" s="4" t="s">
        <v>3057</v>
      </c>
      <c r="AE410" s="10">
        <f t="shared" si="133"/>
        <v>0</v>
      </c>
      <c r="AF410" s="4" t="s">
        <v>3057</v>
      </c>
      <c r="AG410" s="10">
        <f t="shared" si="134"/>
        <v>0</v>
      </c>
      <c r="AH410" s="4" t="s">
        <v>3057</v>
      </c>
      <c r="AI410" s="10">
        <f t="shared" si="135"/>
        <v>0</v>
      </c>
      <c r="AJ410" s="4" t="s">
        <v>3057</v>
      </c>
      <c r="AK410" s="10">
        <f t="shared" si="136"/>
        <v>0</v>
      </c>
      <c r="AL410" s="4" t="s">
        <v>3057</v>
      </c>
      <c r="AM410" s="10">
        <f t="shared" si="137"/>
        <v>0</v>
      </c>
      <c r="AN410" s="5">
        <f t="shared" si="138"/>
        <v>0</v>
      </c>
      <c r="AO410" s="6" t="str">
        <f t="shared" si="139"/>
        <v>0</v>
      </c>
    </row>
    <row r="411" spans="1:41" x14ac:dyDescent="0.25">
      <c r="A411" t="s">
        <v>3055</v>
      </c>
      <c r="B411" t="s">
        <v>3056</v>
      </c>
      <c r="C411" t="e">
        <f>_xlfn.XLOOKUP(A411,Fore!A:A,Fore!AC:AC)</f>
        <v>#DIV/0!</v>
      </c>
      <c r="D411" s="4" t="s">
        <v>3057</v>
      </c>
      <c r="E411" s="10" t="str">
        <f t="shared" si="120"/>
        <v>0</v>
      </c>
      <c r="F411" s="4" t="s">
        <v>3057</v>
      </c>
      <c r="G411" s="10">
        <f t="shared" si="121"/>
        <v>0</v>
      </c>
      <c r="H411" s="4" t="s">
        <v>3057</v>
      </c>
      <c r="I411" s="10">
        <f t="shared" si="122"/>
        <v>0</v>
      </c>
      <c r="J411" s="4" t="s">
        <v>3057</v>
      </c>
      <c r="K411" s="10">
        <f t="shared" si="123"/>
        <v>0</v>
      </c>
      <c r="L411" s="4" t="s">
        <v>3057</v>
      </c>
      <c r="M411" s="10">
        <f t="shared" si="124"/>
        <v>0</v>
      </c>
      <c r="N411" s="4" t="s">
        <v>3057</v>
      </c>
      <c r="O411" s="10">
        <f t="shared" si="125"/>
        <v>0</v>
      </c>
      <c r="P411" s="4" t="s">
        <v>3057</v>
      </c>
      <c r="Q411" s="10">
        <f t="shared" si="126"/>
        <v>0</v>
      </c>
      <c r="R411" s="4" t="s">
        <v>3057</v>
      </c>
      <c r="S411" s="10">
        <f t="shared" si="127"/>
        <v>0</v>
      </c>
      <c r="T411" s="4" t="s">
        <v>3057</v>
      </c>
      <c r="U411" s="10">
        <f t="shared" si="128"/>
        <v>0</v>
      </c>
      <c r="V411" s="4" t="s">
        <v>3057</v>
      </c>
      <c r="W411" s="10">
        <f t="shared" si="129"/>
        <v>0</v>
      </c>
      <c r="X411" s="4">
        <v>0</v>
      </c>
      <c r="Y411" s="10">
        <f t="shared" si="130"/>
        <v>0</v>
      </c>
      <c r="Z411" s="4" t="s">
        <v>3057</v>
      </c>
      <c r="AA411" s="10">
        <f t="shared" si="131"/>
        <v>0</v>
      </c>
      <c r="AB411" s="4" t="s">
        <v>3057</v>
      </c>
      <c r="AC411" s="10">
        <f t="shared" si="132"/>
        <v>0</v>
      </c>
      <c r="AD411" s="4" t="s">
        <v>3057</v>
      </c>
      <c r="AE411" s="10">
        <f t="shared" si="133"/>
        <v>0</v>
      </c>
      <c r="AF411" s="4" t="s">
        <v>3057</v>
      </c>
      <c r="AG411" s="10">
        <f t="shared" si="134"/>
        <v>0</v>
      </c>
      <c r="AH411" s="4" t="s">
        <v>3057</v>
      </c>
      <c r="AI411" s="10">
        <f t="shared" si="135"/>
        <v>0</v>
      </c>
      <c r="AJ411" s="4" t="s">
        <v>3057</v>
      </c>
      <c r="AK411" s="10">
        <f t="shared" si="136"/>
        <v>0</v>
      </c>
      <c r="AL411" s="4" t="s">
        <v>3057</v>
      </c>
      <c r="AM411" s="10">
        <f t="shared" si="137"/>
        <v>0</v>
      </c>
      <c r="AN411" s="5">
        <f t="shared" si="138"/>
        <v>0</v>
      </c>
      <c r="AO411" s="6" t="str">
        <f t="shared" si="139"/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Fore</vt:lpstr>
      <vt:lpstr>Cast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Auditor2</dc:creator>
  <cp:lastModifiedBy>Store</cp:lastModifiedBy>
  <dcterms:created xsi:type="dcterms:W3CDTF">2026-07-02T06:17:35Z</dcterms:created>
  <dcterms:modified xsi:type="dcterms:W3CDTF">2026-08-20T06:33:43Z</dcterms:modified>
</cp:coreProperties>
</file>